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xton/Desktop/"/>
    </mc:Choice>
  </mc:AlternateContent>
  <xr:revisionPtr revIDLastSave="0" documentId="8_{9B35B29A-25B3-B34D-B741-8B3CED9008CC}" xr6:coauthVersionLast="47" xr6:coauthVersionMax="47" xr10:uidLastSave="{00000000-0000-0000-0000-000000000000}"/>
  <bookViews>
    <workbookView xWindow="0" yWindow="720" windowWidth="34560" windowHeight="19760" tabRatio="500" xr2:uid="{00000000-000D-0000-FFFF-FFFF00000000}"/>
  </bookViews>
  <sheets>
    <sheet name="Short" sheetId="7" r:id="rId1"/>
    <sheet name="Current" sheetId="1" r:id="rId2"/>
    <sheet name="Archieve 2" sheetId="2" r:id="rId3"/>
    <sheet name="Updated" sheetId="3" r:id="rId4"/>
    <sheet name="Original" sheetId="4" r:id="rId5"/>
    <sheet name="Archieve" sheetId="5" r:id="rId6"/>
  </sheets>
  <definedNames>
    <definedName name="_xlnm._FilterDatabase" localSheetId="2" hidden="1">'Archieve 2'!$A$1:$Q$1</definedName>
    <definedName name="_xlnm._FilterDatabase" localSheetId="1" hidden="1">Current!$A$1:$S$1</definedName>
    <definedName name="_xlnm._FilterDatabase" localSheetId="4" hidden="1">Original!$A$2:$BV$855</definedName>
    <definedName name="_xlnm._FilterDatabase" localSheetId="0" hidden="1">Short!$A$1:$S$1</definedName>
    <definedName name="_xlnm._FilterDatabase" localSheetId="3" hidden="1">Updated!$A$1:$AM$479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" i="5" l="1"/>
  <c r="AK9" i="5"/>
  <c r="BV851" i="4"/>
  <c r="BV850" i="4"/>
  <c r="BV849" i="4"/>
  <c r="BV848" i="4"/>
  <c r="BV847" i="4"/>
  <c r="BV846" i="4"/>
  <c r="BV845" i="4"/>
  <c r="BV844" i="4"/>
  <c r="BV843" i="4"/>
  <c r="BV842" i="4"/>
  <c r="BV841" i="4"/>
  <c r="BV840" i="4"/>
  <c r="BV839" i="4"/>
  <c r="BV838" i="4"/>
  <c r="BV837" i="4"/>
  <c r="BV836" i="4"/>
  <c r="BV835" i="4"/>
  <c r="BV834" i="4"/>
  <c r="BV833" i="4"/>
  <c r="BV832" i="4"/>
  <c r="BV831" i="4"/>
  <c r="BV830" i="4"/>
  <c r="BV829" i="4"/>
  <c r="BV828" i="4"/>
  <c r="BV826" i="4"/>
  <c r="BV824" i="4"/>
  <c r="BV823" i="4"/>
  <c r="BV822" i="4"/>
  <c r="BV821" i="4"/>
  <c r="BV820" i="4"/>
  <c r="BV819" i="4"/>
  <c r="BV818" i="4"/>
  <c r="BV817" i="4"/>
  <c r="BV816" i="4"/>
  <c r="BV714" i="4"/>
  <c r="BV713" i="4"/>
  <c r="BV712" i="4"/>
  <c r="BV711" i="4"/>
  <c r="BV710" i="4"/>
  <c r="BV708" i="4"/>
  <c r="BV707" i="4"/>
  <c r="BV706" i="4"/>
  <c r="BV705" i="4"/>
  <c r="BV704" i="4"/>
  <c r="BV703" i="4"/>
  <c r="BV702" i="4"/>
  <c r="BV701" i="4"/>
  <c r="BV700" i="4"/>
  <c r="BV699" i="4"/>
  <c r="BV697" i="4"/>
  <c r="BV696" i="4"/>
  <c r="BV695" i="4"/>
  <c r="BV694" i="4"/>
  <c r="BV693" i="4"/>
  <c r="BV692" i="4"/>
  <c r="BV690" i="4"/>
  <c r="BV689" i="4"/>
  <c r="BV688" i="4"/>
  <c r="BV687" i="4"/>
  <c r="BV686" i="4"/>
  <c r="BV685" i="4"/>
  <c r="BV683" i="4"/>
  <c r="BV672" i="4"/>
  <c r="BV671" i="4"/>
  <c r="BV670" i="4"/>
  <c r="BV646" i="4"/>
  <c r="BV636" i="4"/>
  <c r="BV628" i="4"/>
  <c r="BV620" i="4"/>
  <c r="BV614" i="4"/>
  <c r="BV603" i="4"/>
  <c r="BV586" i="4"/>
  <c r="BV579" i="4"/>
  <c r="BV574" i="4"/>
  <c r="BV552" i="4"/>
  <c r="BV528" i="4"/>
  <c r="BV522" i="4"/>
  <c r="BV521" i="4"/>
  <c r="BV520" i="4"/>
  <c r="BV519" i="4"/>
  <c r="BV517" i="4"/>
  <c r="BV515" i="4"/>
  <c r="BV514" i="4"/>
  <c r="BV511" i="4"/>
  <c r="BV506" i="4"/>
  <c r="BV504" i="4"/>
  <c r="BV501" i="4"/>
  <c r="BV499" i="4"/>
  <c r="BV497" i="4"/>
  <c r="BV476" i="4"/>
  <c r="BV475" i="4"/>
  <c r="BV472" i="4"/>
  <c r="BV469" i="4"/>
  <c r="BV465" i="4"/>
  <c r="BV456" i="4"/>
  <c r="BV450" i="4"/>
  <c r="BV448" i="4"/>
  <c r="BV447" i="4"/>
  <c r="BV445" i="4"/>
  <c r="BV444" i="4"/>
  <c r="BV443" i="4"/>
  <c r="BV442" i="4"/>
  <c r="BV441" i="4"/>
  <c r="BV440" i="4"/>
  <c r="BV438" i="4"/>
  <c r="BV437" i="4"/>
  <c r="BV436" i="4"/>
  <c r="BV435" i="4"/>
  <c r="BV434" i="4"/>
  <c r="BV433" i="4"/>
  <c r="BV432" i="4"/>
  <c r="BV431" i="4"/>
  <c r="BV430" i="4"/>
  <c r="BV429" i="4"/>
  <c r="BV427" i="4"/>
  <c r="BV426" i="4"/>
  <c r="BV425" i="4"/>
  <c r="BV424" i="4"/>
  <c r="BV423" i="4"/>
  <c r="BV422" i="4"/>
  <c r="BV421" i="4"/>
  <c r="BV420" i="4"/>
  <c r="BV419" i="4"/>
  <c r="BV418" i="4"/>
  <c r="BV417" i="4"/>
  <c r="BV416" i="4"/>
  <c r="BV415" i="4"/>
  <c r="BV414" i="4"/>
  <c r="BV413" i="4"/>
  <c r="BV412" i="4"/>
  <c r="BV411" i="4"/>
  <c r="BV410" i="4"/>
  <c r="BV409" i="4"/>
  <c r="BV408" i="4"/>
  <c r="BV407" i="4"/>
  <c r="BV406" i="4"/>
  <c r="BV405" i="4"/>
  <c r="BV404" i="4"/>
  <c r="BV403" i="4"/>
  <c r="BV402" i="4"/>
  <c r="BV401" i="4"/>
  <c r="BV396" i="4"/>
  <c r="BV395" i="4"/>
  <c r="BV394" i="4"/>
  <c r="BV393" i="4"/>
  <c r="BV392" i="4"/>
  <c r="BV391" i="4"/>
  <c r="BV390" i="4"/>
  <c r="BV389" i="4"/>
  <c r="BV388" i="4"/>
  <c r="BV387" i="4"/>
  <c r="BV386" i="4"/>
  <c r="BV385" i="4"/>
  <c r="BV384" i="4"/>
  <c r="BV383" i="4"/>
  <c r="BV382" i="4"/>
  <c r="BV381" i="4"/>
  <c r="BV380" i="4"/>
  <c r="BV379" i="4"/>
  <c r="BV378" i="4"/>
  <c r="BV377" i="4"/>
  <c r="BV376" i="4"/>
  <c r="BV375" i="4"/>
  <c r="BV374" i="4"/>
  <c r="BV373" i="4"/>
  <c r="BV372" i="4"/>
  <c r="BV371" i="4"/>
  <c r="BV370" i="4"/>
  <c r="BV369" i="4"/>
  <c r="BV368" i="4"/>
  <c r="BV367" i="4"/>
  <c r="BV366" i="4"/>
  <c r="BV365" i="4"/>
  <c r="BV364" i="4"/>
  <c r="BV363" i="4"/>
  <c r="BV362" i="4"/>
  <c r="BV361" i="4"/>
  <c r="BV360" i="4"/>
  <c r="BV359" i="4"/>
  <c r="BV358" i="4"/>
  <c r="BV357" i="4"/>
  <c r="BV356" i="4"/>
  <c r="BV355" i="4"/>
  <c r="BV354" i="4"/>
  <c r="BV353" i="4"/>
  <c r="BV352" i="4"/>
  <c r="BV351" i="4"/>
  <c r="BV350" i="4"/>
  <c r="BV349" i="4"/>
  <c r="BV348" i="4"/>
  <c r="BV74" i="4"/>
  <c r="BV73" i="4"/>
  <c r="BV72" i="4"/>
  <c r="BV71" i="4"/>
  <c r="BV70" i="4"/>
  <c r="BV69" i="4"/>
  <c r="BV68" i="4"/>
  <c r="BV67" i="4"/>
  <c r="BV66" i="4"/>
  <c r="BV65" i="4"/>
  <c r="BV64" i="4"/>
  <c r="BV63" i="4"/>
  <c r="BV62" i="4"/>
  <c r="BV61" i="4"/>
  <c r="BV60" i="4"/>
  <c r="BV59" i="4"/>
  <c r="BV58" i="4"/>
  <c r="BV57" i="4"/>
  <c r="BV56" i="4"/>
  <c r="BV55" i="4"/>
  <c r="BV54" i="4"/>
  <c r="BV53" i="4"/>
  <c r="BV52" i="4"/>
  <c r="BV50" i="4"/>
  <c r="BV49" i="4"/>
  <c r="BV48" i="4"/>
  <c r="BV47" i="4"/>
  <c r="BV46" i="4"/>
  <c r="BV45" i="4"/>
  <c r="BV44" i="4"/>
  <c r="BV43" i="4"/>
  <c r="BV42" i="4"/>
  <c r="BV41" i="4"/>
  <c r="BV40" i="4"/>
  <c r="BV39" i="4"/>
  <c r="BV38" i="4"/>
  <c r="BV37" i="4"/>
  <c r="BV36" i="4"/>
  <c r="BV35" i="4"/>
  <c r="BV34" i="4"/>
  <c r="BV33" i="4"/>
  <c r="BV32" i="4"/>
  <c r="BV31" i="4"/>
  <c r="BV30" i="4"/>
  <c r="BV29" i="4"/>
  <c r="BV28" i="4"/>
  <c r="BV27" i="4"/>
  <c r="BV26" i="4"/>
  <c r="BV25" i="4"/>
  <c r="BV24" i="4"/>
  <c r="BV23" i="4"/>
  <c r="BV22" i="4"/>
  <c r="BV21" i="4"/>
  <c r="BV20" i="4"/>
  <c r="BV19" i="4"/>
  <c r="BV18" i="4"/>
  <c r="BV17" i="4"/>
  <c r="BV16" i="4"/>
  <c r="BV15" i="4"/>
  <c r="BV14" i="4"/>
  <c r="BV13" i="4"/>
  <c r="BV12" i="4"/>
  <c r="BV11" i="4"/>
  <c r="BV10" i="4"/>
  <c r="BV9" i="4"/>
  <c r="BV8" i="4"/>
  <c r="BV6" i="4"/>
  <c r="BV5" i="4"/>
  <c r="BV4" i="4"/>
  <c r="AM478" i="3"/>
  <c r="AM460" i="3"/>
  <c r="AM437" i="3"/>
  <c r="AM435" i="3"/>
  <c r="AM422" i="3"/>
  <c r="AM421" i="3"/>
  <c r="AM420" i="3"/>
  <c r="AM418" i="3"/>
  <c r="AM404" i="3"/>
  <c r="AM402" i="3"/>
  <c r="AM400" i="3"/>
  <c r="AM395" i="3"/>
  <c r="AM368" i="3"/>
  <c r="AM361" i="3"/>
  <c r="AM356" i="3"/>
  <c r="AM355" i="3"/>
  <c r="AM350" i="3"/>
  <c r="AM346" i="3"/>
  <c r="AM341" i="3"/>
  <c r="AM334" i="3"/>
  <c r="AM331" i="3"/>
  <c r="AM325" i="3"/>
  <c r="AM312" i="3"/>
  <c r="AM309" i="3"/>
  <c r="AM304" i="3"/>
  <c r="AM299" i="3"/>
  <c r="AM295" i="3"/>
  <c r="AM291" i="3"/>
  <c r="AM285" i="3"/>
  <c r="AM274" i="3"/>
  <c r="AM269" i="3"/>
  <c r="AM261" i="3"/>
  <c r="AM254" i="3"/>
  <c r="AM252" i="3"/>
  <c r="AM232" i="3"/>
  <c r="AM221" i="3"/>
  <c r="AM212" i="3"/>
  <c r="AM198" i="3"/>
  <c r="AM187" i="3"/>
  <c r="AM164" i="3"/>
  <c r="AM147" i="3"/>
  <c r="AM137" i="3"/>
  <c r="AM133" i="3"/>
  <c r="AM122" i="3"/>
  <c r="AM106" i="3"/>
  <c r="AM98" i="3"/>
  <c r="AM97" i="3"/>
  <c r="AM91" i="3"/>
  <c r="AM79" i="3"/>
  <c r="AM77" i="3"/>
  <c r="AM70" i="3"/>
  <c r="AM69" i="3"/>
  <c r="AM67" i="3"/>
  <c r="AM63" i="3"/>
  <c r="AM48" i="3"/>
  <c r="AM45" i="3"/>
  <c r="AM43" i="3"/>
  <c r="AM40" i="3"/>
  <c r="AM39" i="3"/>
  <c r="AM23" i="3"/>
</calcChain>
</file>

<file path=xl/sharedStrings.xml><?xml version="1.0" encoding="utf-8"?>
<sst xmlns="http://schemas.openxmlformats.org/spreadsheetml/2006/main" count="27700" uniqueCount="1442">
  <si>
    <t>Property Name</t>
  </si>
  <si>
    <t>City</t>
  </si>
  <si>
    <t>Census Tract</t>
  </si>
  <si>
    <t>Address</t>
  </si>
  <si>
    <t>Project Type</t>
  </si>
  <si>
    <t>Special Population</t>
  </si>
  <si>
    <t>Total Units</t>
  </si>
  <si>
    <t>Affordable Bed</t>
  </si>
  <si>
    <t>PSH Bed</t>
  </si>
  <si>
    <t>Income Level for Affordable bed</t>
  </si>
  <si>
    <t>Rent Burden %</t>
  </si>
  <si>
    <t>Median HH Income Percentile</t>
  </si>
  <si>
    <t>Poverty Line Percentile</t>
  </si>
  <si>
    <t>CalEnviroScreen 4.0 Percentile</t>
  </si>
  <si>
    <t>Hermosa Village - Phase III</t>
  </si>
  <si>
    <t>Anaheim</t>
  </si>
  <si>
    <t>087505</t>
  </si>
  <si>
    <t xml:space="preserve">Affordable Housing </t>
  </si>
  <si>
    <t>Individual &amp; Family</t>
  </si>
  <si>
    <t>Costa Mesa Village</t>
  </si>
  <si>
    <t>Costa Mesa</t>
  </si>
  <si>
    <t>063102</t>
  </si>
  <si>
    <t>Garden Brook Senior Apartments</t>
  </si>
  <si>
    <t>Garden Grove</t>
  </si>
  <si>
    <t>088702</t>
  </si>
  <si>
    <t xml:space="preserve">Permanent Supportive Housing </t>
  </si>
  <si>
    <t>Seniors</t>
  </si>
  <si>
    <t>Miracle Terrace</t>
  </si>
  <si>
    <t>086901</t>
  </si>
  <si>
    <t>Dartmouth Court</t>
  </si>
  <si>
    <t>Irvine</t>
  </si>
  <si>
    <t>062626</t>
  </si>
  <si>
    <t>Esencia Norte</t>
  </si>
  <si>
    <t>Mission Viejo</t>
  </si>
  <si>
    <t>032066</t>
  </si>
  <si>
    <t>Los Olivos at Irvine Spectrum</t>
  </si>
  <si>
    <t>062653</t>
  </si>
  <si>
    <t>Doria Apartments</t>
  </si>
  <si>
    <t>052429</t>
  </si>
  <si>
    <t>Special Needs</t>
  </si>
  <si>
    <t>Extremely / Very</t>
  </si>
  <si>
    <t>Flower Park Plaza</t>
  </si>
  <si>
    <t>Santa Ana</t>
  </si>
  <si>
    <t>074901</t>
  </si>
  <si>
    <t>Huntington Villa Yorba</t>
  </si>
  <si>
    <t>Huntington Beach</t>
  </si>
  <si>
    <t>099241</t>
  </si>
  <si>
    <t>Inn at Woodbridge</t>
  </si>
  <si>
    <t>052513</t>
  </si>
  <si>
    <t>Magnolia Acres</t>
  </si>
  <si>
    <t>087002</t>
  </si>
  <si>
    <t>Cypress Villa Apartments</t>
  </si>
  <si>
    <t>La Habra</t>
  </si>
  <si>
    <t>001401</t>
  </si>
  <si>
    <t>Cypress Pointe Senior Community</t>
  </si>
  <si>
    <t>Cypress</t>
  </si>
  <si>
    <t>110104</t>
  </si>
  <si>
    <t>Dorado Senior Apartments</t>
  </si>
  <si>
    <t>Buena Park</t>
  </si>
  <si>
    <t>086803</t>
  </si>
  <si>
    <t>Flower Terrace</t>
  </si>
  <si>
    <t>075100</t>
  </si>
  <si>
    <t>148 / 140</t>
  </si>
  <si>
    <t>Imperial Park Apartments</t>
  </si>
  <si>
    <t>Brea</t>
  </si>
  <si>
    <t>001503</t>
  </si>
  <si>
    <t>87%</t>
  </si>
  <si>
    <t>Imperial Villas</t>
  </si>
  <si>
    <t>Placentia</t>
  </si>
  <si>
    <t>011717</t>
  </si>
  <si>
    <t xml:space="preserve"> 1050 E Imperial Hwy, Placentia, CA 92870</t>
  </si>
  <si>
    <t>El Verano</t>
  </si>
  <si>
    <t>086301</t>
  </si>
  <si>
    <t>Deerfield Apartments</t>
  </si>
  <si>
    <t>052528</t>
  </si>
  <si>
    <t>Cerritos Avenue Apartments</t>
  </si>
  <si>
    <t>087703</t>
  </si>
  <si>
    <t>Costa Mesa Family Village</t>
  </si>
  <si>
    <t>063701</t>
  </si>
  <si>
    <t>415-417 Birch</t>
  </si>
  <si>
    <t>074601</t>
  </si>
  <si>
    <t>Emerald Cove</t>
  </si>
  <si>
    <t>099419</t>
  </si>
  <si>
    <t>Espaira</t>
  </si>
  <si>
    <t>052439</t>
  </si>
  <si>
    <t>Estrella Springs</t>
  </si>
  <si>
    <t>089004</t>
  </si>
  <si>
    <t>First Point I</t>
  </si>
  <si>
    <t>075403</t>
  </si>
  <si>
    <t>Mendocino Apartments in Talega</t>
  </si>
  <si>
    <t>San Clemente</t>
  </si>
  <si>
    <t>032063</t>
  </si>
  <si>
    <t xml:space="preserve">Montecito Vista Apartments </t>
  </si>
  <si>
    <t>052535</t>
  </si>
  <si>
    <t>Friendly Center</t>
  </si>
  <si>
    <t>Orange</t>
  </si>
  <si>
    <t>075901</t>
  </si>
  <si>
    <t>Depot at Santiago</t>
  </si>
  <si>
    <t>074405</t>
  </si>
  <si>
    <t>Diamond Aisle Apartments</t>
  </si>
  <si>
    <t>087200</t>
  </si>
  <si>
    <t>Diamond Apartments</t>
  </si>
  <si>
    <t>Fullerton Heights Apartments</t>
  </si>
  <si>
    <t>Fullerton</t>
  </si>
  <si>
    <t>011602</t>
  </si>
  <si>
    <t>Special needs</t>
  </si>
  <si>
    <t>Heritage Villas Senior Apartments</t>
  </si>
  <si>
    <t>032013</t>
  </si>
  <si>
    <t>Jackson Park</t>
  </si>
  <si>
    <t>089105</t>
  </si>
  <si>
    <t>Las Palmas Apartments</t>
  </si>
  <si>
    <t>011707</t>
  </si>
  <si>
    <t>Miraflores</t>
  </si>
  <si>
    <t>087403</t>
  </si>
  <si>
    <t>Crystal View Apartments</t>
  </si>
  <si>
    <t>076103</t>
  </si>
  <si>
    <t>Cypress Sunrise</t>
  </si>
  <si>
    <t>Fairhaven Apartments</t>
  </si>
  <si>
    <t>086702</t>
  </si>
  <si>
    <t>Irvine Inn</t>
  </si>
  <si>
    <t>075516</t>
  </si>
  <si>
    <t>6062 Kingman Avenue</t>
  </si>
  <si>
    <t>110603</t>
  </si>
  <si>
    <t>638-642 E. Adams</t>
  </si>
  <si>
    <t>074003</t>
  </si>
  <si>
    <t>Cross Creek</t>
  </si>
  <si>
    <t>052520</t>
  </si>
  <si>
    <t>Elan Huntington Beach</t>
  </si>
  <si>
    <t>099235</t>
  </si>
  <si>
    <t>Fountain Glen Apartments</t>
  </si>
  <si>
    <t>021922</t>
  </si>
  <si>
    <t>East Fullerton Villas</t>
  </si>
  <si>
    <t>011502</t>
  </si>
  <si>
    <t>Elm Street Commons</t>
  </si>
  <si>
    <t>087302</t>
  </si>
  <si>
    <t>Flanders Pointe</t>
  </si>
  <si>
    <t>Tustin</t>
  </si>
  <si>
    <t>074408</t>
  </si>
  <si>
    <t>Iluma</t>
  </si>
  <si>
    <t>Stanton</t>
  </si>
  <si>
    <t>087801</t>
  </si>
  <si>
    <t>Montaira</t>
  </si>
  <si>
    <t>Clark Commons</t>
  </si>
  <si>
    <t>110401</t>
  </si>
  <si>
    <t>Guadalupe Manor</t>
  </si>
  <si>
    <t>Fountain Valley</t>
  </si>
  <si>
    <t>099233</t>
  </si>
  <si>
    <t>Hagan Place</t>
  </si>
  <si>
    <t>Laguna Beach</t>
  </si>
  <si>
    <t>062605</t>
  </si>
  <si>
    <t>Harmony Park Apartments</t>
  </si>
  <si>
    <t>110500</t>
  </si>
  <si>
    <t>Grove Park Apartments</t>
  </si>
  <si>
    <t>089104</t>
  </si>
  <si>
    <t>Hamilton Terrace</t>
  </si>
  <si>
    <t>063702</t>
  </si>
  <si>
    <t>Kelvin Court Apartments</t>
  </si>
  <si>
    <t>Adams Triplexes</t>
  </si>
  <si>
    <t>075812</t>
  </si>
  <si>
    <t>Emerald Garden Apartments</t>
  </si>
  <si>
    <t>110201</t>
  </si>
  <si>
    <t>Fullerton City Lights</t>
  </si>
  <si>
    <t>011300</t>
  </si>
  <si>
    <t>Hampton Square Apartments</t>
  </si>
  <si>
    <t>074407</t>
  </si>
  <si>
    <t>Mesa Breeze Apartments</t>
  </si>
  <si>
    <t>063604</t>
  </si>
  <si>
    <t>Metropolis</t>
  </si>
  <si>
    <t>Midway City SRO</t>
  </si>
  <si>
    <t>Midway City</t>
  </si>
  <si>
    <t>099702</t>
  </si>
  <si>
    <t>Huntington Gardens</t>
  </si>
  <si>
    <t>099418</t>
  </si>
  <si>
    <t>1060 W. Third</t>
  </si>
  <si>
    <t>Garnet Lane Apartments</t>
  </si>
  <si>
    <t>011711</t>
  </si>
  <si>
    <t>Granite Court</t>
  </si>
  <si>
    <t>Laurel Glen</t>
  </si>
  <si>
    <t>Ladera Ranch</t>
  </si>
  <si>
    <t>032059</t>
  </si>
  <si>
    <t>Garden Grove Manor</t>
  </si>
  <si>
    <t>099203</t>
  </si>
  <si>
    <t>Della Rosa</t>
  </si>
  <si>
    <t>Westminster</t>
  </si>
  <si>
    <t>099701</t>
  </si>
  <si>
    <t>Mariposa Villas</t>
  </si>
  <si>
    <t>062611</t>
  </si>
  <si>
    <t>Hudson Ridge Apartments</t>
  </si>
  <si>
    <t>011000</t>
  </si>
  <si>
    <t>Klimpel Manor Senior Apartments</t>
  </si>
  <si>
    <t>Grace Ave. Apartments</t>
  </si>
  <si>
    <t>001303</t>
  </si>
  <si>
    <t>Highland Orchard Apartments</t>
  </si>
  <si>
    <t>021821</t>
  </si>
  <si>
    <t>Compass Rose</t>
  </si>
  <si>
    <t>011601</t>
  </si>
  <si>
    <t>Luminaira</t>
  </si>
  <si>
    <t>Mary Erickson Community Housing</t>
  </si>
  <si>
    <t>042107</t>
  </si>
  <si>
    <t>Hermosa Vista Apartments</t>
  </si>
  <si>
    <t>099605</t>
  </si>
  <si>
    <t>Locust Street</t>
  </si>
  <si>
    <t>099601</t>
  </si>
  <si>
    <t>Coventry Court</t>
  </si>
  <si>
    <t>075518</t>
  </si>
  <si>
    <t>Esplanade St. Apartments</t>
  </si>
  <si>
    <t>075807</t>
  </si>
  <si>
    <t>Hermosa Village - Phase IV</t>
  </si>
  <si>
    <t>Huntingon Pointe Apartments</t>
  </si>
  <si>
    <t>Jasmine Creek Apartments</t>
  </si>
  <si>
    <t>086405</t>
  </si>
  <si>
    <t>La Placita Cinco / Tiny Tim</t>
  </si>
  <si>
    <t>075201</t>
  </si>
  <si>
    <t>(2239 West 5th StreetSanta Ana, CA, 92703)</t>
  </si>
  <si>
    <t>40 - 60% AMI</t>
  </si>
  <si>
    <t>Lincoln Anaheim Phase II</t>
  </si>
  <si>
    <t>Mariposa Village</t>
  </si>
  <si>
    <t>087103</t>
  </si>
  <si>
    <t>Cornerstone Apartment Homes</t>
  </si>
  <si>
    <t>087701</t>
  </si>
  <si>
    <t>Elements</t>
  </si>
  <si>
    <t>062610</t>
  </si>
  <si>
    <t>1000 Elements Way, Irvine, CA</t>
  </si>
  <si>
    <t>Escalones Nuevos</t>
  </si>
  <si>
    <t>Evergreen Villas</t>
  </si>
  <si>
    <t>Yorba Linda</t>
  </si>
  <si>
    <t>021802</t>
  </si>
  <si>
    <t>Finamore Place</t>
  </si>
  <si>
    <t>087504</t>
  </si>
  <si>
    <t>First Point II</t>
  </si>
  <si>
    <t>First Street Apartments</t>
  </si>
  <si>
    <t>075506</t>
  </si>
  <si>
    <t>Five Points Seniors Apartments</t>
  </si>
  <si>
    <t>Fusion Apartments</t>
  </si>
  <si>
    <t>Heroes Landing</t>
  </si>
  <si>
    <t>099249</t>
  </si>
  <si>
    <t>Veterans</t>
  </si>
  <si>
    <t>Legacy Square</t>
  </si>
  <si>
    <t>075002</t>
  </si>
  <si>
    <t>Newporter Apartments</t>
  </si>
  <si>
    <t>Hermosa Village</t>
  </si>
  <si>
    <t>Liberty at Aliso</t>
  </si>
  <si>
    <t>Aliso Viejo</t>
  </si>
  <si>
    <t>062639</t>
  </si>
  <si>
    <t>Hermosa Village – Phase I</t>
  </si>
  <si>
    <t>Hoover Avenue</t>
  </si>
  <si>
    <t>076204</t>
  </si>
  <si>
    <t>Andalucia Apartments</t>
  </si>
  <si>
    <t>Arbor View Apartments</t>
  </si>
  <si>
    <t>Citrus Village</t>
  </si>
  <si>
    <t>076105</t>
  </si>
  <si>
    <t>Club 42</t>
  </si>
  <si>
    <t>17230 Newport Fountain Valley, CA</t>
  </si>
  <si>
    <t>Greenleaf</t>
  </si>
  <si>
    <t>Lacy &amp; Raitt Apartments</t>
  </si>
  <si>
    <t>Amalfi</t>
  </si>
  <si>
    <t> 16000 Legacy Rd, Tustin, CA 92782</t>
  </si>
  <si>
    <t>Moderate</t>
  </si>
  <si>
    <t>Birch Street Loft Apartments</t>
  </si>
  <si>
    <t>16 vs 33</t>
  </si>
  <si>
    <t>Cypress Park Senior Community</t>
  </si>
  <si>
    <t>Garnet Lane Housing A</t>
  </si>
  <si>
    <t>Heninger Village Apartments</t>
  </si>
  <si>
    <t>Jamboree PSH Econo Lodge Apartments</t>
  </si>
  <si>
    <t>086801</t>
  </si>
  <si>
    <t>Jeffrey-Lynne Apartments Phase I</t>
  </si>
  <si>
    <t>Jeffrey-Lynne Neighborhood Revitalization Phase II</t>
  </si>
  <si>
    <t>Cornerstone Village</t>
  </si>
  <si>
    <t>074501</t>
  </si>
  <si>
    <t>FX Residences</t>
  </si>
  <si>
    <t>Integrity Cottages</t>
  </si>
  <si>
    <t>086902</t>
  </si>
  <si>
    <t>Lange Drive Family</t>
  </si>
  <si>
    <t>Newport Beach</t>
  </si>
  <si>
    <t>063101</t>
  </si>
  <si>
    <t>Las Lomas Gardens</t>
  </si>
  <si>
    <t>New Horizons</t>
  </si>
  <si>
    <t>Cambridge Heights</t>
  </si>
  <si>
    <t>099802</t>
  </si>
  <si>
    <t>City Garden Apartments</t>
  </si>
  <si>
    <t>075301</t>
  </si>
  <si>
    <t>Crossroads at Washington</t>
  </si>
  <si>
    <t>074406</t>
  </si>
  <si>
    <t>Speical Needs</t>
  </si>
  <si>
    <t>Gilbert Park Apartments</t>
  </si>
  <si>
    <t>Hermosa Village - Phase II</t>
  </si>
  <si>
    <t>La Gema de Barrio</t>
  </si>
  <si>
    <t>Main Place Apartments</t>
  </si>
  <si>
    <t>099309</t>
  </si>
  <si>
    <t>1025 N. Spurgeon</t>
  </si>
  <si>
    <t>075004</t>
  </si>
  <si>
    <t>121 N. Kathryn Drive</t>
  </si>
  <si>
    <t>087101</t>
  </si>
  <si>
    <t>Courtyard Apartments</t>
  </si>
  <si>
    <t>001801</t>
  </si>
  <si>
    <t>Las Palmas Village</t>
  </si>
  <si>
    <t>042108</t>
  </si>
  <si>
    <t>Cotton's Point Senior Apartments</t>
  </si>
  <si>
    <t>042113</t>
  </si>
  <si>
    <t>Mesa Vista</t>
  </si>
  <si>
    <t>063201</t>
  </si>
  <si>
    <t>Casa Santa Maria</t>
  </si>
  <si>
    <t>Chatham Village</t>
  </si>
  <si>
    <t>Chestnut Place</t>
  </si>
  <si>
    <t>075806</t>
  </si>
  <si>
    <t>Cobblestone Apartments</t>
  </si>
  <si>
    <t>086903</t>
  </si>
  <si>
    <t>870 S Beach Blvd #103, Anaheim, CA 92804</t>
  </si>
  <si>
    <t>Harvard/Cornell Court</t>
  </si>
  <si>
    <t>Highland Manor Apartments</t>
  </si>
  <si>
    <t>074902</t>
  </si>
  <si>
    <t>Metro East</t>
  </si>
  <si>
    <t>Angelina Apartments</t>
  </si>
  <si>
    <t>086501</t>
  </si>
  <si>
    <t>Joseph Residence</t>
  </si>
  <si>
    <t>Malabar Apartments</t>
  </si>
  <si>
    <t>088203</t>
  </si>
  <si>
    <t>Woodpark Apartments</t>
  </si>
  <si>
    <t>Manchester-Orangewood Apartment Homes</t>
  </si>
  <si>
    <t>Coventry Heights</t>
  </si>
  <si>
    <t>Monarch Pointe</t>
  </si>
  <si>
    <t>Center of Hope</t>
  </si>
  <si>
    <t>086303</t>
  </si>
  <si>
    <t>14 / 16/ 4</t>
  </si>
  <si>
    <t>Garden Grove Senior Apartments</t>
  </si>
  <si>
    <t>088502</t>
  </si>
  <si>
    <t>Jeffrey-Lynne Neighborhood Revitalization Phase III</t>
  </si>
  <si>
    <t>Jordan Manor</t>
  </si>
  <si>
    <t>088602</t>
  </si>
  <si>
    <t>Anton Portola</t>
  </si>
  <si>
    <t>052438</t>
  </si>
  <si>
    <t>Beachview Villa</t>
  </si>
  <si>
    <t>Avon Dakota Phase I</t>
  </si>
  <si>
    <t>087404</t>
  </si>
  <si>
    <t>Mountain View</t>
  </si>
  <si>
    <t xml:space="preserve">Lake Forest </t>
  </si>
  <si>
    <t>052411</t>
  </si>
  <si>
    <t>Linbrook Court</t>
  </si>
  <si>
    <t>Luxaira Senior Apartments</t>
  </si>
  <si>
    <t>Franklin Garden Apartment Homes</t>
  </si>
  <si>
    <t>Jeffrey-Lynne Neighborhood Revitalization Phase IV</t>
  </si>
  <si>
    <t>Continental Gardens</t>
  </si>
  <si>
    <t>087803</t>
  </si>
  <si>
    <t>Hamilton Park</t>
  </si>
  <si>
    <t>Harvard Manor</t>
  </si>
  <si>
    <t>062627</t>
  </si>
  <si>
    <t>Jackson Aisle</t>
  </si>
  <si>
    <t>Magnet Senior Housing</t>
  </si>
  <si>
    <t>Aurora Vista</t>
  </si>
  <si>
    <t>087902</t>
  </si>
  <si>
    <t>Heritage Place at Tustin</t>
  </si>
  <si>
    <t>075517</t>
  </si>
  <si>
    <t>Heritage Village</t>
  </si>
  <si>
    <t>Clara Vista</t>
  </si>
  <si>
    <t>Laguna Canyon Apartments</t>
  </si>
  <si>
    <t>062654</t>
  </si>
  <si>
    <t>Lemon Street Apartments</t>
  </si>
  <si>
    <t>075902</t>
  </si>
  <si>
    <t>Lincoln Anaheim Phase I</t>
  </si>
  <si>
    <t>Glennyre Apartments</t>
  </si>
  <si>
    <t>Bayview Landing</t>
  </si>
  <si>
    <t>063004</t>
  </si>
  <si>
    <t>Civic Center Barrio Housing</t>
  </si>
  <si>
    <t>063605</t>
  </si>
  <si>
    <t>Community Garden Towers</t>
  </si>
  <si>
    <t>076102</t>
  </si>
  <si>
    <t>Harmony Creek Apartments</t>
  </si>
  <si>
    <t>Fountain Valley Senior</t>
  </si>
  <si>
    <t>099234</t>
  </si>
  <si>
    <t>Garnet Lane Housing B</t>
  </si>
  <si>
    <t>Henderson House Supportive Housing</t>
  </si>
  <si>
    <t>042205</t>
  </si>
  <si>
    <t>676 Camino De Los Mares, San Clemente, CA</t>
  </si>
  <si>
    <t>Individual</t>
  </si>
  <si>
    <t>125 N. Gilbert Street</t>
  </si>
  <si>
    <t>1532 E. La Palma Avenue</t>
  </si>
  <si>
    <t>1631 E. Sycamore Street</t>
  </si>
  <si>
    <t>2009 W. Myrtle St.</t>
  </si>
  <si>
    <t>074802</t>
  </si>
  <si>
    <t>208 S. West Street</t>
  </si>
  <si>
    <t>318 S. Bush Street</t>
  </si>
  <si>
    <t>318 S. Lemon Street</t>
  </si>
  <si>
    <t>322 S. Bush Street</t>
  </si>
  <si>
    <t>3524 W. Washington Ave.</t>
  </si>
  <si>
    <t>405 S. Raitt St.</t>
  </si>
  <si>
    <t>074801</t>
  </si>
  <si>
    <t>721 W. La Palma Avenue</t>
  </si>
  <si>
    <t>086601</t>
  </si>
  <si>
    <t>Acacia Apartments</t>
  </si>
  <si>
    <t>001505</t>
  </si>
  <si>
    <t>Acacia Villa Apartments</t>
  </si>
  <si>
    <t>088601</t>
  </si>
  <si>
    <t>Acaciawood Apartments</t>
  </si>
  <si>
    <t>087106</t>
  </si>
  <si>
    <t>Alegre Apartments</t>
  </si>
  <si>
    <t>052433</t>
  </si>
  <si>
    <t>Alice Clark Orange Blossom Sr. Apartments</t>
  </si>
  <si>
    <t>076205</t>
  </si>
  <si>
    <t>Alice Court</t>
  </si>
  <si>
    <t>Alicia Park Apartments</t>
  </si>
  <si>
    <t>Laguna Niguel</t>
  </si>
  <si>
    <t>042326</t>
  </si>
  <si>
    <t>Allen Hotel Apartments</t>
  </si>
  <si>
    <t>Altrudy Senior Apartments</t>
  </si>
  <si>
    <t>AMCAL Royale</t>
  </si>
  <si>
    <t>280 Hospital Cir, Westminster, CA 92683</t>
  </si>
  <si>
    <t>Family</t>
  </si>
  <si>
    <t>Amerige Villa Apartments</t>
  </si>
  <si>
    <t>011200</t>
  </si>
  <si>
    <t>Anaheim Memorial Manor</t>
  </si>
  <si>
    <t>Anton Legacy Apartments</t>
  </si>
  <si>
    <t>075513</t>
  </si>
  <si>
    <t>Anton Monaco Apartments</t>
  </si>
  <si>
    <t>087102</t>
  </si>
  <si>
    <t>Arbor Glen Apartments</t>
  </si>
  <si>
    <t>Arbor Villas</t>
  </si>
  <si>
    <t>Archway Apartment</t>
  </si>
  <si>
    <t>Arroyo at Baker Ranch</t>
  </si>
  <si>
    <t>Lake Forest</t>
  </si>
  <si>
    <t>1000 Indigo Pl, Lake Forest, CA 92630</t>
  </si>
  <si>
    <t>Arroyo Vista Apartments</t>
  </si>
  <si>
    <t>032022</t>
  </si>
  <si>
    <t>Ascent</t>
  </si>
  <si>
    <t>Aslam</t>
  </si>
  <si>
    <t>088301</t>
  </si>
  <si>
    <t>Avalon</t>
  </si>
  <si>
    <t>032020</t>
  </si>
  <si>
    <t>Avalon Irvine Apartments</t>
  </si>
  <si>
    <t>Avenida Villas Apartment</t>
  </si>
  <si>
    <t>Avon Dakota Phase II</t>
  </si>
  <si>
    <t>AXIS 2300 Apartments</t>
  </si>
  <si>
    <t>Baker Ranch Affordable</t>
  </si>
  <si>
    <t>052422</t>
  </si>
  <si>
    <t>Baywood</t>
  </si>
  <si>
    <t>062658</t>
  </si>
  <si>
    <t>Beachview Villas</t>
  </si>
  <si>
    <t>Bel’Age Manor</t>
  </si>
  <si>
    <t>087105</t>
  </si>
  <si>
    <t>Berkeley/Columbia Court</t>
  </si>
  <si>
    <t>Birch Hills</t>
  </si>
  <si>
    <t>021814</t>
  </si>
  <si>
    <t>Birch Hills Apartments</t>
  </si>
  <si>
    <t>Bishop Apartments</t>
  </si>
  <si>
    <t>Bonterra</t>
  </si>
  <si>
    <t>Bonterra Apt. Homes</t>
  </si>
  <si>
    <t>021832</t>
  </si>
  <si>
    <t>Bowen Court</t>
  </si>
  <si>
    <t>099305</t>
  </si>
  <si>
    <t>BREAL Senior Apartments</t>
  </si>
  <si>
    <t>001504</t>
  </si>
  <si>
    <t>Briar Crest</t>
  </si>
  <si>
    <t>088501</t>
  </si>
  <si>
    <t>Bridges Apartments</t>
  </si>
  <si>
    <t>099411</t>
  </si>
  <si>
    <t>Broadway Village</t>
  </si>
  <si>
    <t>Buena Esperanza</t>
  </si>
  <si>
    <t>Buena Vista Apartments</t>
  </si>
  <si>
    <t>076202</t>
  </si>
  <si>
    <t>Cadence Family Irvine Housing</t>
  </si>
  <si>
    <t>Calendula Court</t>
  </si>
  <si>
    <t>California Villas</t>
  </si>
  <si>
    <t>Calligraphy Apartments</t>
  </si>
  <si>
    <t>001507</t>
  </si>
  <si>
    <t>Camden Apartments</t>
  </si>
  <si>
    <t>Camden Place</t>
  </si>
  <si>
    <t>La Palma</t>
  </si>
  <si>
    <t>110116</t>
  </si>
  <si>
    <t>Capestone</t>
  </si>
  <si>
    <t>Carbon Creek Shores</t>
  </si>
  <si>
    <t>086407</t>
  </si>
  <si>
    <t>Casa Alegre</t>
  </si>
  <si>
    <t>087001</t>
  </si>
  <si>
    <t>Casa Bella</t>
  </si>
  <si>
    <t>Casa de Esperanza</t>
  </si>
  <si>
    <t>Casa de Seniors</t>
  </si>
  <si>
    <t>Casa del Sol</t>
  </si>
  <si>
    <t>Casa Delia</t>
  </si>
  <si>
    <t>087405</t>
  </si>
  <si>
    <t>Casa El Centro</t>
  </si>
  <si>
    <t>001202</t>
  </si>
  <si>
    <t>Casa La Palma Apartments</t>
  </si>
  <si>
    <t>272 / 269</t>
  </si>
  <si>
    <t>Casa Maria Del Rio</t>
  </si>
  <si>
    <t>Casa Nicolina</t>
  </si>
  <si>
    <t>001103</t>
  </si>
  <si>
    <t>Casa Paloma</t>
  </si>
  <si>
    <t>097702</t>
  </si>
  <si>
    <t>Casa Querencia</t>
  </si>
  <si>
    <t>Casa Ramon Apartments</t>
  </si>
  <si>
    <t>Casas Del Rio</t>
  </si>
  <si>
    <t>Cedar Creek</t>
  </si>
  <si>
    <t>052514</t>
  </si>
  <si>
    <t>Citrea Apartments</t>
  </si>
  <si>
    <t>Citrus Grove Apartments</t>
  </si>
  <si>
    <t>North Hills Apartments</t>
  </si>
  <si>
    <t>001604</t>
  </si>
  <si>
    <t>Northwood Park</t>
  </si>
  <si>
    <t>052533</t>
  </si>
  <si>
    <t>Northwood Place</t>
  </si>
  <si>
    <t>Nutwood Apartments</t>
  </si>
  <si>
    <t>087602</t>
  </si>
  <si>
    <t>Oakcrest Heights</t>
  </si>
  <si>
    <t>021924</t>
  </si>
  <si>
    <t>Oakcrest Terrace</t>
  </si>
  <si>
    <t>Oakview A</t>
  </si>
  <si>
    <t>099402</t>
  </si>
  <si>
    <t>Oakview B</t>
  </si>
  <si>
    <t>Oakview C</t>
  </si>
  <si>
    <t>Oakview D</t>
  </si>
  <si>
    <t>Oakview I-IV</t>
  </si>
  <si>
    <t>Oasis Martinque</t>
  </si>
  <si>
    <t>063902</t>
  </si>
  <si>
    <t>Ocean Aire Apartment Homes</t>
  </si>
  <si>
    <t>Oceana Apartments</t>
  </si>
  <si>
    <t>OHDC/Orange Rotary Senior Plaza</t>
  </si>
  <si>
    <t>Orange Garden Apartments</t>
  </si>
  <si>
    <t>Orangevale Apartments</t>
  </si>
  <si>
    <t>Orchard Park</t>
  </si>
  <si>
    <t>052532</t>
  </si>
  <si>
    <t>Orchard View Senior Gardens</t>
  </si>
  <si>
    <t>110304</t>
  </si>
  <si>
    <t>Orchid Gardens</t>
  </si>
  <si>
    <t>Pacific Court Apartments</t>
  </si>
  <si>
    <t>Pacific Sun Apartments</t>
  </si>
  <si>
    <t>Pacific Terrace Apartments</t>
  </si>
  <si>
    <t>Palacio Villas</t>
  </si>
  <si>
    <t>021905</t>
  </si>
  <si>
    <t>Palm Garden Apartments</t>
  </si>
  <si>
    <t>Palm West Village</t>
  </si>
  <si>
    <t>Paloma Summit Apartments</t>
  </si>
  <si>
    <t>Foothill Ranch</t>
  </si>
  <si>
    <t>052430</t>
  </si>
  <si>
    <t>Parch Derian</t>
  </si>
  <si>
    <t>Park Landing Apartments</t>
  </si>
  <si>
    <t>Park Place Village</t>
  </si>
  <si>
    <t>063301</t>
  </si>
  <si>
    <t>Park Stanton Seniors Apartments</t>
  </si>
  <si>
    <t>087901</t>
  </si>
  <si>
    <t>Park Villa Apartments</t>
  </si>
  <si>
    <t>Park Vista</t>
  </si>
  <si>
    <t>Parker Street Apartments</t>
  </si>
  <si>
    <t>Parkwood Apartments</t>
  </si>
  <si>
    <t>021809</t>
  </si>
  <si>
    <t>Paseo Village Family Apartments</t>
  </si>
  <si>
    <t>Pavilion Park Senior Housing</t>
  </si>
  <si>
    <t>Pebble Cove Apartments</t>
  </si>
  <si>
    <t>087806</t>
  </si>
  <si>
    <t>Pelican Harbor</t>
  </si>
  <si>
    <t>Pixley Arms</t>
  </si>
  <si>
    <t>076001</t>
  </si>
  <si>
    <t>Placentia Veterans Village</t>
  </si>
  <si>
    <t>021813</t>
  </si>
  <si>
    <t>1945 Veterans Wy, Placentia, CA 92870</t>
  </si>
  <si>
    <t>Plaza Court</t>
  </si>
  <si>
    <t>Plaza Garden Apartments</t>
  </si>
  <si>
    <t>Plaza Patria Court</t>
  </si>
  <si>
    <t>Pomona Townhome Apartments</t>
  </si>
  <si>
    <t>Potter's Lane</t>
  </si>
  <si>
    <t>074403</t>
  </si>
  <si>
    <t>15171 Jackson St, Midway City, CA 92655</t>
  </si>
  <si>
    <t>Pradera Phase A</t>
  </si>
  <si>
    <t>Pradera Phase B</t>
  </si>
  <si>
    <t>Prado</t>
  </si>
  <si>
    <t>099227</t>
  </si>
  <si>
    <t>Proactive Realty - Capistrano</t>
  </si>
  <si>
    <t>Dana Point</t>
  </si>
  <si>
    <t>042201</t>
  </si>
  <si>
    <t>25942 Domingo, Dana Point</t>
  </si>
  <si>
    <t>Proactive Realty - Cypress</t>
  </si>
  <si>
    <t>110111</t>
  </si>
  <si>
    <t>8702 &amp; 8692 LaSalle, Cypress</t>
  </si>
  <si>
    <t>Proactive Realty - HB1</t>
  </si>
  <si>
    <t>17372 Keelson Ln.</t>
  </si>
  <si>
    <t>Proactive Realty - HB2</t>
  </si>
  <si>
    <t>17351, 17361, 17401, 17412 Koledo Ln.</t>
  </si>
  <si>
    <t>Proactive Realty - HB3</t>
  </si>
  <si>
    <t>17422, 17432 Queens Ln.</t>
  </si>
  <si>
    <t>Proactive Realty (Palm Village)</t>
  </si>
  <si>
    <t>Raitt Street Apartments</t>
  </si>
  <si>
    <t>Ramona Gardens</t>
  </si>
  <si>
    <t>011721</t>
  </si>
  <si>
    <t>Rancho Moulton</t>
  </si>
  <si>
    <t>Laguna Hills</t>
  </si>
  <si>
    <t>062625</t>
  </si>
  <si>
    <t>Rancho Niguel Apartments</t>
  </si>
  <si>
    <t>Renaissaance Park Apartments</t>
  </si>
  <si>
    <t>Richman Court Apartments</t>
  </si>
  <si>
    <t>Richman Park I</t>
  </si>
  <si>
    <t>Richman Park II</t>
  </si>
  <si>
    <t>Riverbend (Archstone Yorba Linda)</t>
  </si>
  <si>
    <t>021826</t>
  </si>
  <si>
    <t>Rize</t>
  </si>
  <si>
    <t>Rockwood</t>
  </si>
  <si>
    <t>Rose Avenue Apartments</t>
  </si>
  <si>
    <t>075805</t>
  </si>
  <si>
    <t>Rose Crest</t>
  </si>
  <si>
    <t>Rose Garden Apartment</t>
  </si>
  <si>
    <t>088901</t>
  </si>
  <si>
    <t>Rose Gardens</t>
  </si>
  <si>
    <t>099803</t>
  </si>
  <si>
    <t>Ross &amp; Durant Apartments</t>
  </si>
  <si>
    <t>075003</t>
  </si>
  <si>
    <t>Rosswood Villas</t>
  </si>
  <si>
    <t>Royale Apartments</t>
  </si>
  <si>
    <t>099801</t>
  </si>
  <si>
    <t>Sage Park</t>
  </si>
  <si>
    <t>086602</t>
  </si>
  <si>
    <t>Salerno Apartments</t>
  </si>
  <si>
    <t>50/45/31</t>
  </si>
  <si>
    <t>Salida Del Sol</t>
  </si>
  <si>
    <t>San Juan Capistrano</t>
  </si>
  <si>
    <t>042312</t>
  </si>
  <si>
    <t>San Leon Villa Apartments</t>
  </si>
  <si>
    <t>052521</t>
  </si>
  <si>
    <t>San Marco Apartments</t>
  </si>
  <si>
    <t>San Marino Villa Apartments</t>
  </si>
  <si>
    <t>052522</t>
  </si>
  <si>
    <t>San Paulo Apartments</t>
  </si>
  <si>
    <t>San Remo Villa Apartments</t>
  </si>
  <si>
    <t>Santa Alicia Apartments</t>
  </si>
  <si>
    <t>052530</t>
  </si>
  <si>
    <t>Santa Ana Arts Colltective Apartments</t>
  </si>
  <si>
    <t>Santa Ana Infill</t>
  </si>
  <si>
    <t>Santa Ana Station District</t>
  </si>
  <si>
    <t>Santa Ana Station District Phase I</t>
  </si>
  <si>
    <t>Santa Ana Station District Phase II</t>
  </si>
  <si>
    <t>Santa Ana Towers</t>
  </si>
  <si>
    <t>Santa Angelina Senior Apartments</t>
  </si>
  <si>
    <t>Orange County</t>
  </si>
  <si>
    <t>011715</t>
  </si>
  <si>
    <t>SC Senior Apartments</t>
  </si>
  <si>
    <t>Sea Air Apartments</t>
  </si>
  <si>
    <t>Sea Wind Apartments</t>
  </si>
  <si>
    <t>Seasons</t>
  </si>
  <si>
    <t>Seasons II Senior Apartments</t>
  </si>
  <si>
    <t>Seasons La Palma</t>
  </si>
  <si>
    <t>110115</t>
  </si>
  <si>
    <t>Seasons Senior Apartments at San Juan Capistrano</t>
  </si>
  <si>
    <t>Seaview Lutheran Plaza</t>
  </si>
  <si>
    <t>Corona Del Mar</t>
  </si>
  <si>
    <t>Sendero Bluffs</t>
  </si>
  <si>
    <t>Serrano Woods</t>
  </si>
  <si>
    <t>075811</t>
  </si>
  <si>
    <t>Sher Lane Apartments</t>
  </si>
  <si>
    <t>099410</t>
  </si>
  <si>
    <t>Skyloft</t>
  </si>
  <si>
    <t>Solaira Apartments</t>
  </si>
  <si>
    <t>Solara Court</t>
  </si>
  <si>
    <t>South Coast Paularino</t>
  </si>
  <si>
    <t>063908</t>
  </si>
  <si>
    <t>South Court Apartments</t>
  </si>
  <si>
    <t>South Street Anaheim</t>
  </si>
  <si>
    <t>South Walnut Bungalows</t>
  </si>
  <si>
    <t>St. John's Manor</t>
  </si>
  <si>
    <t>074200 / 063202</t>
  </si>
  <si>
    <t>2031 Orange Ave, Costa Mesa, CA 92627</t>
  </si>
  <si>
    <t>Stanford Court</t>
  </si>
  <si>
    <t>Sterling Court</t>
  </si>
  <si>
    <t>Stonegate Apartments</t>
  </si>
  <si>
    <t>Stonegate II Apartments</t>
  </si>
  <si>
    <t>087805</t>
  </si>
  <si>
    <t>Stonegate Senior Apartments</t>
  </si>
  <si>
    <t>075816</t>
  </si>
  <si>
    <t>Stuart Drive Apartments</t>
  </si>
  <si>
    <t>Sullivan Manor</t>
  </si>
  <si>
    <t>Summerville at Brookhurst</t>
  </si>
  <si>
    <t>099204</t>
  </si>
  <si>
    <t>Sumner Place</t>
  </si>
  <si>
    <t>Sungrove Senior Apartments</t>
  </si>
  <si>
    <t>Talega Jamboree Apartments Phase I</t>
  </si>
  <si>
    <t>Talega Jamboree Apartments Phase II</t>
  </si>
  <si>
    <t>Tamarack Pointe Villas</t>
  </si>
  <si>
    <t>Tara Village</t>
  </si>
  <si>
    <t>The Alexander Apartments</t>
  </si>
  <si>
    <t>The Alton</t>
  </si>
  <si>
    <t>The Arbor at Woodbury</t>
  </si>
  <si>
    <t>052432</t>
  </si>
  <si>
    <t>The Arbors at Vintage Crossings</t>
  </si>
  <si>
    <t>712 E. South Street, Anaheim, CA, 92805</t>
  </si>
  <si>
    <t>The Breakwater Apartments</t>
  </si>
  <si>
    <t>The Cartwright Apartments</t>
  </si>
  <si>
    <t>The Crossings at Cherry Orchard</t>
  </si>
  <si>
    <t>The Groves</t>
  </si>
  <si>
    <t>74 / 8/2</t>
  </si>
  <si>
    <t>The Inn At Woodbridge</t>
  </si>
  <si>
    <t>The Jasmine at Founder’s Village</t>
  </si>
  <si>
    <t>099232</t>
  </si>
  <si>
    <t>The Kelvin</t>
  </si>
  <si>
    <t>The Knolls</t>
  </si>
  <si>
    <t>The Meadows</t>
  </si>
  <si>
    <t>The Mix at CTR City</t>
  </si>
  <si>
    <t>Income- Restricted</t>
  </si>
  <si>
    <t>The Orion</t>
  </si>
  <si>
    <t>The Parklands</t>
  </si>
  <si>
    <t>228 / 120</t>
  </si>
  <si>
    <t>The Pointe Apartments</t>
  </si>
  <si>
    <t>The Presidio</t>
  </si>
  <si>
    <t>The Residences at Jamboree</t>
  </si>
  <si>
    <t>The Tower on 19th</t>
  </si>
  <si>
    <t>Thomas House</t>
  </si>
  <si>
    <t>Toscana Apartments</t>
  </si>
  <si>
    <t>Town and Country Apartments</t>
  </si>
  <si>
    <t>Town Square</t>
  </si>
  <si>
    <t>Triangle Terrace</t>
  </si>
  <si>
    <t>Tudor Grove</t>
  </si>
  <si>
    <t>Turtle Rock Canyon</t>
  </si>
  <si>
    <t>062628</t>
  </si>
  <si>
    <t>Tyrol Plaza Senior Apartments</t>
  </si>
  <si>
    <t>University Town Center Apartments</t>
  </si>
  <si>
    <t>Uptown Newport I</t>
  </si>
  <si>
    <t>Uptown Newport II</t>
  </si>
  <si>
    <t>Valencia Gardens</t>
  </si>
  <si>
    <t>Valley View Senior Villas</t>
  </si>
  <si>
    <t>110003</t>
  </si>
  <si>
    <t>Ventana</t>
  </si>
  <si>
    <t>Victoria Woods Senior Apartments</t>
  </si>
  <si>
    <t>021825</t>
  </si>
  <si>
    <t>Villa Aliento</t>
  </si>
  <si>
    <t>Rancho Santa Margarita</t>
  </si>
  <si>
    <t>032051</t>
  </si>
  <si>
    <t>Villa Anaheim</t>
  </si>
  <si>
    <t>134 / 47</t>
  </si>
  <si>
    <t>Villa Camino Real</t>
  </si>
  <si>
    <t>Villa Catalpa</t>
  </si>
  <si>
    <t>Villa Del Sol Apartments</t>
  </si>
  <si>
    <t>074805</t>
  </si>
  <si>
    <t>Villa Hermosa Apartments</t>
  </si>
  <si>
    <t>052527</t>
  </si>
  <si>
    <t>Villa La Jolla</t>
  </si>
  <si>
    <t>011720</t>
  </si>
  <si>
    <t>Villa Modena</t>
  </si>
  <si>
    <t>021914</t>
  </si>
  <si>
    <t>Villa Paloma Senior Apartments</t>
  </si>
  <si>
    <t>Villa Plumosa</t>
  </si>
  <si>
    <t>Villa Siena</t>
  </si>
  <si>
    <t>Villa St. Joseph</t>
  </si>
  <si>
    <t>Village Center Apartments</t>
  </si>
  <si>
    <t>Village La Paz</t>
  </si>
  <si>
    <t>042334</t>
  </si>
  <si>
    <t>Village Way</t>
  </si>
  <si>
    <t>Vineyard Townhomes</t>
  </si>
  <si>
    <t>Vintage Apartments</t>
  </si>
  <si>
    <t>Vintage at Stonehaven</t>
  </si>
  <si>
    <t>Vintage Canyon Senior Apartments</t>
  </si>
  <si>
    <t>001506</t>
  </si>
  <si>
    <t>Vintage Crossings</t>
  </si>
  <si>
    <t>Vintage Shores</t>
  </si>
  <si>
    <t>042206</t>
  </si>
  <si>
    <t>Vista Aliso</t>
  </si>
  <si>
    <t>062632</t>
  </si>
  <si>
    <t>Vista Del Rio</t>
  </si>
  <si>
    <t>089107</t>
  </si>
  <si>
    <t>Walden Glen Apartments</t>
  </si>
  <si>
    <t>Wallace Court</t>
  </si>
  <si>
    <t>Walnut Court</t>
  </si>
  <si>
    <t>076206</t>
  </si>
  <si>
    <t>Walnut Pixley</t>
  </si>
  <si>
    <t>Walnut Village Apartments</t>
  </si>
  <si>
    <t>Warwick Square Apartments</t>
  </si>
  <si>
    <t>Wesley Village</t>
  </si>
  <si>
    <t>Westchester Apartments</t>
  </si>
  <si>
    <t>Westchester Park Apartments</t>
  </si>
  <si>
    <t>Westminster Crossing</t>
  </si>
  <si>
    <t>64 / 45</t>
  </si>
  <si>
    <t>Westminster Senior</t>
  </si>
  <si>
    <t>Wilhelmina Apartments</t>
  </si>
  <si>
    <t>086502</t>
  </si>
  <si>
    <t>Williams Senior Apartments</t>
  </si>
  <si>
    <t>Wilshire &amp; Minnie Apartments</t>
  </si>
  <si>
    <t>011403</t>
  </si>
  <si>
    <t>Wilson Avenue Apartment I</t>
  </si>
  <si>
    <t>Wilson Avenue Apartments II</t>
  </si>
  <si>
    <t>Wilson Avenue Apartments III</t>
  </si>
  <si>
    <t>Windrow Apartments</t>
  </si>
  <si>
    <t>5300 Trabuco Rd, Irvine, CA 92620</t>
  </si>
  <si>
    <t>Windsor Court &amp; Stratford Place</t>
  </si>
  <si>
    <t>Windwood Glen</t>
  </si>
  <si>
    <t>Windwood Knoll</t>
  </si>
  <si>
    <t>Wood Canyon Villas</t>
  </si>
  <si>
    <t>Woodbridge Cross Creek Apartments</t>
  </si>
  <si>
    <t>Woodbridge Manors I &amp; II</t>
  </si>
  <si>
    <t>052511</t>
  </si>
  <si>
    <t>Woodbridge Oaks</t>
  </si>
  <si>
    <t>Woodbridge Villas</t>
  </si>
  <si>
    <t>052519</t>
  </si>
  <si>
    <t>Woodbridge Willows</t>
  </si>
  <si>
    <t>Woodbury Walk</t>
  </si>
  <si>
    <t>Yorba Linda Palms Apartments</t>
  </si>
  <si>
    <t>Aurum</t>
  </si>
  <si>
    <t>Very Low/Low</t>
  </si>
  <si>
    <t>Belaira</t>
  </si>
  <si>
    <t>Very Low/Mod</t>
  </si>
  <si>
    <t>Broadstone</t>
  </si>
  <si>
    <t>Colonnade</t>
  </si>
  <si>
    <t>052534</t>
  </si>
  <si>
    <t>Enzo</t>
  </si>
  <si>
    <t>Meridian</t>
  </si>
  <si>
    <t>Pacifica Place at the Irvine Spectrum</t>
  </si>
  <si>
    <t>052518</t>
  </si>
  <si>
    <t>Park Apartments</t>
  </si>
  <si>
    <t>Very Low</t>
  </si>
  <si>
    <t>Volar Apartments Phase I</t>
  </si>
  <si>
    <t>Berkeley/Colombia Court</t>
  </si>
  <si>
    <t>Proactive Realty - Anaheim</t>
  </si>
  <si>
    <t>000000</t>
  </si>
  <si>
    <t>Proactive Realty - Garden Grove</t>
  </si>
  <si>
    <t>Proactive Realty - Irvine</t>
  </si>
  <si>
    <t>Proactive Realty - Placentia</t>
  </si>
  <si>
    <t>Proactive Realty - Santa Ana</t>
  </si>
  <si>
    <t>Geocode</t>
  </si>
  <si>
    <t>Developer / Organization</t>
  </si>
  <si>
    <t>Project Name</t>
  </si>
  <si>
    <t>HMIS Participating</t>
  </si>
  <si>
    <t>Bed Type</t>
  </si>
  <si>
    <t>Target Population</t>
  </si>
  <si>
    <t>Housing Type</t>
  </si>
  <si>
    <t>Beds HH w/ Children</t>
  </si>
  <si>
    <t>Units HH w/ Children</t>
  </si>
  <si>
    <t>Veteran Beds HH w/ Children</t>
  </si>
  <si>
    <t>Youth Beds HH w/ Children</t>
  </si>
  <si>
    <t>CH Beds HH w/ Children</t>
  </si>
  <si>
    <t>Beds HH w/o Children</t>
  </si>
  <si>
    <t>Veteran Beds HH w/o Children</t>
  </si>
  <si>
    <t>Youth Beds HH w/o Children</t>
  </si>
  <si>
    <t>CH Beds HH w/o Children</t>
  </si>
  <si>
    <t>Beds HH w/ only Children</t>
  </si>
  <si>
    <t>CH Beds HH w only Children</t>
  </si>
  <si>
    <t>Year-Round Beds</t>
  </si>
  <si>
    <t>Total Seasonal Beds</t>
  </si>
  <si>
    <t>O/V Beds</t>
  </si>
  <si>
    <t>Pit Count</t>
  </si>
  <si>
    <t>Utilization Rate</t>
  </si>
  <si>
    <t>Irvine Apartment Communities</t>
  </si>
  <si>
    <t>Yes</t>
  </si>
  <si>
    <t>NA</t>
  </si>
  <si>
    <t>Site-based - Single Site</t>
  </si>
  <si>
    <t>Arbor View</t>
  </si>
  <si>
    <t>National CORE</t>
  </si>
  <si>
    <t>#063342</t>
  </si>
  <si>
    <t>Health Care Agency Housing and Supportive Services</t>
  </si>
  <si>
    <t>Archways House</t>
  </si>
  <si>
    <t>#060450</t>
  </si>
  <si>
    <t>Orange County Housing Authority</t>
  </si>
  <si>
    <t>#069059</t>
  </si>
  <si>
    <t>Aurora Vista - HCV</t>
  </si>
  <si>
    <t>#060078</t>
  </si>
  <si>
    <t>Avenida Project Based Vouchers</t>
  </si>
  <si>
    <t>Jamboree</t>
  </si>
  <si>
    <t>Anaheim Housing Authority</t>
  </si>
  <si>
    <t>Facility-based beds</t>
  </si>
  <si>
    <t>001301 or 086903</t>
  </si>
  <si>
    <t>Continental Gardens Apartments</t>
  </si>
  <si>
    <t>Cornerstone</t>
  </si>
  <si>
    <t>Cypress Sunrise Apartments</t>
  </si>
  <si>
    <t>Voucher Beds</t>
  </si>
  <si>
    <t>Tenant-based - scattered site</t>
  </si>
  <si>
    <t>Emerald Gardens Apartments</t>
  </si>
  <si>
    <t>Estrella Springs General Funds</t>
  </si>
  <si>
    <t>Fullerton City Lights Residential Hotel</t>
  </si>
  <si>
    <t>HomeAID OC</t>
  </si>
  <si>
    <t>#063198</t>
  </si>
  <si>
    <t>Friendship Shelter</t>
  </si>
  <si>
    <t>Heritage Villas</t>
  </si>
  <si>
    <t>Huntington Villa Yorba Apartments</t>
  </si>
  <si>
    <t>Imperial Parks Apartments</t>
  </si>
  <si>
    <t>Jackson Aisle Apartments</t>
  </si>
  <si>
    <t>Mercy House</t>
  </si>
  <si>
    <t>Klimpel Manor</t>
  </si>
  <si>
    <t>Malabar</t>
  </si>
  <si>
    <t>#060846</t>
  </si>
  <si>
    <t>Mesa Vista - HCV</t>
  </si>
  <si>
    <t>#061869</t>
  </si>
  <si>
    <t>Park Landing</t>
  </si>
  <si>
    <t>Park Stanton Senior Apartments (Formerly Park Place Apartments)</t>
  </si>
  <si>
    <t>Park Vista Apartments</t>
  </si>
  <si>
    <t>Pebble Cove</t>
  </si>
  <si>
    <t>Potter's Lane PB VASH</t>
  </si>
  <si>
    <t>#061380</t>
  </si>
  <si>
    <t>Proactive Realty</t>
  </si>
  <si>
    <t>Capistrano Beach</t>
  </si>
  <si>
    <t>Rancho Niguel</t>
  </si>
  <si>
    <t>Regina Residence</t>
  </si>
  <si>
    <t>#061750</t>
  </si>
  <si>
    <t>Salerno VASH</t>
  </si>
  <si>
    <t>San Miguel Residence</t>
  </si>
  <si>
    <t>San Remo Villa</t>
  </si>
  <si>
    <t>Santa Ana Arts Collective</t>
  </si>
  <si>
    <t>Site-based - clustered/multiple sites</t>
  </si>
  <si>
    <t>Serano Woods</t>
  </si>
  <si>
    <t>St Johns Manor</t>
  </si>
  <si>
    <t>Stonegate Apartment Homes</t>
  </si>
  <si>
    <t>Stonegate Apartment Homes II</t>
  </si>
  <si>
    <t>Sullivan Manor Apartments</t>
  </si>
  <si>
    <t>#062568</t>
  </si>
  <si>
    <t>USA Properties</t>
  </si>
  <si>
    <t>The Residences on Jamboree</t>
  </si>
  <si>
    <t>La Placita Cinco / Tiny Tim (2239 West 5th StreetSanta Ana, CA, 92703)</t>
  </si>
  <si>
    <t>Tiny Tim</t>
  </si>
  <si>
    <t>Anaheim Supportive Housing</t>
  </si>
  <si>
    <t>Villa Hermosa (formerly Ability First) Apartments</t>
  </si>
  <si>
    <t>Villa Paloma</t>
  </si>
  <si>
    <t>Village Center</t>
  </si>
  <si>
    <t>Vineyard Town Homes</t>
  </si>
  <si>
    <t>Westchester Park</t>
  </si>
  <si>
    <t>Woodbridge Manor</t>
  </si>
  <si>
    <t>Program Details</t>
  </si>
  <si>
    <t>Funding Sources</t>
  </si>
  <si>
    <t xml:space="preserve">Bed Inventory </t>
  </si>
  <si>
    <t>PIT Count - 1/27/25</t>
  </si>
  <si>
    <t>Year</t>
  </si>
  <si>
    <t>Organization Name</t>
  </si>
  <si>
    <t>Inventory Type</t>
  </si>
  <si>
    <t>McKinney Vento - ESG ES</t>
  </si>
  <si>
    <t>McKinney Vento - ESG RRH</t>
  </si>
  <si>
    <t>McKinney Vento - ESG COV</t>
  </si>
  <si>
    <t>McKinney Vento - ESG RUSH</t>
  </si>
  <si>
    <t>McKinney Vento - CoC SH</t>
  </si>
  <si>
    <t>McKinney Vento - CoC TH</t>
  </si>
  <si>
    <t>McKinney Vento - CoC PSH</t>
  </si>
  <si>
    <t>McKinney Vento - CoC RRH</t>
  </si>
  <si>
    <t>McKinney Vento - CoC SRO</t>
  </si>
  <si>
    <t>McKinney Vento - CoC TH/RRH</t>
  </si>
  <si>
    <t>McKinney Vento - SpC</t>
  </si>
  <si>
    <t>McKinney Vento - S8</t>
  </si>
  <si>
    <t>McKinney Vento - Shp</t>
  </si>
  <si>
    <t>McKinney Vento - YHDP</t>
  </si>
  <si>
    <t>McKinney Vento - YHDP Renewals</t>
  </si>
  <si>
    <t>McKinney Vento - Unshelt</t>
  </si>
  <si>
    <t>McKinney Vento - Rural</t>
  </si>
  <si>
    <t>Federal Funding - VASH</t>
  </si>
  <si>
    <t>Federal Funding - SSVF</t>
  </si>
  <si>
    <t>Federal Funding - Gpd Bh</t>
  </si>
  <si>
    <t>Federal Funding - Gpd Ld</t>
  </si>
  <si>
    <t>Federal Funding - Gpd Hh</t>
  </si>
  <si>
    <t>Federal Funding- Gpd Ct</t>
  </si>
  <si>
    <t>Federal Funding -Gpd Sith</t>
  </si>
  <si>
    <t>Federal Funding- Gpd Tp</t>
  </si>
  <si>
    <t>Federal Funding - HchvCrs</t>
  </si>
  <si>
    <t>Federal Funding - HchvSh</t>
  </si>
  <si>
    <t>Federal Funding - Bcp</t>
  </si>
  <si>
    <t>Federal Funding - Tlp</t>
  </si>
  <si>
    <t>Federal Funding - Mgh</t>
  </si>
  <si>
    <t>Federal Funding - RhyDp</t>
  </si>
  <si>
    <t>Federal Funding - Hopwa Hmv</t>
  </si>
  <si>
    <t>Federal Funding - Hopwa Ph</t>
  </si>
  <si>
    <t>Federal Funding - Hopwa Stsf</t>
  </si>
  <si>
    <t>Federal Funding - Hopwa Th</t>
  </si>
  <si>
    <t>Federal Funding - Hopwa Covid</t>
  </si>
  <si>
    <t>Federal Funding - Pih</t>
  </si>
  <si>
    <t>Federal Funding - Indian Ehv</t>
  </si>
  <si>
    <t>Federal Funding - Home</t>
  </si>
  <si>
    <t>Federal Funding - Home Arp</t>
  </si>
  <si>
    <t>Federal Funding - Other</t>
  </si>
  <si>
    <t>Victim Service Provider</t>
  </si>
  <si>
    <t>Total Beds</t>
  </si>
  <si>
    <t>Disabled/Physic ally Challenged/ Seniors 62+</t>
  </si>
  <si>
    <t>Mariposa Co-Op</t>
  </si>
  <si>
    <t>39</t>
  </si>
  <si>
    <t>Emergency Shelter</t>
  </si>
  <si>
    <t>Laura's House</t>
  </si>
  <si>
    <t>Domestic Violence Emergency Shelter</t>
  </si>
  <si>
    <t>#060032</t>
  </si>
  <si>
    <t>Comparable</t>
  </si>
  <si>
    <t>Current</t>
  </si>
  <si>
    <t>DV</t>
  </si>
  <si>
    <t>No</t>
  </si>
  <si>
    <t>American Family Housing</t>
  </si>
  <si>
    <t>North Harbor Homekey</t>
  </si>
  <si>
    <t>City Net</t>
  </si>
  <si>
    <t>Anaheim CCRT Emergency Shelter</t>
  </si>
  <si>
    <t>BHBH Emergency Shelter</t>
  </si>
  <si>
    <t>Covenant House California</t>
  </si>
  <si>
    <t>Covenant House TAY Emergency Shelter</t>
  </si>
  <si>
    <t>Grandma's House of Hope</t>
  </si>
  <si>
    <t>Overflow</t>
  </si>
  <si>
    <t>Bridge Re-Entry</t>
  </si>
  <si>
    <t>GHH Men's Recovery Residence</t>
  </si>
  <si>
    <t>GHH Men's Transitional Short Term Housing</t>
  </si>
  <si>
    <t>Men's Bridge</t>
  </si>
  <si>
    <t>VOCA XH</t>
  </si>
  <si>
    <t>Women's Bridge</t>
  </si>
  <si>
    <t>Illumination Foundation</t>
  </si>
  <si>
    <t>Broadway</t>
  </si>
  <si>
    <t>Gilbert House</t>
  </si>
  <si>
    <t>Murphy House</t>
  </si>
  <si>
    <t>Plumeria House</t>
  </si>
  <si>
    <t>Anaheim House - Emergency Shelter</t>
  </si>
  <si>
    <t>Bridges at Kraemer Place</t>
  </si>
  <si>
    <t>011714</t>
  </si>
  <si>
    <t>Pathways of Hope</t>
  </si>
  <si>
    <t>Via Esperanza</t>
  </si>
  <si>
    <t>Salvation Army</t>
  </si>
  <si>
    <t>Anaheim Shelter</t>
  </si>
  <si>
    <t>The Eli Home Inc</t>
  </si>
  <si>
    <t>The Eli Home CARP Residential Recovery Shelter Program</t>
  </si>
  <si>
    <t>VOALA</t>
  </si>
  <si>
    <t>SSVF - EHA</t>
  </si>
  <si>
    <t>Buena Park STPH</t>
  </si>
  <si>
    <t>Radiant Health Centers</t>
  </si>
  <si>
    <t>Short Term Supportive Housing</t>
  </si>
  <si>
    <t>HIV</t>
  </si>
  <si>
    <t>City of Costa Mesa</t>
  </si>
  <si>
    <t>City of Costa Mesa Bridge Shelter</t>
  </si>
  <si>
    <t>Fullerton Navigation Center</t>
  </si>
  <si>
    <t>#061416</t>
  </si>
  <si>
    <t>Recuperative Care Program - Fullerton</t>
  </si>
  <si>
    <t>Unity House</t>
  </si>
  <si>
    <t>Radiant Futures</t>
  </si>
  <si>
    <t>Safety Net</t>
  </si>
  <si>
    <t>APAIT</t>
  </si>
  <si>
    <t>#061440</t>
  </si>
  <si>
    <t>Community Action Partnership of Orange County</t>
  </si>
  <si>
    <t>CAPOC Motel Vouchers</t>
  </si>
  <si>
    <t>Project Kinship</t>
  </si>
  <si>
    <t>BHBH Garden Grove Emergency Shelter</t>
  </si>
  <si>
    <t>Central Cities Navigation Center</t>
  </si>
  <si>
    <t>089003</t>
  </si>
  <si>
    <t>HB Oasis Homekey</t>
  </si>
  <si>
    <t>#061692</t>
  </si>
  <si>
    <t>Huntington Beach Navigation Center</t>
  </si>
  <si>
    <t>099212</t>
  </si>
  <si>
    <t>Waymakers</t>
  </si>
  <si>
    <t>Huntington Beach Youth Shelter</t>
  </si>
  <si>
    <t>Human Options</t>
  </si>
  <si>
    <t>Family Healing Center</t>
  </si>
  <si>
    <t>Human Options Emergency Shelter</t>
  </si>
  <si>
    <t>Last Is First Philanthropies</t>
  </si>
  <si>
    <t>Motel Emergency Shelter</t>
  </si>
  <si>
    <t>#061854</t>
  </si>
  <si>
    <t xml:space="preserve">Laguna Niguel </t>
  </si>
  <si>
    <t>Shah's House</t>
  </si>
  <si>
    <t>Casa Teresa</t>
  </si>
  <si>
    <t>Casa Teresa Emergency Maternity Shelter</t>
  </si>
  <si>
    <t>Casa Teresa Parenting Program</t>
  </si>
  <si>
    <t>HIS-OC</t>
  </si>
  <si>
    <t>Family Care Center Emergency Shelter</t>
  </si>
  <si>
    <t>Family Assistance Ministries</t>
  </si>
  <si>
    <t>FAM/MH Short Term Housing</t>
  </si>
  <si>
    <t>FAMily House</t>
  </si>
  <si>
    <t>Underdevelopment</t>
  </si>
  <si>
    <t>Gilchrist House - Families</t>
  </si>
  <si>
    <t>042109</t>
  </si>
  <si>
    <t>Alternative Sleeping Location Drop-Offs</t>
  </si>
  <si>
    <t>Behavioral Health Bridge Housing</t>
  </si>
  <si>
    <t>Family Promise of Orange County</t>
  </si>
  <si>
    <t>TCR</t>
  </si>
  <si>
    <t>Carnegie Hall</t>
  </si>
  <si>
    <t>Washington Recuperative Care</t>
  </si>
  <si>
    <t>Buena Park Emergency Shelter</t>
  </si>
  <si>
    <t>PATH</t>
  </si>
  <si>
    <t>Yale Navigation Center</t>
  </si>
  <si>
    <t>074108</t>
  </si>
  <si>
    <t>BHBH Santa Ana Emergency Shelter</t>
  </si>
  <si>
    <t>Project Kinship Emergency Shelter</t>
  </si>
  <si>
    <t>WISEPlace</t>
  </si>
  <si>
    <t>Santa Ana Shelter</t>
  </si>
  <si>
    <t>House of Ruth</t>
  </si>
  <si>
    <t>#063804</t>
  </si>
  <si>
    <t>OC Rescue Mission</t>
  </si>
  <si>
    <t>Hope Harbor</t>
  </si>
  <si>
    <t>Tustin Temporary Emergency Shelter</t>
  </si>
  <si>
    <t>Casa Youth Shelter</t>
  </si>
  <si>
    <t>Basic Center Group</t>
  </si>
  <si>
    <t>Alternative Sleeping Location</t>
  </si>
  <si>
    <t>Bridge Housing Program</t>
  </si>
  <si>
    <t>Women's Emergency Shelter</t>
  </si>
  <si>
    <t>HIS-OC Emergency Shelter</t>
  </si>
  <si>
    <t>Theriault House</t>
  </si>
  <si>
    <t>Interval House</t>
  </si>
  <si>
    <t>Precious Life Shelter</t>
  </si>
  <si>
    <t>Placentia Navigation Center</t>
  </si>
  <si>
    <t>011722</t>
  </si>
  <si>
    <t>Families, Mobility &amp; Sensory Impaired</t>
  </si>
  <si>
    <t>40</t>
  </si>
  <si>
    <t>46</t>
  </si>
  <si>
    <t>2</t>
  </si>
  <si>
    <t>1</t>
  </si>
  <si>
    <t>229</t>
  </si>
  <si>
    <t>45</t>
  </si>
  <si>
    <t>7</t>
  </si>
  <si>
    <t>12</t>
  </si>
  <si>
    <t>Cobble Stone Apartments</t>
  </si>
  <si>
    <t>63</t>
  </si>
  <si>
    <t>Cornerstone Apartments</t>
  </si>
  <si>
    <t>48</t>
  </si>
  <si>
    <t>51</t>
  </si>
  <si>
    <t>Greenleaf Apartments</t>
  </si>
  <si>
    <t>19</t>
  </si>
  <si>
    <t>62</t>
  </si>
  <si>
    <t>9</t>
  </si>
  <si>
    <t>17</t>
  </si>
  <si>
    <t>58</t>
  </si>
  <si>
    <t>392</t>
  </si>
  <si>
    <t>Paseo Village</t>
  </si>
  <si>
    <t>174</t>
  </si>
  <si>
    <t>112</t>
  </si>
  <si>
    <t>71</t>
  </si>
  <si>
    <t>73</t>
  </si>
  <si>
    <t>Renaissance Apartments</t>
  </si>
  <si>
    <t>127</t>
  </si>
  <si>
    <t>90</t>
  </si>
  <si>
    <t>37</t>
  </si>
  <si>
    <t>25</t>
  </si>
  <si>
    <t>16</t>
  </si>
  <si>
    <t>59</t>
  </si>
  <si>
    <t>91</t>
  </si>
  <si>
    <t>64</t>
  </si>
  <si>
    <t>114</t>
  </si>
  <si>
    <t>33</t>
  </si>
  <si>
    <t>93</t>
  </si>
  <si>
    <t>21</t>
  </si>
  <si>
    <t>5</t>
  </si>
  <si>
    <t>26</t>
  </si>
  <si>
    <t>47</t>
  </si>
  <si>
    <t>3</t>
  </si>
  <si>
    <t>70</t>
  </si>
  <si>
    <t>109</t>
  </si>
  <si>
    <t>38</t>
  </si>
  <si>
    <t>186</t>
  </si>
  <si>
    <t>24</t>
  </si>
  <si>
    <t>250</t>
  </si>
  <si>
    <t>14</t>
  </si>
  <si>
    <t>96</t>
  </si>
  <si>
    <t>15</t>
  </si>
  <si>
    <t>No Name Provided</t>
  </si>
  <si>
    <t>074200</t>
  </si>
  <si>
    <t>063808</t>
  </si>
  <si>
    <t>4</t>
  </si>
  <si>
    <t>10</t>
  </si>
  <si>
    <t>8</t>
  </si>
  <si>
    <t>170</t>
  </si>
  <si>
    <t>55</t>
  </si>
  <si>
    <t>108</t>
  </si>
  <si>
    <t>27</t>
  </si>
  <si>
    <t>11</t>
  </si>
  <si>
    <t>136</t>
  </si>
  <si>
    <t>20</t>
  </si>
  <si>
    <t>148</t>
  </si>
  <si>
    <t>203</t>
  </si>
  <si>
    <t>223</t>
  </si>
  <si>
    <t>68</t>
  </si>
  <si>
    <t>Briar Crest and Rose Crest</t>
  </si>
  <si>
    <t>Briar – 32 Rose – 10</t>
  </si>
  <si>
    <t>80</t>
  </si>
  <si>
    <t>31</t>
  </si>
  <si>
    <t>126</t>
  </si>
  <si>
    <t>95</t>
  </si>
  <si>
    <t>144</t>
  </si>
  <si>
    <t>American Family Housing Barton 1</t>
  </si>
  <si>
    <t>American Family Housing Barton 2</t>
  </si>
  <si>
    <t>106</t>
  </si>
  <si>
    <t>88</t>
  </si>
  <si>
    <t>Huntington Pointe (Quo Vadis)</t>
  </si>
  <si>
    <t>104</t>
  </si>
  <si>
    <t>192</t>
  </si>
  <si>
    <t>43</t>
  </si>
  <si>
    <t>65</t>
  </si>
  <si>
    <t>36</t>
  </si>
  <si>
    <t>66</t>
  </si>
  <si>
    <t>23</t>
  </si>
  <si>
    <t>18</t>
  </si>
  <si>
    <t>Camden Apts.</t>
  </si>
  <si>
    <t>28</t>
  </si>
  <si>
    <t>35</t>
  </si>
  <si>
    <t>120</t>
  </si>
  <si>
    <t>Montecito Vista</t>
  </si>
  <si>
    <t>161</t>
  </si>
  <si>
    <t>6</t>
  </si>
  <si>
    <t>82</t>
  </si>
  <si>
    <t>-</t>
  </si>
  <si>
    <t>89</t>
  </si>
  <si>
    <t>The Kelvin Apartments</t>
  </si>
  <si>
    <t>84</t>
  </si>
  <si>
    <t>Turtle Rock Canyon Apartments</t>
  </si>
  <si>
    <t>149</t>
  </si>
  <si>
    <t>60</t>
  </si>
  <si>
    <t>Woodbury Walk Apts.</t>
  </si>
  <si>
    <t>150</t>
  </si>
  <si>
    <t>22</t>
  </si>
  <si>
    <t>Cypress Villas Apartments</t>
  </si>
  <si>
    <t>72</t>
  </si>
  <si>
    <t>272</t>
  </si>
  <si>
    <t>44</t>
  </si>
  <si>
    <t>100</t>
  </si>
  <si>
    <t>189</t>
  </si>
  <si>
    <t>30</t>
  </si>
  <si>
    <t>156</t>
  </si>
  <si>
    <t>32</t>
  </si>
  <si>
    <t>111</t>
  </si>
  <si>
    <t>105</t>
  </si>
  <si>
    <t>Buena Vista</t>
  </si>
  <si>
    <t>Casa Ramon</t>
  </si>
  <si>
    <t>74</t>
  </si>
  <si>
    <t>56</t>
  </si>
  <si>
    <t>El Modena Transitional Shelter</t>
  </si>
  <si>
    <t>021913</t>
  </si>
  <si>
    <t>256</t>
  </si>
  <si>
    <t>54</t>
  </si>
  <si>
    <t>Henderson House Shared Housing</t>
  </si>
  <si>
    <t>185</t>
  </si>
  <si>
    <t>Orange Housing Development/C&amp;C Development</t>
  </si>
  <si>
    <t>609</t>
  </si>
  <si>
    <t>13</t>
  </si>
  <si>
    <t>69</t>
  </si>
  <si>
    <t>City Gardens Apartments</t>
  </si>
  <si>
    <t>Warwick Square</t>
  </si>
  <si>
    <t>500</t>
  </si>
  <si>
    <t>297</t>
  </si>
  <si>
    <t>102</t>
  </si>
  <si>
    <t>210</t>
  </si>
  <si>
    <t>57</t>
  </si>
  <si>
    <t>American Family Housing - Single Family</t>
  </si>
  <si>
    <t>099703</t>
  </si>
  <si>
    <t>American Family Housing - Triplex</t>
  </si>
  <si>
    <t>099904</t>
  </si>
  <si>
    <t>Family &amp; PSH</t>
  </si>
  <si>
    <t>49</t>
  </si>
  <si>
    <t>Family 62+</t>
  </si>
  <si>
    <t>Family Mobility Impaired</t>
  </si>
  <si>
    <t>Family/ Special Needs</t>
  </si>
  <si>
    <t>Family/MHSA</t>
  </si>
  <si>
    <t>Avenida Villas</t>
  </si>
  <si>
    <t>Cerritos Apartments</t>
  </si>
  <si>
    <t>132</t>
  </si>
  <si>
    <t>53</t>
  </si>
  <si>
    <t>276</t>
  </si>
  <si>
    <t>400</t>
  </si>
  <si>
    <t>274</t>
  </si>
  <si>
    <t>Large Families</t>
  </si>
  <si>
    <t>293</t>
  </si>
  <si>
    <t>76</t>
  </si>
  <si>
    <t>Other Permanent Housing</t>
  </si>
  <si>
    <t>AHA Emergency Housing Vouchers</t>
  </si>
  <si>
    <t>Bethany Residence</t>
  </si>
  <si>
    <t>City of Garden Grove</t>
  </si>
  <si>
    <t>Garden Grove Emergency Housing Voucher Program</t>
  </si>
  <si>
    <t>Salerno HCV</t>
  </si>
  <si>
    <t>Clipper Way Family House - Permanent</t>
  </si>
  <si>
    <t>Espalter Men's House- Permanent</t>
  </si>
  <si>
    <t>Zoraida House</t>
  </si>
  <si>
    <t>#062286</t>
  </si>
  <si>
    <t>Katharine Drexel Residence III</t>
  </si>
  <si>
    <t>AFH CalAIM</t>
  </si>
  <si>
    <t>Housing for Health Orange County</t>
  </si>
  <si>
    <t>Cal AIM Housing</t>
  </si>
  <si>
    <t>Emmanuel Residence</t>
  </si>
  <si>
    <t>OCHA Emergency Housing Vouchers</t>
  </si>
  <si>
    <t>Santa Ana Housing Authority</t>
  </si>
  <si>
    <t>SAHA Emergency Housing Vouchers</t>
  </si>
  <si>
    <t>#064014</t>
  </si>
  <si>
    <t>Senior Micro Communities</t>
  </si>
  <si>
    <t>El Conejo Men's House - Permanent</t>
  </si>
  <si>
    <t>Magnolia Women's House - Permanent</t>
  </si>
  <si>
    <t>Quail Creek Permanent Housing</t>
  </si>
  <si>
    <t>CE HCV</t>
  </si>
  <si>
    <t>Mainstream Voucher Program (MVP)</t>
  </si>
  <si>
    <t>Stanton Inn</t>
  </si>
  <si>
    <t>Tahiti</t>
  </si>
  <si>
    <t>AHA - Center of Hope Apartments</t>
  </si>
  <si>
    <t>AHA NPLH - Center of Hope</t>
  </si>
  <si>
    <t>HCA NPLH - Center of Hope</t>
  </si>
  <si>
    <t>Pathways of Hope - PSH for Families</t>
  </si>
  <si>
    <t>Belage Manor</t>
  </si>
  <si>
    <t>Mesa Vista - VASH</t>
  </si>
  <si>
    <t>POH PSH Collaboration II</t>
  </si>
  <si>
    <t>AFH Stuart Drive</t>
  </si>
  <si>
    <t>Permanent Housing Collaborative</t>
  </si>
  <si>
    <t>VASH Project-Based Vouchers - Newport Veteran's Housing</t>
  </si>
  <si>
    <t>#062454</t>
  </si>
  <si>
    <t>Estrella Springs MHSA</t>
  </si>
  <si>
    <t>Estrella Springs VASH VHHP</t>
  </si>
  <si>
    <t>CoC Leasing</t>
  </si>
  <si>
    <t>Legacy Square NPLH</t>
  </si>
  <si>
    <t>MCY PSH Collaboration</t>
  </si>
  <si>
    <t>MCY PSH Collaboration II</t>
  </si>
  <si>
    <t>Mills End and PSH Leasing Consolidation</t>
  </si>
  <si>
    <t>The Aqua</t>
  </si>
  <si>
    <t>#1 Consolidated Continuum of Care TRA</t>
  </si>
  <si>
    <t>#2 Consolidated CoC TRA</t>
  </si>
  <si>
    <t>#3 Consolidated CoC TRA</t>
  </si>
  <si>
    <t>#4 Consolidated CoC TRA</t>
  </si>
  <si>
    <t>Permanent Housing 2</t>
  </si>
  <si>
    <t>Altrudy Lane Seniors</t>
  </si>
  <si>
    <t>The Groves Senior Apartments</t>
  </si>
  <si>
    <t>first</t>
  </si>
  <si>
    <t>SHP Stanton Multi-Service Center</t>
  </si>
  <si>
    <t>Street 2 Home</t>
  </si>
  <si>
    <t>AFH PSH Collaboration II</t>
  </si>
  <si>
    <t>FAM PSH Collaboration II</t>
  </si>
  <si>
    <t>FSI PSH Collaboration</t>
  </si>
  <si>
    <t>FSI PSH Collaboration II</t>
  </si>
  <si>
    <t>Aurora Vista - VASH</t>
  </si>
  <si>
    <t>Jackson Aisle Shelter Plus Care PRA Renewal</t>
  </si>
  <si>
    <t>Tahiti - VASH</t>
  </si>
  <si>
    <t>VASH</t>
  </si>
  <si>
    <t>Salida del Sol</t>
  </si>
  <si>
    <t>Mendocino at Talega</t>
  </si>
  <si>
    <t>Mirracle Terrace</t>
  </si>
  <si>
    <t>San Marco Villa Apartments</t>
  </si>
  <si>
    <t>Avalon Irvine</t>
  </si>
  <si>
    <t>AXIS 2300</t>
  </si>
  <si>
    <t>LIHTC</t>
  </si>
  <si>
    <t>Stuart Drive Apartments &amp; Rose Garden Apartments</t>
  </si>
  <si>
    <t>001301</t>
  </si>
  <si>
    <t>Cambridge Heights Senior Apartments</t>
  </si>
  <si>
    <t>Tara Village Apartments</t>
  </si>
  <si>
    <t>Bel Age Preservation LP</t>
  </si>
  <si>
    <t>Tower on 19th</t>
  </si>
  <si>
    <t>Triangle Terrace Apartments</t>
  </si>
  <si>
    <t>Citrea FKA Fullerton Family Housing</t>
  </si>
  <si>
    <t>Airport Inn Apartments</t>
  </si>
  <si>
    <t>Physical Disability</t>
  </si>
  <si>
    <t>Harborview Terrace Apartments</t>
  </si>
  <si>
    <t>001706</t>
  </si>
  <si>
    <t>Rapid Re-Housing</t>
  </si>
  <si>
    <t>BHBH Rapid Re-Housing</t>
  </si>
  <si>
    <t>Covenant House California Rapid Rehousing for TAY</t>
  </si>
  <si>
    <t>Families Forward</t>
  </si>
  <si>
    <t>County of Orange RRH+</t>
  </si>
  <si>
    <t>Chronically Homeless Individual Pilot Program</t>
  </si>
  <si>
    <t>HAPP Rapid Rehousing</t>
  </si>
  <si>
    <t>Santa Ana ESG RRH</t>
  </si>
  <si>
    <t>City of Costa Mesa BHBH RRH</t>
  </si>
  <si>
    <t>PATH Rapid Re-Housing ESG</t>
  </si>
  <si>
    <t>SPIN</t>
  </si>
  <si>
    <t>GAPP CoC Rapid Rehousing Program</t>
  </si>
  <si>
    <t>Key Housing</t>
  </si>
  <si>
    <t>1736 Family Crisis Center</t>
  </si>
  <si>
    <t>SSVF - Rapid ReHousing</t>
  </si>
  <si>
    <t>ESG Garden Grove RRH</t>
  </si>
  <si>
    <t>HUD - RRH</t>
  </si>
  <si>
    <t>Irvine Recovery Plan - RRH</t>
  </si>
  <si>
    <t>DV Bonus Rapid Re-Housing</t>
  </si>
  <si>
    <t>Anaheim CHIPP</t>
  </si>
  <si>
    <t>Bringing Families Home - RRH</t>
  </si>
  <si>
    <t>CalWorks HSP - RRH</t>
  </si>
  <si>
    <t>HomeSafe - RRH</t>
  </si>
  <si>
    <t>Huntington Beach TBRA - RRH</t>
  </si>
  <si>
    <t>SSVF Rapid Re-housing</t>
  </si>
  <si>
    <t>Bonus Rapid Re-Housing</t>
  </si>
  <si>
    <t>Steps to Independence (ESG) Rapid Re-Housing</t>
  </si>
  <si>
    <t>US Veterans Initiative</t>
  </si>
  <si>
    <t>SSVF Rapid Rehousing</t>
  </si>
  <si>
    <t>CoC RRH South</t>
  </si>
  <si>
    <t>HAP-F Case Management</t>
  </si>
  <si>
    <t>Garden Grove HOME TBRA RRH</t>
  </si>
  <si>
    <t>Rapid Re-housing</t>
  </si>
  <si>
    <t>Rapid Re-Housing (DV Bonus)</t>
  </si>
  <si>
    <t>Senior 62+</t>
  </si>
  <si>
    <t>Senior 62+ &amp; Mobility Impaired</t>
  </si>
  <si>
    <t>99</t>
  </si>
  <si>
    <t>063202</t>
  </si>
  <si>
    <t>Senior 62+ &amp; Mobility Impaired (18+)</t>
  </si>
  <si>
    <t>Senior 62+ Disabled/ Handicap</t>
  </si>
  <si>
    <t>159</t>
  </si>
  <si>
    <t>Senior 62+ or Disabled</t>
  </si>
  <si>
    <t>Seniors 55+</t>
  </si>
  <si>
    <t>178</t>
  </si>
  <si>
    <t>130</t>
  </si>
  <si>
    <t>154</t>
  </si>
  <si>
    <t>85</t>
  </si>
  <si>
    <t>50</t>
  </si>
  <si>
    <t>Solaira At Pavilion Park</t>
  </si>
  <si>
    <t>219</t>
  </si>
  <si>
    <t>122</t>
  </si>
  <si>
    <t>334</t>
  </si>
  <si>
    <t>Seniors 58+</t>
  </si>
  <si>
    <t>125</t>
  </si>
  <si>
    <t>Seniors 60+</t>
  </si>
  <si>
    <t>Seniors 62+</t>
  </si>
  <si>
    <t>Tyrol Plaza</t>
  </si>
  <si>
    <t>98</t>
  </si>
  <si>
    <t>268</t>
  </si>
  <si>
    <t>94</t>
  </si>
  <si>
    <t>164</t>
  </si>
  <si>
    <t>183</t>
  </si>
  <si>
    <t>116</t>
  </si>
  <si>
    <t>Camden Place Apartments</t>
  </si>
  <si>
    <t>97</t>
  </si>
  <si>
    <t>142</t>
  </si>
  <si>
    <t>332</t>
  </si>
  <si>
    <t>Harmony Creek Sr. Apartments</t>
  </si>
  <si>
    <t>75</t>
  </si>
  <si>
    <t>199</t>
  </si>
  <si>
    <t>198</t>
  </si>
  <si>
    <t>Westminster Senior Apartments</t>
  </si>
  <si>
    <t>Seniors 62+ Mobility Impaired</t>
  </si>
  <si>
    <t>Seniors 62+/Disabled</t>
  </si>
  <si>
    <t>165</t>
  </si>
  <si>
    <t>Flower Terrace Apartments</t>
  </si>
  <si>
    <t>140</t>
  </si>
  <si>
    <t>Seniors 62+/Families</t>
  </si>
  <si>
    <t>Seniors 65+</t>
  </si>
  <si>
    <t>Single</t>
  </si>
  <si>
    <t>Casa Querencia Apartments</t>
  </si>
  <si>
    <t>Single Family Homes</t>
  </si>
  <si>
    <t>Little Hollywood Program</t>
  </si>
  <si>
    <t>Singles &amp; Families</t>
  </si>
  <si>
    <t>128</t>
  </si>
  <si>
    <t>Transitional Housing</t>
  </si>
  <si>
    <t>Domestic Violence Transitional Living Center</t>
  </si>
  <si>
    <t>Hope Family Housing - Buena Park</t>
  </si>
  <si>
    <t>2nd Step</t>
  </si>
  <si>
    <t>Homeless Family Shelter #10</t>
  </si>
  <si>
    <t>Colette's Children's Home</t>
  </si>
  <si>
    <t>Colettes Childrens Home #1</t>
  </si>
  <si>
    <t>Colettes Childrens Home #2</t>
  </si>
  <si>
    <t>Dairyview</t>
  </si>
  <si>
    <t>DV Bonus Transitional Housing</t>
  </si>
  <si>
    <t>Third Step</t>
  </si>
  <si>
    <t>Clipper Way Family House- Transitional</t>
  </si>
  <si>
    <t>Casa Teresa Transformation 1 Program</t>
  </si>
  <si>
    <t>Casa Teresa Transformation 2 Program</t>
  </si>
  <si>
    <t>House of Hope</t>
  </si>
  <si>
    <t>Pearl House</t>
  </si>
  <si>
    <t>Gilchrist House - Individuals</t>
  </si>
  <si>
    <t>The Orangewood Foundation</t>
  </si>
  <si>
    <t>Casa De Rosemary</t>
  </si>
  <si>
    <t>Hope's Corner</t>
  </si>
  <si>
    <t>Light House and Graduate Apartments</t>
  </si>
  <si>
    <t>Rising Tide</t>
  </si>
  <si>
    <t>Bonus Transitional Shelter</t>
  </si>
  <si>
    <t>Alumni Housing</t>
  </si>
  <si>
    <t>Tustin Veteran's Outpost</t>
  </si>
  <si>
    <t>Village of Hope - Transitional Housing</t>
  </si>
  <si>
    <t>Colettes Childrens Home #3</t>
  </si>
  <si>
    <t>Cypress Street #2/Placentia</t>
  </si>
  <si>
    <t>Aliso Viejo Condominium</t>
  </si>
  <si>
    <t>HIS OC Family Transitional</t>
  </si>
  <si>
    <t>Newman House</t>
  </si>
  <si>
    <t>TAY</t>
  </si>
  <si>
    <t>DV Transitional Housing</t>
  </si>
  <si>
    <t>El Conejo Men's House - Transitional</t>
  </si>
  <si>
    <t>Double R Ranch Transitional Housing</t>
  </si>
  <si>
    <t>Renaissaance Apartments</t>
  </si>
  <si>
    <t>Orchard View Gardens</t>
  </si>
  <si>
    <t>Harbor View Terrace</t>
  </si>
  <si>
    <t>2305 N Harbor Blvd</t>
  </si>
  <si>
    <t>Individuals</t>
  </si>
  <si>
    <t>Affordable Units</t>
  </si>
  <si>
    <t>042311</t>
  </si>
  <si>
    <t>Mariposa Villa Co-Op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</si>
</sst>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8"/>
      <name val="Calibri"/>
      <family val="2"/>
      <charset val="1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89013336588644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/>
  </cellStyleXfs>
  <cellXfs count="99">
    <xf numFmtId="0" fontId="0" fillId="0" borderId="0" xfId="0"/>
    <xf numFmtId="0" fontId="0" fillId="4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9" fontId="1" fillId="0" borderId="0" xfId="0" applyNumberFormat="1" applyFont="1" applyAlignment="1">
      <alignment horizontal="center"/>
    </xf>
    <xf numFmtId="49" fontId="0" fillId="4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9" fontId="0" fillId="0" borderId="0" xfId="0" applyNumberFormat="1"/>
    <xf numFmtId="0" fontId="0" fillId="0" borderId="5" xfId="0" applyBorder="1"/>
    <xf numFmtId="0" fontId="0" fillId="0" borderId="4" xfId="0" applyBorder="1"/>
    <xf numFmtId="9" fontId="1" fillId="0" borderId="0" xfId="0" applyNumberFormat="1" applyFont="1"/>
    <xf numFmtId="9" fontId="7" fillId="0" borderId="0" xfId="1"/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0" xfId="0" applyFill="1"/>
    <xf numFmtId="0" fontId="0" fillId="4" borderId="4" xfId="0" applyFill="1" applyBorder="1" applyAlignment="1">
      <alignment horizontal="center"/>
    </xf>
    <xf numFmtId="0" fontId="6" fillId="0" borderId="0" xfId="0" applyFont="1"/>
    <xf numFmtId="0" fontId="0" fillId="4" borderId="0" xfId="0" applyFill="1" applyAlignment="1">
      <alignment horizontal="left"/>
    </xf>
    <xf numFmtId="0" fontId="0" fillId="4" borderId="5" xfId="0" applyFill="1" applyBorder="1"/>
    <xf numFmtId="9" fontId="0" fillId="4" borderId="0" xfId="0" applyNumberFormat="1" applyFill="1"/>
    <xf numFmtId="49" fontId="0" fillId="2" borderId="6" xfId="0" applyNumberForma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/>
    </xf>
    <xf numFmtId="9" fontId="0" fillId="0" borderId="6" xfId="0" applyNumberFormat="1" applyBorder="1"/>
    <xf numFmtId="0" fontId="0" fillId="0" borderId="7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9" fontId="7" fillId="0" borderId="6" xfId="1" applyBorder="1"/>
    <xf numFmtId="9" fontId="1" fillId="0" borderId="6" xfId="0" applyNumberFormat="1" applyFont="1" applyBorder="1"/>
    <xf numFmtId="9" fontId="0" fillId="0" borderId="7" xfId="0" applyNumberFormat="1" applyBorder="1" applyAlignment="1">
      <alignment horizontal="center"/>
    </xf>
    <xf numFmtId="0" fontId="2" fillId="0" borderId="6" xfId="0" applyFont="1" applyBorder="1"/>
    <xf numFmtId="9" fontId="0" fillId="0" borderId="7" xfId="0" applyNumberFormat="1" applyBorder="1"/>
    <xf numFmtId="49" fontId="0" fillId="0" borderId="7" xfId="0" applyNumberFormat="1" applyBorder="1" applyAlignment="1">
      <alignment horizontal="center"/>
    </xf>
    <xf numFmtId="0" fontId="0" fillId="0" borderId="8" xfId="0" applyBorder="1"/>
    <xf numFmtId="9" fontId="0" fillId="0" borderId="6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9" fontId="0" fillId="5" borderId="0" xfId="0" applyNumberFormat="1" applyFill="1"/>
    <xf numFmtId="9" fontId="8" fillId="0" borderId="0" xfId="0" applyNumberFormat="1" applyFon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0" borderId="0" xfId="0" applyNumberFormat="1"/>
    <xf numFmtId="0" fontId="5" fillId="0" borderId="0" xfId="0" applyFont="1"/>
    <xf numFmtId="0" fontId="3" fillId="0" borderId="0" xfId="0" applyFont="1" applyAlignment="1">
      <alignment vertical="center"/>
    </xf>
    <xf numFmtId="49" fontId="1" fillId="0" borderId="0" xfId="0" applyNumberFormat="1" applyFont="1"/>
    <xf numFmtId="0" fontId="0" fillId="0" borderId="0" xfId="0" quotePrefix="1" applyAlignment="1">
      <alignment horizontal="center"/>
    </xf>
    <xf numFmtId="0" fontId="9" fillId="7" borderId="0" xfId="0" applyFont="1" applyFill="1" applyAlignment="1">
      <alignment horizontal="center"/>
    </xf>
    <xf numFmtId="0" fontId="0" fillId="9" borderId="0" xfId="0" applyFill="1" applyAlignment="1">
      <alignment horizontal="left"/>
    </xf>
    <xf numFmtId="0" fontId="0" fillId="10" borderId="0" xfId="0" applyFill="1"/>
    <xf numFmtId="0" fontId="0" fillId="6" borderId="6" xfId="0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2" borderId="6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9" fontId="1" fillId="0" borderId="0" xfId="0" applyNumberFormat="1" applyFont="1" applyFill="1" applyAlignment="1">
      <alignment horizontal="center"/>
    </xf>
    <xf numFmtId="0" fontId="0" fillId="0" borderId="0" xfId="0" quotePrefix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9" fontId="8" fillId="0" borderId="0" xfId="0" applyNumberFormat="1" applyFont="1" applyFill="1" applyAlignment="1">
      <alignment horizontal="center"/>
    </xf>
    <xf numFmtId="9" fontId="11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537E-6ABD-4C0B-A6AC-B1FE07E85846}">
  <dimension ref="A1:W357"/>
  <sheetViews>
    <sheetView tabSelected="1" zoomScale="85" zoomScaleNormal="85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R52" sqref="R52"/>
    </sheetView>
  </sheetViews>
  <sheetFormatPr baseColWidth="10" defaultColWidth="8.83203125" defaultRowHeight="15" x14ac:dyDescent="0.2"/>
  <cols>
    <col min="1" max="1" width="33.1640625" style="7" customWidth="1"/>
    <col min="2" max="2" width="19.6640625" style="5" customWidth="1"/>
    <col min="3" max="3" width="16.6640625" style="6" customWidth="1"/>
    <col min="4" max="4" width="36.6640625" style="6" hidden="1" customWidth="1"/>
    <col min="5" max="5" width="21.5" style="5" customWidth="1"/>
    <col min="6" max="6" width="29.6640625" hidden="1" customWidth="1"/>
    <col min="7" max="11" width="20.6640625" style="5" customWidth="1"/>
    <col min="12" max="13" width="11.5" style="5" customWidth="1"/>
    <col min="14" max="14" width="11.1640625" style="5" hidden="1" customWidth="1"/>
    <col min="15" max="15" width="0.83203125" style="5" hidden="1" customWidth="1"/>
    <col min="16" max="18" width="17.33203125" style="5" customWidth="1"/>
    <col min="19" max="19" width="17.1640625" style="5" customWidth="1"/>
  </cols>
  <sheetData>
    <row r="1" spans="1:19" s="12" customFormat="1" ht="111" customHeight="1" x14ac:dyDescent="0.2">
      <c r="A1" s="88" t="s">
        <v>0</v>
      </c>
      <c r="B1" s="88" t="s">
        <v>1</v>
      </c>
      <c r="C1" s="89" t="s">
        <v>2</v>
      </c>
      <c r="D1" s="89" t="s">
        <v>3</v>
      </c>
      <c r="E1" s="88" t="s">
        <v>4</v>
      </c>
      <c r="F1" s="88" t="s">
        <v>4</v>
      </c>
      <c r="G1" s="88" t="s">
        <v>406</v>
      </c>
      <c r="H1" s="88" t="s">
        <v>39</v>
      </c>
      <c r="I1" s="88" t="s">
        <v>236</v>
      </c>
      <c r="J1" s="88" t="s">
        <v>26</v>
      </c>
      <c r="K1" s="88" t="s">
        <v>1438</v>
      </c>
      <c r="L1" s="88" t="s">
        <v>6</v>
      </c>
      <c r="M1" s="88" t="s">
        <v>1439</v>
      </c>
      <c r="N1" s="88" t="s">
        <v>8</v>
      </c>
      <c r="O1" s="88" t="s">
        <v>9</v>
      </c>
      <c r="P1" s="88" t="s">
        <v>10</v>
      </c>
      <c r="Q1" s="88" t="s">
        <v>11</v>
      </c>
      <c r="R1" s="88" t="s">
        <v>12</v>
      </c>
      <c r="S1" s="88" t="s">
        <v>13</v>
      </c>
    </row>
    <row r="2" spans="1:19" x14ac:dyDescent="0.2">
      <c r="A2" s="90" t="s">
        <v>778</v>
      </c>
      <c r="B2" s="90" t="s">
        <v>242</v>
      </c>
      <c r="C2" s="90" t="s">
        <v>243</v>
      </c>
      <c r="D2" s="90"/>
      <c r="E2" s="90" t="s">
        <v>17</v>
      </c>
      <c r="F2" s="90"/>
      <c r="G2" s="90" t="s">
        <v>406</v>
      </c>
      <c r="H2" s="90"/>
      <c r="I2" s="90"/>
      <c r="J2" s="90"/>
      <c r="K2" s="90"/>
      <c r="L2" s="90">
        <v>230</v>
      </c>
      <c r="M2" s="90">
        <v>46</v>
      </c>
      <c r="N2" s="90"/>
      <c r="O2" s="90"/>
      <c r="P2" s="91">
        <v>0.78300000000000003</v>
      </c>
      <c r="Q2" s="91">
        <v>0.80700000000000005</v>
      </c>
      <c r="R2" s="91">
        <v>9.5000000000000001E-2</v>
      </c>
      <c r="S2" s="91">
        <v>7.6607992914867695E-2</v>
      </c>
    </row>
    <row r="3" spans="1:19" x14ac:dyDescent="0.2">
      <c r="A3" s="90" t="s">
        <v>317</v>
      </c>
      <c r="B3" s="90" t="s">
        <v>242</v>
      </c>
      <c r="C3" s="92" t="s">
        <v>243</v>
      </c>
      <c r="D3" s="92"/>
      <c r="E3" s="90" t="s">
        <v>17</v>
      </c>
      <c r="F3" s="90" t="s">
        <v>25</v>
      </c>
      <c r="G3" s="90" t="s">
        <v>406</v>
      </c>
      <c r="H3" s="90"/>
      <c r="I3" s="90"/>
      <c r="J3" s="90"/>
      <c r="K3" s="90" t="s">
        <v>373</v>
      </c>
      <c r="L3" s="90">
        <v>128</v>
      </c>
      <c r="M3" s="90">
        <v>128</v>
      </c>
      <c r="N3" s="90"/>
      <c r="O3" s="90"/>
      <c r="P3" s="93">
        <v>0.78</v>
      </c>
      <c r="Q3" s="93">
        <v>0.80700000000000005</v>
      </c>
      <c r="R3" s="91">
        <v>9.5000000000000001E-2</v>
      </c>
      <c r="S3" s="91">
        <v>7.6607992914867695E-2</v>
      </c>
    </row>
    <row r="4" spans="1:19" x14ac:dyDescent="0.2">
      <c r="A4" s="90" t="s">
        <v>375</v>
      </c>
      <c r="B4" s="90" t="s">
        <v>15</v>
      </c>
      <c r="C4" s="90" t="s">
        <v>210</v>
      </c>
      <c r="D4" s="90"/>
      <c r="E4" s="90" t="s">
        <v>17</v>
      </c>
      <c r="F4" s="90"/>
      <c r="G4" s="90" t="s">
        <v>406</v>
      </c>
      <c r="H4" s="90"/>
      <c r="I4" s="90"/>
      <c r="J4" s="90"/>
      <c r="K4" s="90"/>
      <c r="L4" s="90">
        <v>14</v>
      </c>
      <c r="M4" s="90">
        <v>2</v>
      </c>
      <c r="N4" s="90"/>
      <c r="O4" s="90"/>
      <c r="P4" s="91">
        <v>0.42399999999999999</v>
      </c>
      <c r="Q4" s="91">
        <v>0.22700000000000001</v>
      </c>
      <c r="R4" s="91">
        <v>0.64500000000000002</v>
      </c>
      <c r="S4" s="91">
        <v>0.87346396545997995</v>
      </c>
    </row>
    <row r="5" spans="1:19" x14ac:dyDescent="0.2">
      <c r="A5" s="90" t="s">
        <v>380</v>
      </c>
      <c r="B5" s="90" t="s">
        <v>15</v>
      </c>
      <c r="C5" s="90" t="s">
        <v>134</v>
      </c>
      <c r="D5" s="90"/>
      <c r="E5" s="90" t="s">
        <v>17</v>
      </c>
      <c r="F5" s="90"/>
      <c r="G5" s="90" t="s">
        <v>406</v>
      </c>
      <c r="H5" s="90"/>
      <c r="I5" s="90"/>
      <c r="J5" s="90"/>
      <c r="K5" s="90"/>
      <c r="L5" s="90">
        <v>4</v>
      </c>
      <c r="M5" s="90">
        <v>1</v>
      </c>
      <c r="N5" s="90"/>
      <c r="O5" s="90"/>
      <c r="P5" s="91">
        <v>0.40300000000000002</v>
      </c>
      <c r="Q5" s="91">
        <v>0.17899999999999999</v>
      </c>
      <c r="R5" s="91">
        <v>0.19600000000000001</v>
      </c>
      <c r="S5" s="91">
        <v>0.77261153548101402</v>
      </c>
    </row>
    <row r="6" spans="1:19" x14ac:dyDescent="0.2">
      <c r="A6" s="90" t="s">
        <v>381</v>
      </c>
      <c r="B6" s="90" t="s">
        <v>15</v>
      </c>
      <c r="C6" s="90" t="s">
        <v>134</v>
      </c>
      <c r="D6" s="90"/>
      <c r="E6" s="90" t="s">
        <v>17</v>
      </c>
      <c r="F6" s="90"/>
      <c r="G6" s="90" t="s">
        <v>406</v>
      </c>
      <c r="H6" s="90"/>
      <c r="I6" s="90"/>
      <c r="J6" s="90"/>
      <c r="K6" s="90"/>
      <c r="L6" s="90">
        <v>22</v>
      </c>
      <c r="M6" s="90">
        <v>2</v>
      </c>
      <c r="N6" s="90"/>
      <c r="O6" s="90"/>
      <c r="P6" s="91">
        <v>0.40300000000000002</v>
      </c>
      <c r="Q6" s="91">
        <v>0.17899999999999999</v>
      </c>
      <c r="R6" s="91">
        <v>0.19600000000000001</v>
      </c>
      <c r="S6" s="91">
        <v>0.77261153548101402</v>
      </c>
    </row>
    <row r="7" spans="1:19" x14ac:dyDescent="0.2">
      <c r="A7" s="90" t="s">
        <v>382</v>
      </c>
      <c r="B7" s="90" t="s">
        <v>15</v>
      </c>
      <c r="C7" s="90" t="s">
        <v>134</v>
      </c>
      <c r="D7" s="90"/>
      <c r="E7" s="90" t="s">
        <v>17</v>
      </c>
      <c r="F7" s="90"/>
      <c r="G7" s="90" t="s">
        <v>406</v>
      </c>
      <c r="H7" s="90"/>
      <c r="I7" s="90"/>
      <c r="J7" s="90"/>
      <c r="K7" s="90"/>
      <c r="L7" s="90">
        <v>4</v>
      </c>
      <c r="M7" s="90">
        <v>1</v>
      </c>
      <c r="N7" s="90"/>
      <c r="O7" s="90"/>
      <c r="P7" s="91">
        <v>0.40300000000000002</v>
      </c>
      <c r="Q7" s="91">
        <v>0.17899999999999999</v>
      </c>
      <c r="R7" s="91">
        <v>0.19600000000000001</v>
      </c>
      <c r="S7" s="91">
        <v>0.77261153548101402</v>
      </c>
    </row>
    <row r="8" spans="1:19" x14ac:dyDescent="0.2">
      <c r="A8" s="90" t="s">
        <v>386</v>
      </c>
      <c r="B8" s="90" t="s">
        <v>15</v>
      </c>
      <c r="C8" s="90" t="s">
        <v>387</v>
      </c>
      <c r="D8" s="90"/>
      <c r="E8" s="90" t="s">
        <v>17</v>
      </c>
      <c r="F8" s="90"/>
      <c r="G8" s="90" t="s">
        <v>406</v>
      </c>
      <c r="H8" s="90"/>
      <c r="I8" s="90"/>
      <c r="J8" s="90"/>
      <c r="K8" s="90"/>
      <c r="L8" s="90">
        <v>12</v>
      </c>
      <c r="M8" s="90">
        <v>2</v>
      </c>
      <c r="N8" s="90"/>
      <c r="O8" s="90"/>
      <c r="P8" s="91">
        <v>0.95</v>
      </c>
      <c r="Q8" s="91">
        <v>5.6000000000000001E-2</v>
      </c>
      <c r="R8" s="91">
        <v>0.81299999999999994</v>
      </c>
      <c r="S8" s="91">
        <v>0.95217535702424405</v>
      </c>
    </row>
    <row r="9" spans="1:19" x14ac:dyDescent="0.2">
      <c r="A9" s="90" t="s">
        <v>412</v>
      </c>
      <c r="B9" s="90" t="s">
        <v>15</v>
      </c>
      <c r="C9" s="90" t="s">
        <v>413</v>
      </c>
      <c r="D9" s="90"/>
      <c r="E9" s="90" t="s">
        <v>17</v>
      </c>
      <c r="F9" s="90"/>
      <c r="G9" s="90" t="s">
        <v>406</v>
      </c>
      <c r="H9" s="90"/>
      <c r="I9" s="90"/>
      <c r="J9" s="90"/>
      <c r="K9" s="90"/>
      <c r="L9" s="90">
        <v>232</v>
      </c>
      <c r="M9" s="90">
        <v>229</v>
      </c>
      <c r="N9" s="90"/>
      <c r="O9" s="90"/>
      <c r="P9" s="91">
        <v>0.46</v>
      </c>
      <c r="Q9" s="91">
        <v>8.5999999999999993E-2</v>
      </c>
      <c r="R9" s="91">
        <v>0.94099999999999995</v>
      </c>
      <c r="S9" s="91">
        <v>0.86361120336543695</v>
      </c>
    </row>
    <row r="10" spans="1:19" x14ac:dyDescent="0.2">
      <c r="A10" s="90" t="s">
        <v>248</v>
      </c>
      <c r="B10" s="90" t="s">
        <v>15</v>
      </c>
      <c r="C10" s="92" t="s">
        <v>50</v>
      </c>
      <c r="D10" s="92"/>
      <c r="E10" s="90" t="s">
        <v>17</v>
      </c>
      <c r="F10" s="90"/>
      <c r="G10" s="90" t="s">
        <v>406</v>
      </c>
      <c r="H10" s="90"/>
      <c r="I10" s="90"/>
      <c r="J10" s="90"/>
      <c r="K10" s="90"/>
      <c r="L10" s="90">
        <v>46</v>
      </c>
      <c r="M10" s="90">
        <v>45</v>
      </c>
      <c r="N10" s="90"/>
      <c r="O10" s="90"/>
      <c r="P10" s="93">
        <v>0.77</v>
      </c>
      <c r="Q10" s="93">
        <v>0.214</v>
      </c>
      <c r="R10" s="91">
        <v>0.98399999999999999</v>
      </c>
      <c r="S10" s="91">
        <v>0.79264917524631895</v>
      </c>
    </row>
    <row r="11" spans="1:19" x14ac:dyDescent="0.2">
      <c r="A11" s="90" t="s">
        <v>428</v>
      </c>
      <c r="B11" s="90" t="s">
        <v>15</v>
      </c>
      <c r="C11" s="92" t="s">
        <v>76</v>
      </c>
      <c r="D11" s="92"/>
      <c r="E11" s="90" t="s">
        <v>17</v>
      </c>
      <c r="F11" s="90" t="s">
        <v>25</v>
      </c>
      <c r="G11" s="90" t="s">
        <v>406</v>
      </c>
      <c r="H11" s="90" t="s">
        <v>39</v>
      </c>
      <c r="I11" s="90"/>
      <c r="J11" s="90"/>
      <c r="K11" s="90"/>
      <c r="L11" s="90">
        <v>29</v>
      </c>
      <c r="M11" s="90">
        <v>28</v>
      </c>
      <c r="N11" s="90">
        <v>28</v>
      </c>
      <c r="O11" s="90"/>
      <c r="P11" s="93">
        <v>0.64</v>
      </c>
      <c r="Q11" s="93">
        <v>0.41699999999999998</v>
      </c>
      <c r="R11" s="91">
        <v>0.35699999999999998</v>
      </c>
      <c r="S11" s="91">
        <v>0.75611646186206105</v>
      </c>
    </row>
    <row r="12" spans="1:19" x14ac:dyDescent="0.2">
      <c r="A12" s="90" t="s">
        <v>332</v>
      </c>
      <c r="B12" s="90" t="s">
        <v>15</v>
      </c>
      <c r="C12" s="92" t="s">
        <v>333</v>
      </c>
      <c r="D12" s="92"/>
      <c r="E12" s="90" t="s">
        <v>17</v>
      </c>
      <c r="F12" s="90"/>
      <c r="G12" s="90" t="s">
        <v>406</v>
      </c>
      <c r="H12" s="90"/>
      <c r="I12" s="90"/>
      <c r="J12" s="90"/>
      <c r="K12" s="90"/>
      <c r="L12" s="94">
        <v>15</v>
      </c>
      <c r="M12" s="90">
        <v>15</v>
      </c>
      <c r="N12" s="90"/>
      <c r="O12" s="90"/>
      <c r="P12" s="93">
        <v>0.79</v>
      </c>
      <c r="Q12" s="93">
        <v>6.8000000000000005E-2</v>
      </c>
      <c r="R12" s="91">
        <v>0.75600000000000001</v>
      </c>
      <c r="S12" s="91">
        <v>0.80681943983172799</v>
      </c>
    </row>
    <row r="13" spans="1:19" x14ac:dyDescent="0.2">
      <c r="A13" s="90" t="s">
        <v>429</v>
      </c>
      <c r="B13" s="90" t="s">
        <v>15</v>
      </c>
      <c r="C13" s="92" t="s">
        <v>333</v>
      </c>
      <c r="D13" s="92"/>
      <c r="E13" s="90" t="s">
        <v>17</v>
      </c>
      <c r="F13" s="90"/>
      <c r="G13" s="90" t="s">
        <v>406</v>
      </c>
      <c r="H13" s="90"/>
      <c r="I13" s="90"/>
      <c r="J13" s="90"/>
      <c r="K13" s="90"/>
      <c r="L13" s="90">
        <v>21</v>
      </c>
      <c r="M13" s="90">
        <v>21</v>
      </c>
      <c r="N13" s="90"/>
      <c r="O13" s="90"/>
      <c r="P13" s="93">
        <v>0.79</v>
      </c>
      <c r="Q13" s="93">
        <v>6.8000000000000005E-2</v>
      </c>
      <c r="R13" s="91">
        <v>0.75600000000000001</v>
      </c>
      <c r="S13" s="91">
        <v>0.80681943983172799</v>
      </c>
    </row>
    <row r="14" spans="1:19" x14ac:dyDescent="0.2">
      <c r="A14" s="90" t="s">
        <v>454</v>
      </c>
      <c r="B14" s="90" t="s">
        <v>15</v>
      </c>
      <c r="C14" s="92" t="s">
        <v>72</v>
      </c>
      <c r="D14" s="92"/>
      <c r="E14" s="90" t="s">
        <v>17</v>
      </c>
      <c r="F14" s="90" t="s">
        <v>25</v>
      </c>
      <c r="G14" s="90" t="s">
        <v>406</v>
      </c>
      <c r="H14" s="90"/>
      <c r="I14" s="90"/>
      <c r="J14" s="90"/>
      <c r="K14" s="90"/>
      <c r="L14" s="90">
        <v>46</v>
      </c>
      <c r="M14" s="90">
        <v>45</v>
      </c>
      <c r="N14" s="90"/>
      <c r="O14" s="90"/>
      <c r="P14" s="93">
        <v>0.09</v>
      </c>
      <c r="Q14" s="93">
        <v>0.33800000000000002</v>
      </c>
      <c r="R14" s="91">
        <v>0.59</v>
      </c>
      <c r="S14" s="91">
        <v>0.70386361120336505</v>
      </c>
    </row>
    <row r="15" spans="1:19" x14ac:dyDescent="0.2">
      <c r="A15" s="90" t="s">
        <v>459</v>
      </c>
      <c r="B15" s="90" t="s">
        <v>15</v>
      </c>
      <c r="C15" s="90" t="s">
        <v>50</v>
      </c>
      <c r="D15" s="90"/>
      <c r="E15" s="90" t="s">
        <v>17</v>
      </c>
      <c r="F15" s="90" t="s">
        <v>25</v>
      </c>
      <c r="G15" s="90" t="s">
        <v>406</v>
      </c>
      <c r="H15" s="90"/>
      <c r="I15" s="90"/>
      <c r="J15" s="90"/>
      <c r="K15" s="90"/>
      <c r="L15" s="90">
        <v>32</v>
      </c>
      <c r="M15" s="90">
        <v>7</v>
      </c>
      <c r="N15" s="90"/>
      <c r="O15" s="90"/>
      <c r="P15" s="91">
        <v>0.76700000000000002</v>
      </c>
      <c r="Q15" s="91">
        <v>0.214</v>
      </c>
      <c r="R15" s="91">
        <v>0.98399999999999999</v>
      </c>
      <c r="S15" s="91">
        <v>0.79264917524631895</v>
      </c>
    </row>
    <row r="16" spans="1:19" x14ac:dyDescent="0.2">
      <c r="A16" s="90" t="s">
        <v>468</v>
      </c>
      <c r="B16" s="90" t="s">
        <v>15</v>
      </c>
      <c r="C16" s="90" t="s">
        <v>469</v>
      </c>
      <c r="D16" s="90"/>
      <c r="E16" s="90" t="s">
        <v>17</v>
      </c>
      <c r="F16" s="90"/>
      <c r="G16" s="90" t="s">
        <v>406</v>
      </c>
      <c r="H16" s="90"/>
      <c r="I16" s="90"/>
      <c r="J16" s="90"/>
      <c r="K16" s="90"/>
      <c r="L16" s="90">
        <v>40</v>
      </c>
      <c r="M16" s="90">
        <v>40</v>
      </c>
      <c r="N16" s="90"/>
      <c r="O16" s="90"/>
      <c r="P16" s="91">
        <v>0.86199999999999999</v>
      </c>
      <c r="Q16" s="91">
        <v>0.38300000000000001</v>
      </c>
      <c r="R16" s="91">
        <v>0.48799999999999999</v>
      </c>
      <c r="S16" s="91">
        <v>0.79962360234694996</v>
      </c>
    </row>
    <row r="17" spans="1:19" x14ac:dyDescent="0.2">
      <c r="A17" s="90" t="s">
        <v>476</v>
      </c>
      <c r="B17" s="90" t="s">
        <v>15</v>
      </c>
      <c r="C17" s="90" t="s">
        <v>477</v>
      </c>
      <c r="D17" s="90"/>
      <c r="E17" s="90" t="s">
        <v>17</v>
      </c>
      <c r="F17" s="90"/>
      <c r="G17" s="90" t="s">
        <v>406</v>
      </c>
      <c r="H17" s="90"/>
      <c r="I17" s="90"/>
      <c r="J17" s="90"/>
      <c r="K17" s="90"/>
      <c r="L17" s="90">
        <v>12</v>
      </c>
      <c r="M17" s="90">
        <v>12</v>
      </c>
      <c r="N17" s="90"/>
      <c r="O17" s="90"/>
      <c r="P17" s="91">
        <v>0.16900000000000001</v>
      </c>
      <c r="Q17" s="91">
        <v>0.29699999999999999</v>
      </c>
      <c r="R17" s="91">
        <v>0.93700000000000006</v>
      </c>
      <c r="S17" s="91">
        <v>0.90623270231373798</v>
      </c>
    </row>
    <row r="18" spans="1:19" x14ac:dyDescent="0.2">
      <c r="A18" s="90" t="s">
        <v>305</v>
      </c>
      <c r="B18" s="90" t="s">
        <v>15</v>
      </c>
      <c r="C18" s="92" t="s">
        <v>306</v>
      </c>
      <c r="D18" s="92" t="s">
        <v>307</v>
      </c>
      <c r="E18" s="90" t="s">
        <v>17</v>
      </c>
      <c r="F18" s="90" t="s">
        <v>25</v>
      </c>
      <c r="G18" s="90" t="s">
        <v>406</v>
      </c>
      <c r="H18" s="90"/>
      <c r="I18" s="90"/>
      <c r="J18" s="90"/>
      <c r="K18" s="90"/>
      <c r="L18" s="90">
        <v>64</v>
      </c>
      <c r="M18" s="90">
        <v>63</v>
      </c>
      <c r="N18" s="90"/>
      <c r="O18" s="90"/>
      <c r="P18" s="93">
        <v>0.17</v>
      </c>
      <c r="Q18" s="93">
        <v>0.254</v>
      </c>
      <c r="R18" s="91">
        <v>0.86199999999999999</v>
      </c>
      <c r="S18" s="91">
        <v>0.84888741281966096</v>
      </c>
    </row>
    <row r="19" spans="1:19" x14ac:dyDescent="0.2">
      <c r="A19" s="90" t="s">
        <v>218</v>
      </c>
      <c r="B19" s="90" t="s">
        <v>15</v>
      </c>
      <c r="C19" s="92" t="s">
        <v>219</v>
      </c>
      <c r="D19" s="92"/>
      <c r="E19" s="90" t="s">
        <v>17</v>
      </c>
      <c r="F19" s="90" t="s">
        <v>25</v>
      </c>
      <c r="G19" s="90" t="s">
        <v>406</v>
      </c>
      <c r="H19" s="90"/>
      <c r="I19" s="90"/>
      <c r="J19" s="90"/>
      <c r="K19" s="90"/>
      <c r="L19" s="90">
        <v>49</v>
      </c>
      <c r="M19" s="90">
        <v>48</v>
      </c>
      <c r="N19" s="90"/>
      <c r="O19" s="90"/>
      <c r="P19" s="93">
        <v>0.97</v>
      </c>
      <c r="Q19" s="93">
        <v>8.3000000000000004E-2</v>
      </c>
      <c r="R19" s="91">
        <v>0.99399999999999999</v>
      </c>
      <c r="S19" s="91">
        <v>0.86183992029226097</v>
      </c>
    </row>
    <row r="20" spans="1:19" x14ac:dyDescent="0.2">
      <c r="A20" s="90" t="s">
        <v>133</v>
      </c>
      <c r="B20" s="90" t="s">
        <v>15</v>
      </c>
      <c r="C20" s="92" t="s">
        <v>134</v>
      </c>
      <c r="D20" s="92"/>
      <c r="E20" s="90" t="s">
        <v>17</v>
      </c>
      <c r="F20" s="90" t="s">
        <v>25</v>
      </c>
      <c r="G20" s="90" t="s">
        <v>406</v>
      </c>
      <c r="H20" s="90"/>
      <c r="I20" s="90"/>
      <c r="J20" s="90"/>
      <c r="K20" s="90"/>
      <c r="L20" s="90">
        <v>52</v>
      </c>
      <c r="M20" s="90">
        <v>51</v>
      </c>
      <c r="N20" s="90"/>
      <c r="O20" s="90"/>
      <c r="P20" s="93">
        <v>0.4</v>
      </c>
      <c r="Q20" s="93">
        <v>0.17899999999999999</v>
      </c>
      <c r="R20" s="91">
        <v>0.19600000000000001</v>
      </c>
      <c r="S20" s="91">
        <v>0.77261153548101402</v>
      </c>
    </row>
    <row r="21" spans="1:19" x14ac:dyDescent="0.2">
      <c r="A21" s="90" t="s">
        <v>253</v>
      </c>
      <c r="B21" s="90" t="s">
        <v>15</v>
      </c>
      <c r="C21" s="92" t="s">
        <v>118</v>
      </c>
      <c r="D21" s="92"/>
      <c r="E21" s="90" t="s">
        <v>17</v>
      </c>
      <c r="F21" s="90" t="s">
        <v>25</v>
      </c>
      <c r="G21" s="90" t="s">
        <v>406</v>
      </c>
      <c r="H21" s="90"/>
      <c r="I21" s="90"/>
      <c r="J21" s="90"/>
      <c r="K21" s="90"/>
      <c r="L21" s="90">
        <v>20</v>
      </c>
      <c r="M21" s="90">
        <v>19</v>
      </c>
      <c r="N21" s="90"/>
      <c r="O21" s="90"/>
      <c r="P21" s="93">
        <v>0.8</v>
      </c>
      <c r="Q21" s="93">
        <v>8.2000000000000003E-2</v>
      </c>
      <c r="R21" s="91">
        <v>0.73799999999999999</v>
      </c>
      <c r="S21" s="91">
        <v>0.89649064541126899</v>
      </c>
    </row>
    <row r="22" spans="1:19" x14ac:dyDescent="0.2">
      <c r="A22" s="90" t="s">
        <v>244</v>
      </c>
      <c r="B22" s="90" t="s">
        <v>15</v>
      </c>
      <c r="C22" s="90" t="s">
        <v>16</v>
      </c>
      <c r="D22" s="90"/>
      <c r="E22" s="90" t="s">
        <v>17</v>
      </c>
      <c r="F22" s="90"/>
      <c r="G22" s="90" t="s">
        <v>406</v>
      </c>
      <c r="H22" s="90"/>
      <c r="I22" s="90"/>
      <c r="J22" s="90"/>
      <c r="K22" s="90"/>
      <c r="L22" s="90">
        <v>293</v>
      </c>
      <c r="M22" s="90">
        <v>293</v>
      </c>
      <c r="N22" s="90"/>
      <c r="O22" s="90"/>
      <c r="P22" s="91">
        <v>0.47099999999999997</v>
      </c>
      <c r="Q22" s="91">
        <v>1.7000000000000001E-2</v>
      </c>
      <c r="R22" s="91">
        <v>1</v>
      </c>
      <c r="S22" s="91">
        <v>0.84147016495073601</v>
      </c>
    </row>
    <row r="23" spans="1:19" x14ac:dyDescent="0.2">
      <c r="A23" s="90" t="s">
        <v>285</v>
      </c>
      <c r="B23" s="90" t="s">
        <v>15</v>
      </c>
      <c r="C23" s="90" t="s">
        <v>16</v>
      </c>
      <c r="D23" s="90"/>
      <c r="E23" s="90" t="s">
        <v>17</v>
      </c>
      <c r="F23" s="90"/>
      <c r="G23" s="90" t="s">
        <v>406</v>
      </c>
      <c r="H23" s="90"/>
      <c r="I23" s="90"/>
      <c r="J23" s="90"/>
      <c r="K23" s="90"/>
      <c r="L23" s="90">
        <v>112</v>
      </c>
      <c r="M23" s="90">
        <v>111</v>
      </c>
      <c r="N23" s="90"/>
      <c r="O23" s="90"/>
      <c r="P23" s="91">
        <v>0.47099999999999997</v>
      </c>
      <c r="Q23" s="91">
        <v>1.7000000000000001E-2</v>
      </c>
      <c r="R23" s="91">
        <v>1</v>
      </c>
      <c r="S23" s="91">
        <v>0.84147016495073601</v>
      </c>
    </row>
    <row r="24" spans="1:19" x14ac:dyDescent="0.2">
      <c r="A24" s="90" t="s">
        <v>14</v>
      </c>
      <c r="B24" s="90" t="s">
        <v>15</v>
      </c>
      <c r="C24" s="90" t="s">
        <v>16</v>
      </c>
      <c r="D24" s="90"/>
      <c r="E24" s="90" t="s">
        <v>17</v>
      </c>
      <c r="F24" s="90"/>
      <c r="G24" s="90" t="s">
        <v>406</v>
      </c>
      <c r="H24" s="90"/>
      <c r="I24" s="90"/>
      <c r="J24" s="90"/>
      <c r="K24" s="90"/>
      <c r="L24" s="90">
        <v>76</v>
      </c>
      <c r="M24" s="90">
        <v>76</v>
      </c>
      <c r="N24" s="90"/>
      <c r="O24" s="90"/>
      <c r="P24" s="91">
        <v>0.47099999999999997</v>
      </c>
      <c r="Q24" s="91">
        <v>1.7000000000000001E-2</v>
      </c>
      <c r="R24" s="91">
        <v>1</v>
      </c>
      <c r="S24" s="91">
        <v>0.84147016495073601</v>
      </c>
    </row>
    <row r="25" spans="1:19" x14ac:dyDescent="0.2">
      <c r="A25" s="90" t="s">
        <v>207</v>
      </c>
      <c r="B25" s="90" t="s">
        <v>15</v>
      </c>
      <c r="C25" s="90" t="s">
        <v>16</v>
      </c>
      <c r="D25" s="90"/>
      <c r="E25" s="90" t="s">
        <v>17</v>
      </c>
      <c r="F25" s="90"/>
      <c r="G25" s="90" t="s">
        <v>406</v>
      </c>
      <c r="H25" s="90"/>
      <c r="I25" s="90"/>
      <c r="J25" s="90"/>
      <c r="K25" s="90"/>
      <c r="L25" s="90">
        <v>36</v>
      </c>
      <c r="M25" s="90">
        <v>36</v>
      </c>
      <c r="N25" s="90"/>
      <c r="O25" s="90"/>
      <c r="P25" s="91">
        <v>0.47099999999999997</v>
      </c>
      <c r="Q25" s="91">
        <v>1.7000000000000001E-2</v>
      </c>
      <c r="R25" s="91">
        <v>1</v>
      </c>
      <c r="S25" s="91">
        <v>0.84147016495073601</v>
      </c>
    </row>
    <row r="26" spans="1:19" x14ac:dyDescent="0.2">
      <c r="A26" s="90" t="s">
        <v>209</v>
      </c>
      <c r="B26" s="90" t="s">
        <v>15</v>
      </c>
      <c r="C26" s="90" t="s">
        <v>210</v>
      </c>
      <c r="D26" s="90"/>
      <c r="E26" s="90" t="s">
        <v>17</v>
      </c>
      <c r="F26" s="90"/>
      <c r="G26" s="90" t="s">
        <v>406</v>
      </c>
      <c r="H26" s="90"/>
      <c r="I26" s="90"/>
      <c r="J26" s="90"/>
      <c r="K26" s="90"/>
      <c r="L26" s="90">
        <v>20</v>
      </c>
      <c r="M26" s="90">
        <v>2</v>
      </c>
      <c r="N26" s="90"/>
      <c r="O26" s="90"/>
      <c r="P26" s="91">
        <v>0.42399999999999999</v>
      </c>
      <c r="Q26" s="91">
        <v>0.22700000000000001</v>
      </c>
      <c r="R26" s="91">
        <v>0.64500000000000002</v>
      </c>
      <c r="S26" s="91">
        <v>0.87346396545997995</v>
      </c>
    </row>
    <row r="27" spans="1:19" x14ac:dyDescent="0.2">
      <c r="A27" s="90" t="s">
        <v>320</v>
      </c>
      <c r="B27" s="90" t="s">
        <v>15</v>
      </c>
      <c r="C27" s="92" t="s">
        <v>118</v>
      </c>
      <c r="D27" s="92"/>
      <c r="E27" s="90" t="s">
        <v>17</v>
      </c>
      <c r="F27" s="90" t="s">
        <v>25</v>
      </c>
      <c r="G27" s="90" t="s">
        <v>406</v>
      </c>
      <c r="H27" s="90"/>
      <c r="I27" s="90"/>
      <c r="J27" s="90"/>
      <c r="K27" s="90"/>
      <c r="L27" s="90">
        <v>63</v>
      </c>
      <c r="M27" s="90">
        <v>62</v>
      </c>
      <c r="N27" s="90"/>
      <c r="O27" s="90"/>
      <c r="P27" s="93">
        <v>0.8</v>
      </c>
      <c r="Q27" s="93">
        <v>8.2000000000000003E-2</v>
      </c>
      <c r="R27" s="91">
        <v>0.73799999999999999</v>
      </c>
      <c r="S27" s="91">
        <v>0.89649064541126899</v>
      </c>
    </row>
    <row r="28" spans="1:19" x14ac:dyDescent="0.2">
      <c r="A28" s="90" t="s">
        <v>239</v>
      </c>
      <c r="B28" s="90" t="s">
        <v>15</v>
      </c>
      <c r="C28" s="90" t="s">
        <v>28</v>
      </c>
      <c r="D28" s="90"/>
      <c r="E28" s="90" t="s">
        <v>17</v>
      </c>
      <c r="F28" s="90"/>
      <c r="G28" s="90" t="s">
        <v>406</v>
      </c>
      <c r="H28" s="90"/>
      <c r="I28" s="90"/>
      <c r="J28" s="90"/>
      <c r="K28" s="90"/>
      <c r="L28" s="90">
        <v>44</v>
      </c>
      <c r="M28" s="90">
        <v>9</v>
      </c>
      <c r="N28" s="90"/>
      <c r="O28" s="90"/>
      <c r="P28" s="91">
        <v>0.76200000000000001</v>
      </c>
      <c r="Q28" s="91">
        <v>0.01</v>
      </c>
      <c r="R28" s="91">
        <v>0.95799999999999996</v>
      </c>
      <c r="S28" s="91">
        <v>0.82896047824642904</v>
      </c>
    </row>
    <row r="29" spans="1:19" x14ac:dyDescent="0.2">
      <c r="A29" s="90" t="s">
        <v>499</v>
      </c>
      <c r="B29" s="90" t="s">
        <v>15</v>
      </c>
      <c r="C29" s="90" t="s">
        <v>500</v>
      </c>
      <c r="D29" s="90"/>
      <c r="E29" s="90" t="s">
        <v>17</v>
      </c>
      <c r="F29" s="90"/>
      <c r="G29" s="90" t="s">
        <v>406</v>
      </c>
      <c r="H29" s="90"/>
      <c r="I29" s="90"/>
      <c r="J29" s="90"/>
      <c r="K29" s="90"/>
      <c r="L29" s="90">
        <v>30</v>
      </c>
      <c r="M29" s="90">
        <v>2</v>
      </c>
      <c r="N29" s="90"/>
      <c r="O29" s="90"/>
      <c r="P29" s="91">
        <v>0.79100000000000004</v>
      </c>
      <c r="Q29" s="91">
        <v>0.35299999999999998</v>
      </c>
      <c r="R29" s="91">
        <v>0.60599999999999998</v>
      </c>
      <c r="S29" s="91">
        <v>0.73452894940772695</v>
      </c>
    </row>
    <row r="30" spans="1:19" x14ac:dyDescent="0.2">
      <c r="A30" s="90" t="s">
        <v>528</v>
      </c>
      <c r="B30" s="90" t="s">
        <v>15</v>
      </c>
      <c r="C30" s="92" t="s">
        <v>466</v>
      </c>
      <c r="D30" s="92"/>
      <c r="E30" s="90" t="s">
        <v>17</v>
      </c>
      <c r="F30" s="90" t="s">
        <v>25</v>
      </c>
      <c r="G30" s="90" t="s">
        <v>406</v>
      </c>
      <c r="H30" s="90"/>
      <c r="I30" s="90"/>
      <c r="J30" s="90"/>
      <c r="K30" s="90"/>
      <c r="L30" s="90">
        <v>58</v>
      </c>
      <c r="M30" s="90">
        <v>58</v>
      </c>
      <c r="N30" s="90"/>
      <c r="O30" s="90"/>
      <c r="P30" s="93">
        <v>0.9</v>
      </c>
      <c r="Q30" s="93">
        <v>0.41199999999999998</v>
      </c>
      <c r="R30" s="91">
        <v>0.29399999999999998</v>
      </c>
      <c r="S30" s="91">
        <v>0.57267795859625803</v>
      </c>
    </row>
    <row r="31" spans="1:19" x14ac:dyDescent="0.2">
      <c r="A31" s="90" t="s">
        <v>539</v>
      </c>
      <c r="B31" s="90" t="s">
        <v>15</v>
      </c>
      <c r="C31" s="92" t="s">
        <v>387</v>
      </c>
      <c r="D31" s="92"/>
      <c r="E31" s="90" t="s">
        <v>17</v>
      </c>
      <c r="F31" s="90" t="s">
        <v>25</v>
      </c>
      <c r="G31" s="90" t="s">
        <v>406</v>
      </c>
      <c r="H31" s="90"/>
      <c r="I31" s="90"/>
      <c r="J31" s="90"/>
      <c r="K31" s="90"/>
      <c r="L31" s="90">
        <v>392</v>
      </c>
      <c r="M31" s="90">
        <v>392</v>
      </c>
      <c r="N31" s="90"/>
      <c r="O31" s="90"/>
      <c r="P31" s="93">
        <v>0.95</v>
      </c>
      <c r="Q31" s="93">
        <v>5.6000000000000001E-2</v>
      </c>
      <c r="R31" s="91">
        <v>0.81299999999999994</v>
      </c>
      <c r="S31" s="91">
        <v>0.95217535702424405</v>
      </c>
    </row>
    <row r="32" spans="1:19" x14ac:dyDescent="0.2">
      <c r="A32" s="90" t="s">
        <v>543</v>
      </c>
      <c r="B32" s="90" t="s">
        <v>15</v>
      </c>
      <c r="C32" s="92" t="s">
        <v>387</v>
      </c>
      <c r="D32" s="92"/>
      <c r="E32" s="90" t="s">
        <v>17</v>
      </c>
      <c r="F32" s="90" t="s">
        <v>25</v>
      </c>
      <c r="G32" s="90" t="s">
        <v>406</v>
      </c>
      <c r="H32" s="90"/>
      <c r="I32" s="90"/>
      <c r="J32" s="90"/>
      <c r="K32" s="90"/>
      <c r="L32" s="90">
        <v>176</v>
      </c>
      <c r="M32" s="90">
        <v>174</v>
      </c>
      <c r="N32" s="90"/>
      <c r="O32" s="90"/>
      <c r="P32" s="93">
        <v>0.95</v>
      </c>
      <c r="Q32" s="93">
        <v>5.6000000000000001E-2</v>
      </c>
      <c r="R32" s="91">
        <v>0.81299999999999994</v>
      </c>
      <c r="S32" s="91">
        <v>0.95217535702424405</v>
      </c>
    </row>
    <row r="33" spans="1:19" x14ac:dyDescent="0.2">
      <c r="A33" s="90" t="s">
        <v>545</v>
      </c>
      <c r="B33" s="90" t="s">
        <v>15</v>
      </c>
      <c r="C33" s="92" t="s">
        <v>546</v>
      </c>
      <c r="D33" s="92"/>
      <c r="E33" s="90" t="s">
        <v>17</v>
      </c>
      <c r="F33" s="90" t="s">
        <v>25</v>
      </c>
      <c r="G33" s="90" t="s">
        <v>406</v>
      </c>
      <c r="H33" s="90"/>
      <c r="I33" s="90"/>
      <c r="J33" s="90"/>
      <c r="K33" s="90"/>
      <c r="L33" s="90">
        <v>112</v>
      </c>
      <c r="M33" s="90">
        <v>112</v>
      </c>
      <c r="N33" s="90"/>
      <c r="O33" s="90"/>
      <c r="P33" s="93">
        <v>0.57999999999999996</v>
      </c>
      <c r="Q33" s="93">
        <v>0.11700000000000001</v>
      </c>
      <c r="R33" s="91">
        <v>0.88900000000000001</v>
      </c>
      <c r="S33" s="91">
        <v>0.824642975755562</v>
      </c>
    </row>
    <row r="34" spans="1:19" x14ac:dyDescent="0.2">
      <c r="A34" s="90" t="s">
        <v>560</v>
      </c>
      <c r="B34" s="90" t="s">
        <v>15</v>
      </c>
      <c r="C34" s="90" t="s">
        <v>210</v>
      </c>
      <c r="D34" s="90"/>
      <c r="E34" s="90" t="s">
        <v>17</v>
      </c>
      <c r="F34" s="90"/>
      <c r="G34" s="90" t="s">
        <v>406</v>
      </c>
      <c r="H34" s="90"/>
      <c r="I34" s="90"/>
      <c r="J34" s="90"/>
      <c r="K34" s="90"/>
      <c r="L34" s="90">
        <v>72</v>
      </c>
      <c r="M34" s="90">
        <v>71</v>
      </c>
      <c r="N34" s="90"/>
      <c r="O34" s="90"/>
      <c r="P34" s="91">
        <v>0.42399999999999999</v>
      </c>
      <c r="Q34" s="91">
        <v>0.22700000000000001</v>
      </c>
      <c r="R34" s="91">
        <v>0.64500000000000002</v>
      </c>
      <c r="S34" s="91">
        <v>0.87346396545997995</v>
      </c>
    </row>
    <row r="35" spans="1:19" x14ac:dyDescent="0.2">
      <c r="A35" s="90" t="s">
        <v>561</v>
      </c>
      <c r="B35" s="90" t="s">
        <v>15</v>
      </c>
      <c r="C35" s="90" t="s">
        <v>210</v>
      </c>
      <c r="D35" s="90"/>
      <c r="E35" s="90" t="s">
        <v>17</v>
      </c>
      <c r="F35" s="90"/>
      <c r="G35" s="90" t="s">
        <v>406</v>
      </c>
      <c r="H35" s="90"/>
      <c r="I35" s="90"/>
      <c r="J35" s="90"/>
      <c r="K35" s="90"/>
      <c r="L35" s="90">
        <v>74</v>
      </c>
      <c r="M35" s="90">
        <v>73</v>
      </c>
      <c r="N35" s="90"/>
      <c r="O35" s="90"/>
      <c r="P35" s="91">
        <v>0.42399999999999999</v>
      </c>
      <c r="Q35" s="91">
        <v>0.22700000000000001</v>
      </c>
      <c r="R35" s="91">
        <v>0.64500000000000002</v>
      </c>
      <c r="S35" s="91">
        <v>0.87346396545997995</v>
      </c>
    </row>
    <row r="36" spans="1:19" x14ac:dyDescent="0.2">
      <c r="A36" s="90" t="s">
        <v>1434</v>
      </c>
      <c r="B36" s="90" t="s">
        <v>15</v>
      </c>
      <c r="C36" s="92" t="s">
        <v>28</v>
      </c>
      <c r="D36" s="92"/>
      <c r="E36" s="90" t="s">
        <v>17</v>
      </c>
      <c r="F36" s="90" t="s">
        <v>25</v>
      </c>
      <c r="G36" s="90" t="s">
        <v>406</v>
      </c>
      <c r="H36" s="90"/>
      <c r="I36" s="90"/>
      <c r="J36" s="90"/>
      <c r="K36" s="90"/>
      <c r="L36" s="90">
        <v>127</v>
      </c>
      <c r="M36" s="90">
        <v>127</v>
      </c>
      <c r="N36" s="90"/>
      <c r="O36" s="90"/>
      <c r="P36" s="93">
        <v>0.76</v>
      </c>
      <c r="Q36" s="93">
        <v>0.01</v>
      </c>
      <c r="R36" s="91">
        <v>0.95799999999999996</v>
      </c>
      <c r="S36" s="91">
        <v>0.82896047824642904</v>
      </c>
    </row>
    <row r="37" spans="1:19" x14ac:dyDescent="0.2">
      <c r="A37" s="90" t="s">
        <v>632</v>
      </c>
      <c r="B37" s="90" t="s">
        <v>15</v>
      </c>
      <c r="C37" s="90" t="s">
        <v>118</v>
      </c>
      <c r="D37" s="90"/>
      <c r="E37" s="90" t="s">
        <v>17</v>
      </c>
      <c r="F37" s="90" t="s">
        <v>25</v>
      </c>
      <c r="G37" s="90" t="s">
        <v>406</v>
      </c>
      <c r="H37" s="90"/>
      <c r="I37" s="90"/>
      <c r="J37" s="90"/>
      <c r="K37" s="90"/>
      <c r="L37" s="90">
        <v>91</v>
      </c>
      <c r="M37" s="90">
        <v>90</v>
      </c>
      <c r="N37" s="90"/>
      <c r="O37" s="90"/>
      <c r="P37" s="91">
        <v>0.79700000000000004</v>
      </c>
      <c r="Q37" s="91">
        <v>8.2000000000000003E-2</v>
      </c>
      <c r="R37" s="91">
        <v>0.73799999999999999</v>
      </c>
      <c r="S37" s="91">
        <v>0.89649064541126899</v>
      </c>
    </row>
    <row r="38" spans="1:19" x14ac:dyDescent="0.2">
      <c r="A38" s="90" t="s">
        <v>658</v>
      </c>
      <c r="B38" s="90" t="s">
        <v>15</v>
      </c>
      <c r="C38" s="92" t="s">
        <v>546</v>
      </c>
      <c r="D38" s="92"/>
      <c r="E38" s="90" t="s">
        <v>17</v>
      </c>
      <c r="F38" s="90" t="s">
        <v>25</v>
      </c>
      <c r="G38" s="90" t="s">
        <v>406</v>
      </c>
      <c r="H38" s="90"/>
      <c r="I38" s="90"/>
      <c r="J38" s="90"/>
      <c r="K38" s="90"/>
      <c r="L38" s="90">
        <v>37</v>
      </c>
      <c r="M38" s="90">
        <v>36</v>
      </c>
      <c r="N38" s="90"/>
      <c r="O38" s="90"/>
      <c r="P38" s="93">
        <v>0.57999999999999996</v>
      </c>
      <c r="Q38" s="93">
        <v>0.11700000000000001</v>
      </c>
      <c r="R38" s="91">
        <v>0.88900000000000001</v>
      </c>
      <c r="S38" s="91">
        <v>0.824642975755562</v>
      </c>
    </row>
    <row r="39" spans="1:19" x14ac:dyDescent="0.2">
      <c r="A39" s="90" t="s">
        <v>659</v>
      </c>
      <c r="B39" s="90" t="s">
        <v>15</v>
      </c>
      <c r="C39" s="92" t="s">
        <v>660</v>
      </c>
      <c r="D39" s="92"/>
      <c r="E39" s="90" t="s">
        <v>17</v>
      </c>
      <c r="F39" s="90" t="s">
        <v>25</v>
      </c>
      <c r="G39" s="90" t="s">
        <v>406</v>
      </c>
      <c r="H39" s="90"/>
      <c r="I39" s="90"/>
      <c r="J39" s="90"/>
      <c r="K39" s="90"/>
      <c r="L39" s="90">
        <v>26</v>
      </c>
      <c r="M39" s="90">
        <v>25</v>
      </c>
      <c r="N39" s="90"/>
      <c r="O39" s="90"/>
      <c r="P39" s="93">
        <v>0.65</v>
      </c>
      <c r="Q39" s="93">
        <v>0.123</v>
      </c>
      <c r="R39" s="91">
        <v>0.81599999999999995</v>
      </c>
      <c r="S39" s="91">
        <v>0.95195394664009703</v>
      </c>
    </row>
    <row r="40" spans="1:19" x14ac:dyDescent="0.2">
      <c r="A40" s="90" t="s">
        <v>677</v>
      </c>
      <c r="B40" s="90" t="s">
        <v>15</v>
      </c>
      <c r="C40" s="90">
        <v>87404</v>
      </c>
      <c r="D40" s="90" t="s">
        <v>678</v>
      </c>
      <c r="E40" s="90" t="s">
        <v>17</v>
      </c>
      <c r="F40" s="90"/>
      <c r="G40" s="90" t="s">
        <v>406</v>
      </c>
      <c r="H40" s="90"/>
      <c r="I40" s="90"/>
      <c r="J40" s="90"/>
      <c r="K40" s="90"/>
      <c r="L40" s="90">
        <v>16</v>
      </c>
      <c r="M40" s="90">
        <v>16</v>
      </c>
      <c r="N40" s="90"/>
      <c r="O40" s="90"/>
      <c r="P40" s="91">
        <v>0.79200000000000004</v>
      </c>
      <c r="Q40" s="91">
        <v>6.8000000000000005E-2</v>
      </c>
      <c r="R40" s="91">
        <v>0.75600000000000001</v>
      </c>
      <c r="S40" s="91">
        <v>0.80681943983172799</v>
      </c>
    </row>
    <row r="41" spans="1:19" x14ac:dyDescent="0.2">
      <c r="A41" s="90" t="s">
        <v>681</v>
      </c>
      <c r="B41" s="90" t="s">
        <v>15</v>
      </c>
      <c r="C41" s="92" t="s">
        <v>471</v>
      </c>
      <c r="D41" s="92"/>
      <c r="E41" s="90" t="s">
        <v>17</v>
      </c>
      <c r="F41" s="90" t="s">
        <v>25</v>
      </c>
      <c r="G41" s="90" t="s">
        <v>406</v>
      </c>
      <c r="H41" s="90"/>
      <c r="I41" s="90"/>
      <c r="J41" s="90"/>
      <c r="K41" s="90"/>
      <c r="L41" s="90">
        <v>16</v>
      </c>
      <c r="M41" s="90">
        <v>16</v>
      </c>
      <c r="N41" s="90"/>
      <c r="O41" s="90"/>
      <c r="P41" s="93">
        <v>0.94</v>
      </c>
      <c r="Q41" s="93">
        <v>4.8000000000000001E-2</v>
      </c>
      <c r="R41" s="91">
        <v>0.98899999999999999</v>
      </c>
      <c r="S41" s="91">
        <v>0.88874128196612401</v>
      </c>
    </row>
    <row r="42" spans="1:19" x14ac:dyDescent="0.2">
      <c r="A42" s="90" t="s">
        <v>690</v>
      </c>
      <c r="B42" s="90" t="s">
        <v>15</v>
      </c>
      <c r="C42" s="90" t="s">
        <v>134</v>
      </c>
      <c r="D42" s="90"/>
      <c r="E42" s="90" t="s">
        <v>17</v>
      </c>
      <c r="F42" s="90" t="s">
        <v>691</v>
      </c>
      <c r="G42" s="90" t="s">
        <v>406</v>
      </c>
      <c r="H42" s="90"/>
      <c r="I42" s="90"/>
      <c r="J42" s="90"/>
      <c r="K42" s="90"/>
      <c r="L42" s="90">
        <v>276</v>
      </c>
      <c r="M42" s="90">
        <v>276</v>
      </c>
      <c r="N42" s="90"/>
      <c r="O42" s="90"/>
      <c r="P42" s="91">
        <v>0.40300000000000002</v>
      </c>
      <c r="Q42" s="91">
        <v>0.17899999999999999</v>
      </c>
      <c r="R42" s="91">
        <v>0.19600000000000001</v>
      </c>
      <c r="S42" s="91">
        <v>0.77261153548101402</v>
      </c>
    </row>
    <row r="43" spans="1:19" x14ac:dyDescent="0.2">
      <c r="A43" s="90" t="s">
        <v>740</v>
      </c>
      <c r="B43" s="90" t="s">
        <v>15</v>
      </c>
      <c r="C43" s="92" t="s">
        <v>134</v>
      </c>
      <c r="D43" s="92"/>
      <c r="E43" s="90" t="s">
        <v>17</v>
      </c>
      <c r="F43" s="90" t="s">
        <v>25</v>
      </c>
      <c r="G43" s="90" t="s">
        <v>406</v>
      </c>
      <c r="H43" s="90"/>
      <c r="I43" s="90"/>
      <c r="J43" s="90"/>
      <c r="K43" s="90"/>
      <c r="L43" s="90">
        <v>60</v>
      </c>
      <c r="M43" s="90">
        <v>59</v>
      </c>
      <c r="N43" s="90"/>
      <c r="O43" s="90"/>
      <c r="P43" s="93">
        <v>0.4</v>
      </c>
      <c r="Q43" s="93">
        <v>0.17899999999999999</v>
      </c>
      <c r="R43" s="91">
        <v>0.19600000000000001</v>
      </c>
      <c r="S43" s="91">
        <v>0.77261153548101402</v>
      </c>
    </row>
    <row r="44" spans="1:19" x14ac:dyDescent="0.2">
      <c r="A44" s="90" t="s">
        <v>745</v>
      </c>
      <c r="B44" s="90" t="s">
        <v>15</v>
      </c>
      <c r="C44" s="90" t="s">
        <v>333</v>
      </c>
      <c r="D44" s="90"/>
      <c r="E44" s="90" t="s">
        <v>17</v>
      </c>
      <c r="F44" s="90"/>
      <c r="G44" s="90" t="s">
        <v>406</v>
      </c>
      <c r="H44" s="90"/>
      <c r="I44" s="90"/>
      <c r="J44" s="90"/>
      <c r="K44" s="90"/>
      <c r="L44" s="90">
        <v>92</v>
      </c>
      <c r="M44" s="90">
        <v>91</v>
      </c>
      <c r="N44" s="90"/>
      <c r="O44" s="90"/>
      <c r="P44" s="91">
        <v>0.79200000000000004</v>
      </c>
      <c r="Q44" s="91">
        <v>6.8000000000000005E-2</v>
      </c>
      <c r="R44" s="91">
        <v>0.75600000000000001</v>
      </c>
      <c r="S44" s="91">
        <v>0.80681943983172799</v>
      </c>
    </row>
    <row r="45" spans="1:19" x14ac:dyDescent="0.2">
      <c r="A45" s="90" t="s">
        <v>760</v>
      </c>
      <c r="B45" s="90" t="s">
        <v>15</v>
      </c>
      <c r="C45" s="90" t="s">
        <v>28</v>
      </c>
      <c r="D45" s="90"/>
      <c r="E45" s="90" t="s">
        <v>17</v>
      </c>
      <c r="F45" s="90"/>
      <c r="G45" s="90" t="s">
        <v>406</v>
      </c>
      <c r="H45" s="90"/>
      <c r="I45" s="90"/>
      <c r="J45" s="90"/>
      <c r="K45" s="90"/>
      <c r="L45" s="90">
        <v>65</v>
      </c>
      <c r="M45" s="90">
        <v>64</v>
      </c>
      <c r="N45" s="90"/>
      <c r="O45" s="90"/>
      <c r="P45" s="91">
        <v>0.76200000000000001</v>
      </c>
      <c r="Q45" s="91">
        <v>0.01</v>
      </c>
      <c r="R45" s="91">
        <v>0.95799999999999996</v>
      </c>
      <c r="S45" s="91">
        <v>0.82896047824642904</v>
      </c>
    </row>
    <row r="46" spans="1:19" x14ac:dyDescent="0.2">
      <c r="A46" s="90" t="s">
        <v>291</v>
      </c>
      <c r="B46" s="90" t="s">
        <v>15</v>
      </c>
      <c r="C46" s="90" t="s">
        <v>292</v>
      </c>
      <c r="D46" s="90"/>
      <c r="E46" s="90" t="s">
        <v>17</v>
      </c>
      <c r="F46" s="90"/>
      <c r="G46" s="90"/>
      <c r="H46" s="90"/>
      <c r="I46" s="90"/>
      <c r="J46" s="90" t="s">
        <v>26</v>
      </c>
      <c r="K46" s="90"/>
      <c r="L46" s="90">
        <v>11</v>
      </c>
      <c r="M46" s="90">
        <v>4</v>
      </c>
      <c r="N46" s="90"/>
      <c r="O46" s="90"/>
      <c r="P46" s="91">
        <v>0.44700000000000001</v>
      </c>
      <c r="Q46" s="91">
        <v>0.183</v>
      </c>
      <c r="R46" s="91">
        <v>0.78500000000000003</v>
      </c>
      <c r="S46" s="91">
        <v>0.75412376840473805</v>
      </c>
    </row>
    <row r="47" spans="1:19" x14ac:dyDescent="0.2">
      <c r="A47" s="90" t="s">
        <v>374</v>
      </c>
      <c r="B47" s="90" t="s">
        <v>15</v>
      </c>
      <c r="C47" s="90" t="s">
        <v>59</v>
      </c>
      <c r="D47" s="90"/>
      <c r="E47" s="90" t="s">
        <v>17</v>
      </c>
      <c r="F47" s="90"/>
      <c r="G47" s="90"/>
      <c r="H47" s="90"/>
      <c r="I47" s="90"/>
      <c r="J47" s="90" t="s">
        <v>26</v>
      </c>
      <c r="K47" s="90"/>
      <c r="L47" s="90">
        <v>9</v>
      </c>
      <c r="M47" s="90">
        <v>3</v>
      </c>
      <c r="N47" s="90"/>
      <c r="O47" s="90"/>
      <c r="P47" s="91">
        <v>0.438</v>
      </c>
      <c r="Q47" s="91">
        <v>0.44800000000000001</v>
      </c>
      <c r="R47" s="91">
        <v>0.57799999999999996</v>
      </c>
      <c r="S47" s="91">
        <v>0.93169489649064496</v>
      </c>
    </row>
    <row r="48" spans="1:19" x14ac:dyDescent="0.2">
      <c r="A48" s="90" t="s">
        <v>376</v>
      </c>
      <c r="B48" s="90" t="s">
        <v>15</v>
      </c>
      <c r="C48" s="90" t="s">
        <v>210</v>
      </c>
      <c r="D48" s="90"/>
      <c r="E48" s="90" t="s">
        <v>17</v>
      </c>
      <c r="F48" s="90"/>
      <c r="G48" s="90"/>
      <c r="H48" s="90"/>
      <c r="I48" s="90"/>
      <c r="J48" s="90" t="s">
        <v>26</v>
      </c>
      <c r="K48" s="90"/>
      <c r="L48" s="90">
        <v>4</v>
      </c>
      <c r="M48" s="90">
        <v>1</v>
      </c>
      <c r="N48" s="90"/>
      <c r="O48" s="90"/>
      <c r="P48" s="91">
        <v>0.42399999999999999</v>
      </c>
      <c r="Q48" s="91">
        <v>0.22700000000000001</v>
      </c>
      <c r="R48" s="91">
        <v>0.64500000000000002</v>
      </c>
      <c r="S48" s="91">
        <v>0.87346396545997995</v>
      </c>
    </row>
    <row r="49" spans="1:23" x14ac:dyDescent="0.2">
      <c r="A49" s="90" t="s">
        <v>379</v>
      </c>
      <c r="B49" s="90" t="s">
        <v>15</v>
      </c>
      <c r="C49" s="90" t="s">
        <v>100</v>
      </c>
      <c r="D49" s="90"/>
      <c r="E49" s="90" t="s">
        <v>17</v>
      </c>
      <c r="F49" s="90"/>
      <c r="G49" s="90"/>
      <c r="H49" s="90"/>
      <c r="I49" s="90"/>
      <c r="J49" s="90" t="s">
        <v>26</v>
      </c>
      <c r="K49" s="90"/>
      <c r="L49" s="90">
        <v>6</v>
      </c>
      <c r="M49" s="90">
        <v>2</v>
      </c>
      <c r="N49" s="90"/>
      <c r="O49" s="90"/>
      <c r="P49" s="91">
        <v>0.53</v>
      </c>
      <c r="Q49" s="91">
        <v>0.19900000000000001</v>
      </c>
      <c r="R49" s="91">
        <v>0.89</v>
      </c>
      <c r="S49" s="91">
        <v>0.92073508247536795</v>
      </c>
    </row>
    <row r="50" spans="1:23" x14ac:dyDescent="0.2">
      <c r="A50" s="90" t="s">
        <v>392</v>
      </c>
      <c r="B50" s="90" t="s">
        <v>15</v>
      </c>
      <c r="C50" s="90" t="s">
        <v>393</v>
      </c>
      <c r="D50" s="90"/>
      <c r="E50" s="90" t="s">
        <v>17</v>
      </c>
      <c r="F50" s="90"/>
      <c r="G50" s="90"/>
      <c r="H50" s="90"/>
      <c r="I50" s="90"/>
      <c r="J50" s="90" t="s">
        <v>26</v>
      </c>
      <c r="K50" s="90"/>
      <c r="L50" s="90">
        <v>123</v>
      </c>
      <c r="M50" s="90">
        <v>31</v>
      </c>
      <c r="N50" s="90"/>
      <c r="O50" s="90"/>
      <c r="P50" s="91">
        <v>0.79300000000000004</v>
      </c>
      <c r="Q50" s="91">
        <v>2.1999999999999999E-2</v>
      </c>
      <c r="R50" s="91">
        <v>0.46200000000000002</v>
      </c>
      <c r="S50" s="91">
        <v>0.92627034207904302</v>
      </c>
    </row>
    <row r="51" spans="1:23" x14ac:dyDescent="0.2">
      <c r="A51" s="90" t="s">
        <v>409</v>
      </c>
      <c r="B51" s="90" t="s">
        <v>15</v>
      </c>
      <c r="C51" s="90" t="s">
        <v>134</v>
      </c>
      <c r="D51" s="90"/>
      <c r="E51" s="90" t="s">
        <v>17</v>
      </c>
      <c r="F51" s="90"/>
      <c r="G51" s="90"/>
      <c r="H51" s="90"/>
      <c r="I51" s="90"/>
      <c r="J51" s="90" t="s">
        <v>26</v>
      </c>
      <c r="K51" s="90"/>
      <c r="L51" s="90">
        <v>75</v>
      </c>
      <c r="M51" s="90">
        <v>75</v>
      </c>
      <c r="N51" s="90"/>
      <c r="O51" s="90"/>
      <c r="P51" s="91">
        <v>0.40300000000000002</v>
      </c>
      <c r="Q51" s="91">
        <v>0.17899999999999999</v>
      </c>
      <c r="R51" s="91">
        <v>0.19600000000000001</v>
      </c>
      <c r="S51" s="91">
        <v>0.77261153548101402</v>
      </c>
      <c r="W51" s="21"/>
    </row>
    <row r="52" spans="1:23" x14ac:dyDescent="0.2">
      <c r="A52" s="90" t="s">
        <v>312</v>
      </c>
      <c r="B52" s="90" t="s">
        <v>15</v>
      </c>
      <c r="C52" s="90" t="s">
        <v>313</v>
      </c>
      <c r="D52" s="90"/>
      <c r="E52" s="90" t="s">
        <v>17</v>
      </c>
      <c r="F52" s="90"/>
      <c r="G52" s="90"/>
      <c r="H52" s="90"/>
      <c r="I52" s="90"/>
      <c r="J52" s="90" t="s">
        <v>26</v>
      </c>
      <c r="K52" s="90"/>
      <c r="L52" s="90">
        <v>8</v>
      </c>
      <c r="M52" s="90">
        <v>2</v>
      </c>
      <c r="N52" s="90"/>
      <c r="O52" s="90"/>
      <c r="P52" s="91">
        <v>0.52500000000000002</v>
      </c>
      <c r="Q52" s="91">
        <v>0.26</v>
      </c>
      <c r="R52" s="91">
        <v>0.92500000000000004</v>
      </c>
      <c r="S52" s="91">
        <v>0.86969998892947997</v>
      </c>
    </row>
    <row r="53" spans="1:23" x14ac:dyDescent="0.2">
      <c r="A53" s="90" t="s">
        <v>436</v>
      </c>
      <c r="B53" s="90" t="s">
        <v>15</v>
      </c>
      <c r="C53" s="90" t="s">
        <v>437</v>
      </c>
      <c r="D53" s="90"/>
      <c r="E53" s="90" t="s">
        <v>17</v>
      </c>
      <c r="F53" s="90" t="s">
        <v>25</v>
      </c>
      <c r="G53" s="90"/>
      <c r="H53" s="90"/>
      <c r="I53" s="90"/>
      <c r="J53" s="90" t="s">
        <v>26</v>
      </c>
      <c r="K53" s="90"/>
      <c r="L53" s="90">
        <v>179</v>
      </c>
      <c r="M53" s="90">
        <v>178</v>
      </c>
      <c r="N53" s="90"/>
      <c r="O53" s="90"/>
      <c r="P53" s="91">
        <v>0.308</v>
      </c>
      <c r="Q53" s="91">
        <v>0.54600000000000004</v>
      </c>
      <c r="R53" s="91">
        <v>0.26200000000000001</v>
      </c>
      <c r="S53" s="91">
        <v>0.86383261374958498</v>
      </c>
    </row>
    <row r="54" spans="1:23" x14ac:dyDescent="0.2">
      <c r="A54" s="90" t="s">
        <v>117</v>
      </c>
      <c r="B54" s="90" t="s">
        <v>15</v>
      </c>
      <c r="C54" s="90" t="s">
        <v>118</v>
      </c>
      <c r="D54" s="90"/>
      <c r="E54" s="90" t="s">
        <v>17</v>
      </c>
      <c r="F54" s="90"/>
      <c r="G54" s="90"/>
      <c r="H54" s="90"/>
      <c r="I54" s="90"/>
      <c r="J54" s="90" t="s">
        <v>26</v>
      </c>
      <c r="K54" s="90"/>
      <c r="L54" s="90">
        <v>17</v>
      </c>
      <c r="M54" s="90">
        <v>6</v>
      </c>
      <c r="N54" s="90"/>
      <c r="O54" s="90"/>
      <c r="P54" s="91">
        <v>0.79700000000000004</v>
      </c>
      <c r="Q54" s="91">
        <v>8.2000000000000003E-2</v>
      </c>
      <c r="R54" s="91">
        <v>0.73799999999999999</v>
      </c>
      <c r="S54" s="91">
        <v>0.89649064541126899</v>
      </c>
    </row>
    <row r="55" spans="1:23" x14ac:dyDescent="0.2">
      <c r="A55" s="90" t="s">
        <v>129</v>
      </c>
      <c r="B55" s="90" t="s">
        <v>15</v>
      </c>
      <c r="C55" s="90" t="s">
        <v>130</v>
      </c>
      <c r="D55" s="90"/>
      <c r="E55" s="90" t="s">
        <v>17</v>
      </c>
      <c r="F55" s="90"/>
      <c r="G55" s="90"/>
      <c r="H55" s="90"/>
      <c r="I55" s="90"/>
      <c r="J55" s="90" t="s">
        <v>26</v>
      </c>
      <c r="K55" s="90"/>
      <c r="L55" s="90">
        <v>259</v>
      </c>
      <c r="M55" s="90">
        <v>130</v>
      </c>
      <c r="N55" s="90"/>
      <c r="O55" s="90"/>
      <c r="P55" s="91">
        <v>0.52900000000000003</v>
      </c>
      <c r="Q55" s="91">
        <v>0.625</v>
      </c>
      <c r="R55" s="91">
        <v>0.106</v>
      </c>
      <c r="S55" s="91">
        <v>0.30266799512897102</v>
      </c>
    </row>
    <row r="56" spans="1:23" x14ac:dyDescent="0.2">
      <c r="A56" s="90" t="s">
        <v>284</v>
      </c>
      <c r="B56" s="90" t="s">
        <v>15</v>
      </c>
      <c r="C56" s="90" t="s">
        <v>50</v>
      </c>
      <c r="D56" s="90"/>
      <c r="E56" s="90" t="s">
        <v>17</v>
      </c>
      <c r="F56" s="90"/>
      <c r="G56" s="90"/>
      <c r="H56" s="90"/>
      <c r="I56" s="90"/>
      <c r="J56" s="90" t="s">
        <v>26</v>
      </c>
      <c r="K56" s="90"/>
      <c r="L56" s="90">
        <v>24</v>
      </c>
      <c r="M56" s="90">
        <v>8</v>
      </c>
      <c r="N56" s="90"/>
      <c r="O56" s="90"/>
      <c r="P56" s="91">
        <v>0.76700000000000002</v>
      </c>
      <c r="Q56" s="91">
        <v>0.214</v>
      </c>
      <c r="R56" s="91">
        <v>0.98399999999999999</v>
      </c>
      <c r="S56" s="91">
        <v>0.79264917524631895</v>
      </c>
    </row>
    <row r="57" spans="1:23" x14ac:dyDescent="0.2">
      <c r="A57" s="90" t="s">
        <v>352</v>
      </c>
      <c r="B57" s="90" t="s">
        <v>15</v>
      </c>
      <c r="C57" s="90" t="s">
        <v>100</v>
      </c>
      <c r="D57" s="90"/>
      <c r="E57" s="90" t="s">
        <v>17</v>
      </c>
      <c r="F57" s="90"/>
      <c r="G57" s="90"/>
      <c r="H57" s="90"/>
      <c r="I57" s="90"/>
      <c r="J57" s="90" t="s">
        <v>26</v>
      </c>
      <c r="K57" s="90"/>
      <c r="L57" s="90">
        <v>196</v>
      </c>
      <c r="M57" s="90">
        <v>49</v>
      </c>
      <c r="N57" s="90"/>
      <c r="O57" s="90"/>
      <c r="P57" s="91">
        <v>0.53</v>
      </c>
      <c r="Q57" s="91">
        <v>0.19900000000000001</v>
      </c>
      <c r="R57" s="91">
        <v>0.89</v>
      </c>
      <c r="S57" s="91">
        <v>0.92073508247536795</v>
      </c>
    </row>
    <row r="58" spans="1:23" x14ac:dyDescent="0.2">
      <c r="A58" s="90" t="s">
        <v>337</v>
      </c>
      <c r="B58" s="90" t="s">
        <v>15</v>
      </c>
      <c r="C58" s="90" t="s">
        <v>292</v>
      </c>
      <c r="D58" s="90"/>
      <c r="E58" s="90" t="s">
        <v>17</v>
      </c>
      <c r="F58" s="90"/>
      <c r="G58" s="90"/>
      <c r="H58" s="90"/>
      <c r="I58" s="90"/>
      <c r="J58" s="90" t="s">
        <v>26</v>
      </c>
      <c r="K58" s="90"/>
      <c r="L58" s="90">
        <v>81</v>
      </c>
      <c r="M58" s="90">
        <v>80</v>
      </c>
      <c r="N58" s="90"/>
      <c r="O58" s="90"/>
      <c r="P58" s="91">
        <v>0.44700000000000001</v>
      </c>
      <c r="Q58" s="91">
        <v>0.183</v>
      </c>
      <c r="R58" s="91">
        <v>0.78500000000000003</v>
      </c>
      <c r="S58" s="91">
        <v>0.75412376840473805</v>
      </c>
    </row>
    <row r="59" spans="1:23" x14ac:dyDescent="0.2">
      <c r="A59" s="90" t="s">
        <v>49</v>
      </c>
      <c r="B59" s="90" t="s">
        <v>15</v>
      </c>
      <c r="C59" s="92" t="s">
        <v>50</v>
      </c>
      <c r="D59" s="92"/>
      <c r="E59" s="90" t="s">
        <v>17</v>
      </c>
      <c r="F59" s="90" t="s">
        <v>25</v>
      </c>
      <c r="G59" s="90"/>
      <c r="H59" s="90"/>
      <c r="I59" s="90"/>
      <c r="J59" s="90" t="s">
        <v>26</v>
      </c>
      <c r="K59" s="90"/>
      <c r="L59" s="90">
        <v>40</v>
      </c>
      <c r="M59" s="90">
        <v>10</v>
      </c>
      <c r="N59" s="90"/>
      <c r="O59" s="90"/>
      <c r="P59" s="93">
        <v>0.77</v>
      </c>
      <c r="Q59" s="93">
        <v>0.214</v>
      </c>
      <c r="R59" s="91">
        <v>0.98399999999999999</v>
      </c>
      <c r="S59" s="91">
        <v>0.79264917524631895</v>
      </c>
    </row>
    <row r="60" spans="1:23" x14ac:dyDescent="0.2">
      <c r="A60" s="90" t="s">
        <v>27</v>
      </c>
      <c r="B60" s="90" t="s">
        <v>15</v>
      </c>
      <c r="C60" s="90" t="s">
        <v>28</v>
      </c>
      <c r="D60" s="90"/>
      <c r="E60" s="90" t="s">
        <v>17</v>
      </c>
      <c r="F60" s="90"/>
      <c r="G60" s="90"/>
      <c r="H60" s="90"/>
      <c r="I60" s="90"/>
      <c r="J60" s="90" t="s">
        <v>26</v>
      </c>
      <c r="K60" s="90"/>
      <c r="L60" s="90">
        <v>179</v>
      </c>
      <c r="M60" s="90">
        <v>125</v>
      </c>
      <c r="N60" s="90"/>
      <c r="O60" s="90"/>
      <c r="P60" s="91">
        <v>0.76200000000000001</v>
      </c>
      <c r="Q60" s="91">
        <v>0.01</v>
      </c>
      <c r="R60" s="91">
        <v>0.95799999999999996</v>
      </c>
      <c r="S60" s="91">
        <v>0.82896047824642904</v>
      </c>
    </row>
    <row r="61" spans="1:23" x14ac:dyDescent="0.2">
      <c r="A61" s="90" t="s">
        <v>276</v>
      </c>
      <c r="B61" s="90" t="s">
        <v>15</v>
      </c>
      <c r="C61" s="90" t="s">
        <v>219</v>
      </c>
      <c r="D61" s="90"/>
      <c r="E61" s="90" t="s">
        <v>17</v>
      </c>
      <c r="F61" s="90"/>
      <c r="G61" s="90"/>
      <c r="H61" s="90"/>
      <c r="I61" s="90"/>
      <c r="J61" s="90" t="s">
        <v>26</v>
      </c>
      <c r="K61" s="90"/>
      <c r="L61" s="90">
        <v>80</v>
      </c>
      <c r="M61" s="90">
        <v>32</v>
      </c>
      <c r="N61" s="90"/>
      <c r="O61" s="90"/>
      <c r="P61" s="91">
        <v>0.97099999999999997</v>
      </c>
      <c r="Q61" s="91">
        <v>8.3000000000000004E-2</v>
      </c>
      <c r="R61" s="91">
        <v>0.99399999999999999</v>
      </c>
      <c r="S61" s="91">
        <v>0.86183992029226097</v>
      </c>
    </row>
    <row r="62" spans="1:23" x14ac:dyDescent="0.2">
      <c r="A62" s="90" t="s">
        <v>525</v>
      </c>
      <c r="B62" s="90" t="s">
        <v>15</v>
      </c>
      <c r="C62" s="90" t="s">
        <v>526</v>
      </c>
      <c r="D62" s="90"/>
      <c r="E62" s="90" t="s">
        <v>17</v>
      </c>
      <c r="F62" s="90"/>
      <c r="G62" s="90"/>
      <c r="H62" s="90"/>
      <c r="I62" s="90"/>
      <c r="J62" s="90" t="s">
        <v>26</v>
      </c>
      <c r="K62" s="90"/>
      <c r="L62" s="90">
        <v>117</v>
      </c>
      <c r="M62" s="90">
        <v>27</v>
      </c>
      <c r="N62" s="90"/>
      <c r="O62" s="90"/>
      <c r="P62" s="91">
        <v>0.47499999999999998</v>
      </c>
      <c r="Q62" s="91">
        <v>0.77700000000000002</v>
      </c>
      <c r="R62" s="91">
        <v>0.42299999999999999</v>
      </c>
      <c r="S62" s="91">
        <v>0.31606332336986598</v>
      </c>
    </row>
    <row r="63" spans="1:23" x14ac:dyDescent="0.2">
      <c r="A63" s="90" t="s">
        <v>605</v>
      </c>
      <c r="B63" s="90" t="s">
        <v>15</v>
      </c>
      <c r="C63" s="90" t="s">
        <v>606</v>
      </c>
      <c r="D63" s="90"/>
      <c r="E63" s="90" t="s">
        <v>17</v>
      </c>
      <c r="F63" s="90"/>
      <c r="G63" s="90"/>
      <c r="H63" s="90"/>
      <c r="I63" s="90"/>
      <c r="J63" s="90" t="s">
        <v>26</v>
      </c>
      <c r="K63" s="90"/>
      <c r="L63" s="90">
        <v>100</v>
      </c>
      <c r="M63" s="90">
        <v>25</v>
      </c>
      <c r="N63" s="90"/>
      <c r="O63" s="90"/>
      <c r="P63" s="91">
        <v>0.85899999999999999</v>
      </c>
      <c r="Q63" s="91">
        <v>8.5999999999999993E-2</v>
      </c>
      <c r="R63" s="91">
        <v>0.223</v>
      </c>
      <c r="S63" s="91">
        <v>0.86062216317945295</v>
      </c>
    </row>
    <row r="64" spans="1:23" x14ac:dyDescent="0.2">
      <c r="A64" s="90" t="s">
        <v>647</v>
      </c>
      <c r="B64" s="90" t="s">
        <v>15</v>
      </c>
      <c r="C64" s="92" t="s">
        <v>160</v>
      </c>
      <c r="D64" s="92"/>
      <c r="E64" s="90" t="s">
        <v>17</v>
      </c>
      <c r="F64" s="90" t="s">
        <v>25</v>
      </c>
      <c r="G64" s="90"/>
      <c r="H64" s="90"/>
      <c r="I64" s="90"/>
      <c r="J64" s="90" t="s">
        <v>26</v>
      </c>
      <c r="K64" s="90"/>
      <c r="L64" s="90">
        <v>132</v>
      </c>
      <c r="M64" s="90">
        <v>132</v>
      </c>
      <c r="N64" s="90"/>
      <c r="O64" s="90"/>
      <c r="P64" s="93">
        <v>1</v>
      </c>
      <c r="Q64" s="93">
        <v>0.214</v>
      </c>
      <c r="R64" s="91">
        <v>0.92900000000000005</v>
      </c>
      <c r="S64" s="91">
        <v>0.71283073176131895</v>
      </c>
    </row>
    <row r="65" spans="1:19" x14ac:dyDescent="0.2">
      <c r="A65" s="90" t="s">
        <v>657</v>
      </c>
      <c r="B65" s="90" t="s">
        <v>15</v>
      </c>
      <c r="C65" s="90" t="s">
        <v>50</v>
      </c>
      <c r="D65" s="90"/>
      <c r="E65" s="90" t="s">
        <v>17</v>
      </c>
      <c r="F65" s="90"/>
      <c r="G65" s="90"/>
      <c r="H65" s="90"/>
      <c r="I65" s="90"/>
      <c r="J65" s="90" t="s">
        <v>26</v>
      </c>
      <c r="K65" s="90"/>
      <c r="L65" s="90">
        <v>34</v>
      </c>
      <c r="M65" s="90">
        <v>33</v>
      </c>
      <c r="N65" s="90"/>
      <c r="O65" s="90"/>
      <c r="P65" s="91">
        <v>0.76700000000000002</v>
      </c>
      <c r="Q65" s="91">
        <v>0.214</v>
      </c>
      <c r="R65" s="91">
        <v>0.98399999999999999</v>
      </c>
      <c r="S65" s="91">
        <v>0.79264917524631895</v>
      </c>
    </row>
    <row r="66" spans="1:19" x14ac:dyDescent="0.2">
      <c r="A66" s="90" t="s">
        <v>707</v>
      </c>
      <c r="B66" s="90" t="s">
        <v>15</v>
      </c>
      <c r="C66" s="92" t="s">
        <v>72</v>
      </c>
      <c r="D66" s="92"/>
      <c r="E66" s="90" t="s">
        <v>17</v>
      </c>
      <c r="F66" s="90" t="s">
        <v>25</v>
      </c>
      <c r="G66" s="90"/>
      <c r="H66" s="90"/>
      <c r="I66" s="90"/>
      <c r="J66" s="90" t="s">
        <v>26</v>
      </c>
      <c r="K66" s="90"/>
      <c r="L66" s="90">
        <v>60</v>
      </c>
      <c r="M66" s="90">
        <v>59</v>
      </c>
      <c r="N66" s="90"/>
      <c r="O66" s="90"/>
      <c r="P66" s="93">
        <v>0.09</v>
      </c>
      <c r="Q66" s="93">
        <v>0.33800000000000002</v>
      </c>
      <c r="R66" s="91">
        <v>0.59</v>
      </c>
      <c r="S66" s="91">
        <v>0.70386361120336505</v>
      </c>
    </row>
    <row r="67" spans="1:19" x14ac:dyDescent="0.2">
      <c r="A67" s="90" t="s">
        <v>720</v>
      </c>
      <c r="B67" s="90" t="s">
        <v>15</v>
      </c>
      <c r="C67" s="92" t="s">
        <v>160</v>
      </c>
      <c r="D67" s="92"/>
      <c r="E67" s="90" t="s">
        <v>17</v>
      </c>
      <c r="F67" s="90" t="s">
        <v>25</v>
      </c>
      <c r="G67" s="90"/>
      <c r="H67" s="90"/>
      <c r="I67" s="90"/>
      <c r="J67" s="90" t="s">
        <v>26</v>
      </c>
      <c r="K67" s="90"/>
      <c r="L67" s="90">
        <v>135</v>
      </c>
      <c r="M67" s="90">
        <v>47</v>
      </c>
      <c r="N67" s="90"/>
      <c r="O67" s="90"/>
      <c r="P67" s="93">
        <v>1</v>
      </c>
      <c r="Q67" s="93">
        <v>0.214</v>
      </c>
      <c r="R67" s="91">
        <v>0.92900000000000005</v>
      </c>
      <c r="S67" s="91">
        <v>0.71283073176131895</v>
      </c>
    </row>
    <row r="68" spans="1:19" x14ac:dyDescent="0.2">
      <c r="A68" s="90" t="s">
        <v>723</v>
      </c>
      <c r="B68" s="90" t="s">
        <v>15</v>
      </c>
      <c r="C68" s="90" t="s">
        <v>606</v>
      </c>
      <c r="D68" s="90"/>
      <c r="E68" s="90" t="s">
        <v>17</v>
      </c>
      <c r="F68" s="90"/>
      <c r="G68" s="90"/>
      <c r="H68" s="90"/>
      <c r="I68" s="90"/>
      <c r="J68" s="90" t="s">
        <v>26</v>
      </c>
      <c r="K68" s="90"/>
      <c r="L68" s="90">
        <v>18</v>
      </c>
      <c r="M68" s="90">
        <v>6</v>
      </c>
      <c r="N68" s="90"/>
      <c r="O68" s="90"/>
      <c r="P68" s="91">
        <v>0.85899999999999999</v>
      </c>
      <c r="Q68" s="91">
        <v>8.5999999999999993E-2</v>
      </c>
      <c r="R68" s="91">
        <v>0.223</v>
      </c>
      <c r="S68" s="91">
        <v>0.86062216317945295</v>
      </c>
    </row>
    <row r="69" spans="1:19" x14ac:dyDescent="0.2">
      <c r="A69" s="90" t="s">
        <v>736</v>
      </c>
      <c r="B69" s="90" t="s">
        <v>15</v>
      </c>
      <c r="C69" s="90" t="s">
        <v>134</v>
      </c>
      <c r="D69" s="90"/>
      <c r="E69" s="90" t="s">
        <v>17</v>
      </c>
      <c r="F69" s="90" t="s">
        <v>25</v>
      </c>
      <c r="G69" s="90"/>
      <c r="H69" s="90"/>
      <c r="I69" s="90"/>
      <c r="J69" s="90" t="s">
        <v>26</v>
      </c>
      <c r="K69" s="90"/>
      <c r="L69" s="90">
        <v>100</v>
      </c>
      <c r="M69" s="90">
        <v>99</v>
      </c>
      <c r="N69" s="90"/>
      <c r="O69" s="90"/>
      <c r="P69" s="91">
        <v>0.40300000000000002</v>
      </c>
      <c r="Q69" s="91">
        <v>0.17899999999999999</v>
      </c>
      <c r="R69" s="91">
        <v>0.19600000000000001</v>
      </c>
      <c r="S69" s="91">
        <v>0.77261153548101402</v>
      </c>
    </row>
    <row r="70" spans="1:19" x14ac:dyDescent="0.2">
      <c r="A70" s="90" t="s">
        <v>741</v>
      </c>
      <c r="B70" s="90" t="s">
        <v>15</v>
      </c>
      <c r="C70" s="90" t="s">
        <v>100</v>
      </c>
      <c r="D70" s="90"/>
      <c r="E70" s="90" t="s">
        <v>17</v>
      </c>
      <c r="F70" s="90"/>
      <c r="G70" s="90"/>
      <c r="H70" s="90"/>
      <c r="I70" s="90"/>
      <c r="J70" s="90" t="s">
        <v>26</v>
      </c>
      <c r="K70" s="90"/>
      <c r="L70" s="90">
        <v>82</v>
      </c>
      <c r="M70" s="90">
        <v>21</v>
      </c>
      <c r="N70" s="90"/>
      <c r="O70" s="90"/>
      <c r="P70" s="91">
        <v>0.53</v>
      </c>
      <c r="Q70" s="91">
        <v>0.19900000000000001</v>
      </c>
      <c r="R70" s="91">
        <v>0.89</v>
      </c>
      <c r="S70" s="91">
        <v>0.92073508247536795</v>
      </c>
    </row>
    <row r="71" spans="1:19" x14ac:dyDescent="0.2">
      <c r="A71" s="90" t="s">
        <v>470</v>
      </c>
      <c r="B71" s="90" t="s">
        <v>15</v>
      </c>
      <c r="C71" s="92" t="s">
        <v>471</v>
      </c>
      <c r="D71" s="92"/>
      <c r="E71" s="90" t="s">
        <v>17</v>
      </c>
      <c r="F71" s="90" t="s">
        <v>25</v>
      </c>
      <c r="G71" s="90"/>
      <c r="H71" s="90" t="s">
        <v>39</v>
      </c>
      <c r="I71" s="90"/>
      <c r="J71" s="90"/>
      <c r="K71" s="90"/>
      <c r="L71" s="90">
        <v>23</v>
      </c>
      <c r="M71" s="90">
        <v>22</v>
      </c>
      <c r="N71" s="90"/>
      <c r="O71" s="90"/>
      <c r="P71" s="93">
        <v>0.94</v>
      </c>
      <c r="Q71" s="93">
        <v>4.8000000000000001E-2</v>
      </c>
      <c r="R71" s="91">
        <v>0.98899999999999999</v>
      </c>
      <c r="S71" s="91">
        <v>0.88874128196612401</v>
      </c>
    </row>
    <row r="72" spans="1:19" x14ac:dyDescent="0.2">
      <c r="A72" s="90" t="s">
        <v>475</v>
      </c>
      <c r="B72" s="90" t="s">
        <v>15</v>
      </c>
      <c r="C72" s="90" t="s">
        <v>118</v>
      </c>
      <c r="D72" s="90"/>
      <c r="E72" s="90" t="s">
        <v>17</v>
      </c>
      <c r="F72" s="90"/>
      <c r="G72" s="90"/>
      <c r="H72" s="90" t="s">
        <v>39</v>
      </c>
      <c r="I72" s="90"/>
      <c r="J72" s="90"/>
      <c r="K72" s="90"/>
      <c r="L72" s="90">
        <v>4</v>
      </c>
      <c r="M72" s="90">
        <v>4</v>
      </c>
      <c r="N72" s="90"/>
      <c r="O72" s="90"/>
      <c r="P72" s="91">
        <v>0.79700000000000004</v>
      </c>
      <c r="Q72" s="91">
        <v>8.2000000000000003E-2</v>
      </c>
      <c r="R72" s="91">
        <v>0.73799999999999999</v>
      </c>
      <c r="S72" s="91">
        <v>0.89649064541126899</v>
      </c>
    </row>
    <row r="73" spans="1:19" x14ac:dyDescent="0.2">
      <c r="A73" s="90" t="s">
        <v>75</v>
      </c>
      <c r="B73" s="90" t="s">
        <v>15</v>
      </c>
      <c r="C73" s="92" t="s">
        <v>76</v>
      </c>
      <c r="D73" s="92"/>
      <c r="E73" s="90" t="s">
        <v>17</v>
      </c>
      <c r="F73" s="90" t="s">
        <v>25</v>
      </c>
      <c r="G73" s="90" t="s">
        <v>406</v>
      </c>
      <c r="H73" s="90" t="s">
        <v>39</v>
      </c>
      <c r="I73" s="90"/>
      <c r="J73" s="90"/>
      <c r="K73" s="90"/>
      <c r="L73" s="90">
        <v>60</v>
      </c>
      <c r="M73" s="90">
        <v>59</v>
      </c>
      <c r="N73" s="90"/>
      <c r="O73" s="90"/>
      <c r="P73" s="93">
        <v>0.64</v>
      </c>
      <c r="Q73" s="93">
        <v>0.41699999999999998</v>
      </c>
      <c r="R73" s="91">
        <v>0.35699999999999998</v>
      </c>
      <c r="S73" s="91">
        <v>0.75611646186206105</v>
      </c>
    </row>
    <row r="74" spans="1:19" x14ac:dyDescent="0.2">
      <c r="A74" s="90" t="s">
        <v>99</v>
      </c>
      <c r="B74" s="90" t="s">
        <v>15</v>
      </c>
      <c r="C74" s="92" t="s">
        <v>100</v>
      </c>
      <c r="D74" s="92"/>
      <c r="E74" s="90" t="s">
        <v>17</v>
      </c>
      <c r="F74" s="90" t="s">
        <v>25</v>
      </c>
      <c r="G74" s="90"/>
      <c r="H74" s="90" t="s">
        <v>39</v>
      </c>
      <c r="I74" s="90"/>
      <c r="J74" s="90"/>
      <c r="K74" s="90"/>
      <c r="L74" s="90">
        <v>25</v>
      </c>
      <c r="M74" s="90">
        <v>24</v>
      </c>
      <c r="N74" s="90"/>
      <c r="O74" s="90"/>
      <c r="P74" s="93">
        <v>0.53</v>
      </c>
      <c r="Q74" s="93">
        <v>0.19900000000000001</v>
      </c>
      <c r="R74" s="91">
        <v>0.89</v>
      </c>
      <c r="S74" s="91">
        <v>0.92073508247536795</v>
      </c>
    </row>
    <row r="75" spans="1:19" x14ac:dyDescent="0.2">
      <c r="A75" s="90" t="s">
        <v>270</v>
      </c>
      <c r="B75" s="90" t="s">
        <v>15</v>
      </c>
      <c r="C75" s="90" t="s">
        <v>271</v>
      </c>
      <c r="D75" s="90"/>
      <c r="E75" s="90" t="s">
        <v>17</v>
      </c>
      <c r="F75" s="90"/>
      <c r="G75" s="90"/>
      <c r="H75" s="90" t="s">
        <v>105</v>
      </c>
      <c r="I75" s="90"/>
      <c r="J75" s="90"/>
      <c r="K75" s="90"/>
      <c r="L75" s="90">
        <v>49</v>
      </c>
      <c r="M75" s="90">
        <v>48</v>
      </c>
      <c r="N75" s="90"/>
      <c r="O75" s="90"/>
      <c r="P75" s="91">
        <v>0.47899999999999998</v>
      </c>
      <c r="Q75" s="91">
        <v>7.9000000000000001E-2</v>
      </c>
      <c r="R75" s="91">
        <v>0.90500000000000003</v>
      </c>
      <c r="S75" s="91">
        <v>0.830510350935458</v>
      </c>
    </row>
    <row r="76" spans="1:19" x14ac:dyDescent="0.2">
      <c r="A76" s="90" t="s">
        <v>216</v>
      </c>
      <c r="B76" s="90" t="s">
        <v>15</v>
      </c>
      <c r="C76" s="90" t="s">
        <v>217</v>
      </c>
      <c r="D76" s="90"/>
      <c r="E76" s="90" t="s">
        <v>17</v>
      </c>
      <c r="F76" s="90"/>
      <c r="G76" s="90"/>
      <c r="H76" s="90" t="s">
        <v>39</v>
      </c>
      <c r="I76" s="90"/>
      <c r="J76" s="90"/>
      <c r="K76" s="90"/>
      <c r="L76" s="90">
        <v>8</v>
      </c>
      <c r="M76" s="90">
        <v>8</v>
      </c>
      <c r="N76" s="90"/>
      <c r="O76" s="90"/>
      <c r="P76" s="91">
        <v>0.33300000000000002</v>
      </c>
      <c r="Q76" s="91">
        <v>0.495</v>
      </c>
      <c r="R76" s="91">
        <v>0.60899999999999999</v>
      </c>
      <c r="S76" s="91">
        <v>0.72965792095649196</v>
      </c>
    </row>
    <row r="77" spans="1:19" x14ac:dyDescent="0.2">
      <c r="A77" s="90" t="s">
        <v>388</v>
      </c>
      <c r="B77" s="90" t="s">
        <v>64</v>
      </c>
      <c r="C77" s="90" t="s">
        <v>389</v>
      </c>
      <c r="D77" s="90"/>
      <c r="E77" s="90" t="s">
        <v>17</v>
      </c>
      <c r="F77" s="90"/>
      <c r="G77" s="90" t="s">
        <v>406</v>
      </c>
      <c r="H77" s="90"/>
      <c r="I77" s="90"/>
      <c r="J77" s="90"/>
      <c r="K77" s="90"/>
      <c r="L77" s="90">
        <v>16</v>
      </c>
      <c r="M77" s="90">
        <v>16</v>
      </c>
      <c r="N77" s="90"/>
      <c r="O77" s="90"/>
      <c r="P77" s="91">
        <v>0.53300000000000003</v>
      </c>
      <c r="Q77" s="91">
        <v>0.63600000000000001</v>
      </c>
      <c r="R77" s="91">
        <v>1.4999999999999999E-2</v>
      </c>
      <c r="S77" s="91">
        <v>0.405402413373187</v>
      </c>
    </row>
    <row r="78" spans="1:19" x14ac:dyDescent="0.2">
      <c r="A78" s="90" t="s">
        <v>258</v>
      </c>
      <c r="B78" s="90" t="s">
        <v>64</v>
      </c>
      <c r="C78" s="90" t="s">
        <v>65</v>
      </c>
      <c r="D78" s="90"/>
      <c r="E78" s="90" t="s">
        <v>17</v>
      </c>
      <c r="F78" s="90"/>
      <c r="G78" s="90" t="s">
        <v>406</v>
      </c>
      <c r="H78" s="90"/>
      <c r="I78" s="90"/>
      <c r="J78" s="90"/>
      <c r="K78" s="90"/>
      <c r="L78" s="90">
        <v>94</v>
      </c>
      <c r="M78" s="90">
        <v>49</v>
      </c>
      <c r="N78" s="90"/>
      <c r="O78" s="90"/>
      <c r="P78" s="91">
        <v>0.86499999999999999</v>
      </c>
      <c r="Q78" s="91">
        <v>0.32800000000000001</v>
      </c>
      <c r="R78" s="91">
        <v>0.88300000000000001</v>
      </c>
      <c r="S78" s="91">
        <v>0.618731318498837</v>
      </c>
    </row>
    <row r="79" spans="1:19" x14ac:dyDescent="0.2">
      <c r="A79" s="90" t="s">
        <v>461</v>
      </c>
      <c r="B79" s="90" t="s">
        <v>64</v>
      </c>
      <c r="C79" s="90" t="s">
        <v>462</v>
      </c>
      <c r="D79" s="90"/>
      <c r="E79" s="90" t="s">
        <v>17</v>
      </c>
      <c r="F79" s="90"/>
      <c r="G79" s="90" t="s">
        <v>406</v>
      </c>
      <c r="H79" s="90"/>
      <c r="I79" s="90"/>
      <c r="J79" s="90"/>
      <c r="K79" s="90"/>
      <c r="L79" s="90">
        <v>206</v>
      </c>
      <c r="M79" s="90">
        <v>21</v>
      </c>
      <c r="N79" s="90"/>
      <c r="O79" s="90"/>
      <c r="P79" s="91">
        <v>0.21099999999999999</v>
      </c>
      <c r="Q79" s="91">
        <v>0.379</v>
      </c>
      <c r="R79" s="91">
        <v>0.17799999999999999</v>
      </c>
      <c r="S79" s="91">
        <v>0.54644082807483596</v>
      </c>
    </row>
    <row r="80" spans="1:19" x14ac:dyDescent="0.2">
      <c r="A80" s="90" t="s">
        <v>63</v>
      </c>
      <c r="B80" s="90" t="s">
        <v>64</v>
      </c>
      <c r="C80" s="92" t="s">
        <v>65</v>
      </c>
      <c r="D80" s="92"/>
      <c r="E80" s="90" t="s">
        <v>17</v>
      </c>
      <c r="F80" s="90" t="s">
        <v>25</v>
      </c>
      <c r="G80" s="90" t="s">
        <v>406</v>
      </c>
      <c r="H80" s="90"/>
      <c r="I80" s="90"/>
      <c r="J80" s="90"/>
      <c r="K80" s="90"/>
      <c r="L80" s="90">
        <v>92</v>
      </c>
      <c r="M80" s="90">
        <v>91</v>
      </c>
      <c r="N80" s="90"/>
      <c r="O80" s="90"/>
      <c r="P80" s="91" t="s">
        <v>66</v>
      </c>
      <c r="Q80" s="93">
        <v>0.32800000000000001</v>
      </c>
      <c r="R80" s="91">
        <v>0.88300000000000001</v>
      </c>
      <c r="S80" s="91">
        <v>0.618731318498837</v>
      </c>
    </row>
    <row r="81" spans="1:19" x14ac:dyDescent="0.2">
      <c r="A81" s="90" t="s">
        <v>652</v>
      </c>
      <c r="B81" s="90" t="s">
        <v>64</v>
      </c>
      <c r="C81" s="90" t="s">
        <v>65</v>
      </c>
      <c r="D81" s="90"/>
      <c r="E81" s="90" t="s">
        <v>17</v>
      </c>
      <c r="F81" s="90"/>
      <c r="G81" s="90" t="s">
        <v>406</v>
      </c>
      <c r="H81" s="90"/>
      <c r="I81" s="90"/>
      <c r="J81" s="90"/>
      <c r="K81" s="90"/>
      <c r="L81" s="90">
        <v>9</v>
      </c>
      <c r="M81" s="90">
        <v>9</v>
      </c>
      <c r="N81" s="90"/>
      <c r="O81" s="90"/>
      <c r="P81" s="91">
        <v>0.86499999999999999</v>
      </c>
      <c r="Q81" s="91">
        <v>0.32800000000000001</v>
      </c>
      <c r="R81" s="91">
        <v>0.88300000000000001</v>
      </c>
      <c r="S81" s="91">
        <v>0.618731318498837</v>
      </c>
    </row>
    <row r="82" spans="1:19" x14ac:dyDescent="0.2">
      <c r="A82" s="90" t="s">
        <v>671</v>
      </c>
      <c r="B82" s="90" t="s">
        <v>64</v>
      </c>
      <c r="C82" s="90" t="s">
        <v>462</v>
      </c>
      <c r="D82" s="90"/>
      <c r="E82" s="90" t="s">
        <v>17</v>
      </c>
      <c r="F82" s="90"/>
      <c r="G82" s="90" t="s">
        <v>406</v>
      </c>
      <c r="H82" s="90"/>
      <c r="I82" s="90"/>
      <c r="J82" s="90"/>
      <c r="K82" s="90"/>
      <c r="L82" s="90">
        <v>48</v>
      </c>
      <c r="M82" s="90">
        <v>5</v>
      </c>
      <c r="N82" s="90"/>
      <c r="O82" s="90"/>
      <c r="P82" s="91">
        <v>0.21099999999999999</v>
      </c>
      <c r="Q82" s="91">
        <v>0.379</v>
      </c>
      <c r="R82" s="91">
        <v>0.17799999999999999</v>
      </c>
      <c r="S82" s="91">
        <v>0.54644082807483596</v>
      </c>
    </row>
    <row r="83" spans="1:19" x14ac:dyDescent="0.2">
      <c r="A83" s="90" t="s">
        <v>695</v>
      </c>
      <c r="B83" s="90" t="s">
        <v>64</v>
      </c>
      <c r="C83" s="90" t="s">
        <v>445</v>
      </c>
      <c r="D83" s="90"/>
      <c r="E83" s="90" t="s">
        <v>17</v>
      </c>
      <c r="F83" s="90"/>
      <c r="G83" s="90" t="s">
        <v>406</v>
      </c>
      <c r="H83" s="90"/>
      <c r="I83" s="90"/>
      <c r="J83" s="90"/>
      <c r="K83" s="90"/>
      <c r="L83" s="90">
        <v>260</v>
      </c>
      <c r="M83" s="90">
        <v>26</v>
      </c>
      <c r="N83" s="90"/>
      <c r="O83" s="90"/>
      <c r="P83" s="91">
        <v>0.31</v>
      </c>
      <c r="Q83" s="91">
        <v>0.95499999999999996</v>
      </c>
      <c r="R83" s="91">
        <v>8.0000000000000002E-3</v>
      </c>
      <c r="S83" s="91">
        <v>0.32879442045831903</v>
      </c>
    </row>
    <row r="84" spans="1:19" x14ac:dyDescent="0.2">
      <c r="A84" s="90" t="s">
        <v>701</v>
      </c>
      <c r="B84" s="90" t="s">
        <v>64</v>
      </c>
      <c r="C84" s="90" t="s">
        <v>389</v>
      </c>
      <c r="D84" s="90"/>
      <c r="E84" s="90" t="s">
        <v>17</v>
      </c>
      <c r="F84" s="90"/>
      <c r="G84" s="90" t="s">
        <v>406</v>
      </c>
      <c r="H84" s="90"/>
      <c r="I84" s="90"/>
      <c r="J84" s="90"/>
      <c r="K84" s="90"/>
      <c r="L84" s="90">
        <v>122</v>
      </c>
      <c r="M84" s="90">
        <v>12</v>
      </c>
      <c r="N84" s="90"/>
      <c r="O84" s="90"/>
      <c r="P84" s="91">
        <v>0.53300000000000003</v>
      </c>
      <c r="Q84" s="91">
        <v>0.63600000000000001</v>
      </c>
      <c r="R84" s="91">
        <v>1.4999999999999999E-2</v>
      </c>
      <c r="S84" s="91">
        <v>0.405402413373187</v>
      </c>
    </row>
    <row r="85" spans="1:19" x14ac:dyDescent="0.2">
      <c r="A85" s="90" t="s">
        <v>757</v>
      </c>
      <c r="B85" s="90" t="s">
        <v>64</v>
      </c>
      <c r="C85" s="90" t="s">
        <v>65</v>
      </c>
      <c r="D85" s="90"/>
      <c r="E85" s="90" t="s">
        <v>17</v>
      </c>
      <c r="F85" s="90" t="s">
        <v>25</v>
      </c>
      <c r="G85" s="90" t="s">
        <v>406</v>
      </c>
      <c r="H85" s="90"/>
      <c r="I85" s="90"/>
      <c r="J85" s="90"/>
      <c r="K85" s="90"/>
      <c r="L85" s="90">
        <v>47</v>
      </c>
      <c r="M85" s="90">
        <v>47</v>
      </c>
      <c r="N85" s="90"/>
      <c r="O85" s="90"/>
      <c r="P85" s="91">
        <v>0.86499999999999999</v>
      </c>
      <c r="Q85" s="91">
        <v>0.32800000000000001</v>
      </c>
      <c r="R85" s="91">
        <v>0.88300000000000001</v>
      </c>
      <c r="S85" s="91">
        <v>0.618731318498837</v>
      </c>
    </row>
    <row r="86" spans="1:19" x14ac:dyDescent="0.2">
      <c r="A86" s="90" t="s">
        <v>444</v>
      </c>
      <c r="B86" s="90" t="s">
        <v>64</v>
      </c>
      <c r="C86" s="90" t="s">
        <v>445</v>
      </c>
      <c r="D86" s="90"/>
      <c r="E86" s="90" t="s">
        <v>17</v>
      </c>
      <c r="F86" s="90"/>
      <c r="G86" s="90"/>
      <c r="H86" s="90"/>
      <c r="I86" s="90"/>
      <c r="J86" s="90" t="s">
        <v>26</v>
      </c>
      <c r="K86" s="90"/>
      <c r="L86" s="90">
        <v>93</v>
      </c>
      <c r="M86" s="90">
        <v>93</v>
      </c>
      <c r="N86" s="90"/>
      <c r="O86" s="90"/>
      <c r="P86" s="91">
        <v>0.31</v>
      </c>
      <c r="Q86" s="91">
        <v>0.95499999999999996</v>
      </c>
      <c r="R86" s="91">
        <v>8.0000000000000002E-3</v>
      </c>
      <c r="S86" s="91">
        <v>0.32879442045831903</v>
      </c>
    </row>
    <row r="87" spans="1:19" x14ac:dyDescent="0.2">
      <c r="A87" s="90" t="s">
        <v>448</v>
      </c>
      <c r="B87" s="90" t="s">
        <v>64</v>
      </c>
      <c r="C87" s="90" t="s">
        <v>449</v>
      </c>
      <c r="D87" s="90"/>
      <c r="E87" s="90" t="s">
        <v>17</v>
      </c>
      <c r="F87" s="90"/>
      <c r="G87" s="90"/>
      <c r="H87" s="90"/>
      <c r="I87" s="90"/>
      <c r="J87" s="90" t="s">
        <v>26</v>
      </c>
      <c r="K87" s="90"/>
      <c r="L87" s="90">
        <v>30</v>
      </c>
      <c r="M87" s="90">
        <v>30</v>
      </c>
      <c r="N87" s="90"/>
      <c r="O87" s="90"/>
      <c r="P87" s="91">
        <v>0.47899999999999998</v>
      </c>
      <c r="Q87" s="91">
        <v>0.29499999999999998</v>
      </c>
      <c r="R87" s="91">
        <v>0.50900000000000001</v>
      </c>
      <c r="S87" s="91">
        <v>0.65227499169711001</v>
      </c>
    </row>
    <row r="88" spans="1:19" x14ac:dyDescent="0.2">
      <c r="A88" s="90" t="s">
        <v>743</v>
      </c>
      <c r="B88" s="90" t="s">
        <v>64</v>
      </c>
      <c r="C88" s="92" t="s">
        <v>744</v>
      </c>
      <c r="D88" s="92"/>
      <c r="E88" s="90" t="s">
        <v>17</v>
      </c>
      <c r="F88" s="90" t="s">
        <v>25</v>
      </c>
      <c r="G88" s="90"/>
      <c r="H88" s="90"/>
      <c r="I88" s="90"/>
      <c r="J88" s="90" t="s">
        <v>26</v>
      </c>
      <c r="K88" s="90"/>
      <c r="L88" s="90">
        <v>105</v>
      </c>
      <c r="M88" s="90">
        <v>105</v>
      </c>
      <c r="N88" s="90"/>
      <c r="O88" s="90"/>
      <c r="P88" s="93">
        <v>0.56000000000000005</v>
      </c>
      <c r="Q88" s="93">
        <v>0.58799999999999997</v>
      </c>
      <c r="R88" s="91">
        <v>0.33600000000000002</v>
      </c>
      <c r="S88" s="91">
        <v>0.65327133842577201</v>
      </c>
    </row>
    <row r="89" spans="1:19" x14ac:dyDescent="0.2">
      <c r="A89" s="90" t="s">
        <v>767</v>
      </c>
      <c r="B89" s="90" t="s">
        <v>64</v>
      </c>
      <c r="C89" s="90" t="s">
        <v>449</v>
      </c>
      <c r="D89" s="90"/>
      <c r="E89" s="90" t="s">
        <v>17</v>
      </c>
      <c r="F89" s="90"/>
      <c r="G89" s="90"/>
      <c r="H89" s="90"/>
      <c r="I89" s="90"/>
      <c r="J89" s="90" t="s">
        <v>26</v>
      </c>
      <c r="K89" s="90"/>
      <c r="L89" s="90">
        <v>28</v>
      </c>
      <c r="M89" s="90">
        <v>28</v>
      </c>
      <c r="N89" s="90"/>
      <c r="O89" s="90"/>
      <c r="P89" s="91">
        <v>0.47899999999999998</v>
      </c>
      <c r="Q89" s="91">
        <v>0.29499999999999998</v>
      </c>
      <c r="R89" s="91">
        <v>0.50900000000000001</v>
      </c>
      <c r="S89" s="91">
        <v>0.65227499169711001</v>
      </c>
    </row>
    <row r="90" spans="1:19" x14ac:dyDescent="0.2">
      <c r="A90" s="90" t="s">
        <v>121</v>
      </c>
      <c r="B90" s="90" t="s">
        <v>58</v>
      </c>
      <c r="C90" s="90" t="s">
        <v>122</v>
      </c>
      <c r="D90" s="90"/>
      <c r="E90" s="90" t="s">
        <v>17</v>
      </c>
      <c r="F90" s="90"/>
      <c r="G90" s="90" t="s">
        <v>406</v>
      </c>
      <c r="H90" s="90"/>
      <c r="I90" s="90"/>
      <c r="J90" s="90"/>
      <c r="K90" s="90"/>
      <c r="L90" s="90">
        <v>3</v>
      </c>
      <c r="M90" s="90">
        <v>3</v>
      </c>
      <c r="N90" s="90"/>
      <c r="O90" s="90"/>
      <c r="P90" s="91">
        <v>0.33300000000000002</v>
      </c>
      <c r="Q90" s="91">
        <v>0.5</v>
      </c>
      <c r="R90" s="91">
        <v>0.75</v>
      </c>
      <c r="S90" s="91">
        <v>0.81124764751466805</v>
      </c>
    </row>
    <row r="91" spans="1:19" x14ac:dyDescent="0.2">
      <c r="A91" s="90" t="s">
        <v>142</v>
      </c>
      <c r="B91" s="90" t="s">
        <v>58</v>
      </c>
      <c r="C91" s="92" t="s">
        <v>143</v>
      </c>
      <c r="D91" s="92"/>
      <c r="E91" s="90" t="s">
        <v>17</v>
      </c>
      <c r="F91" s="90" t="s">
        <v>25</v>
      </c>
      <c r="G91" s="90" t="s">
        <v>406</v>
      </c>
      <c r="H91" s="90"/>
      <c r="I91" s="90"/>
      <c r="J91" s="90"/>
      <c r="K91" s="90"/>
      <c r="L91" s="90">
        <v>70</v>
      </c>
      <c r="M91" s="90">
        <v>70</v>
      </c>
      <c r="N91" s="90"/>
      <c r="O91" s="90"/>
      <c r="P91" s="93">
        <v>0.78</v>
      </c>
      <c r="Q91" s="93">
        <v>0.85699999999999998</v>
      </c>
      <c r="R91" s="91">
        <v>0.14299999999999999</v>
      </c>
      <c r="S91" s="91">
        <v>0.72545112365769904</v>
      </c>
    </row>
    <row r="92" spans="1:19" x14ac:dyDescent="0.2">
      <c r="A92" s="90" t="s">
        <v>159</v>
      </c>
      <c r="B92" s="90" t="s">
        <v>58</v>
      </c>
      <c r="C92" s="92" t="s">
        <v>160</v>
      </c>
      <c r="D92" s="92"/>
      <c r="E92" s="90" t="s">
        <v>17</v>
      </c>
      <c r="F92" s="90" t="s">
        <v>25</v>
      </c>
      <c r="G92" s="90" t="s">
        <v>406</v>
      </c>
      <c r="H92" s="90"/>
      <c r="I92" s="90"/>
      <c r="J92" s="90"/>
      <c r="K92" s="90"/>
      <c r="L92" s="90">
        <v>110</v>
      </c>
      <c r="M92" s="90">
        <v>109</v>
      </c>
      <c r="N92" s="90"/>
      <c r="O92" s="90"/>
      <c r="P92" s="93">
        <v>1</v>
      </c>
      <c r="Q92" s="93">
        <v>0.214</v>
      </c>
      <c r="R92" s="91">
        <v>0.92900000000000005</v>
      </c>
      <c r="S92" s="91">
        <v>0.71283073176131895</v>
      </c>
    </row>
    <row r="93" spans="1:19" x14ac:dyDescent="0.2">
      <c r="A93" s="90" t="s">
        <v>533</v>
      </c>
      <c r="B93" s="90" t="s">
        <v>58</v>
      </c>
      <c r="C93" s="92" t="s">
        <v>264</v>
      </c>
      <c r="D93" s="92"/>
      <c r="E93" s="90" t="s">
        <v>17</v>
      </c>
      <c r="F93" s="90" t="s">
        <v>25</v>
      </c>
      <c r="G93" s="90" t="s">
        <v>406</v>
      </c>
      <c r="H93" s="90"/>
      <c r="I93" s="90"/>
      <c r="J93" s="90"/>
      <c r="K93" s="90"/>
      <c r="L93" s="90">
        <v>70</v>
      </c>
      <c r="M93" s="90">
        <v>70</v>
      </c>
      <c r="N93" s="90"/>
      <c r="O93" s="90"/>
      <c r="P93" s="93">
        <v>0.16</v>
      </c>
      <c r="Q93" s="93">
        <v>0.68</v>
      </c>
      <c r="R93" s="91">
        <v>0.76300000000000001</v>
      </c>
      <c r="S93" s="91">
        <v>0.76010184877670695</v>
      </c>
    </row>
    <row r="94" spans="1:19" x14ac:dyDescent="0.2">
      <c r="A94" s="90" t="s">
        <v>577</v>
      </c>
      <c r="B94" s="90" t="s">
        <v>58</v>
      </c>
      <c r="C94" s="90" t="s">
        <v>151</v>
      </c>
      <c r="D94" s="90"/>
      <c r="E94" s="90" t="s">
        <v>17</v>
      </c>
      <c r="F94" s="90"/>
      <c r="G94" s="90" t="s">
        <v>406</v>
      </c>
      <c r="H94" s="90"/>
      <c r="I94" s="90"/>
      <c r="J94" s="90"/>
      <c r="K94" s="90"/>
      <c r="L94" s="90">
        <v>38</v>
      </c>
      <c r="M94" s="90">
        <v>38</v>
      </c>
      <c r="N94" s="90"/>
      <c r="O94" s="90"/>
      <c r="P94" s="91">
        <v>0.57099999999999995</v>
      </c>
      <c r="Q94" s="91">
        <v>0.2</v>
      </c>
      <c r="R94" s="91">
        <v>0.4</v>
      </c>
      <c r="S94" s="91">
        <v>0.90966456326801703</v>
      </c>
    </row>
    <row r="95" spans="1:19" x14ac:dyDescent="0.2">
      <c r="A95" s="90" t="s">
        <v>752</v>
      </c>
      <c r="B95" s="90" t="s">
        <v>58</v>
      </c>
      <c r="C95" s="92" t="s">
        <v>151</v>
      </c>
      <c r="D95" s="92"/>
      <c r="E95" s="90" t="s">
        <v>17</v>
      </c>
      <c r="F95" s="90" t="s">
        <v>25</v>
      </c>
      <c r="G95" s="90" t="s">
        <v>406</v>
      </c>
      <c r="H95" s="90"/>
      <c r="I95" s="90"/>
      <c r="J95" s="90"/>
      <c r="K95" s="90"/>
      <c r="L95" s="90">
        <v>186</v>
      </c>
      <c r="M95" s="90">
        <v>186</v>
      </c>
      <c r="N95" s="90"/>
      <c r="O95" s="90"/>
      <c r="P95" s="93">
        <v>0.56999999999999995</v>
      </c>
      <c r="Q95" s="93">
        <v>0.2</v>
      </c>
      <c r="R95" s="91">
        <v>0.4</v>
      </c>
      <c r="S95" s="91">
        <v>0.90966456326801703</v>
      </c>
    </row>
    <row r="96" spans="1:19" x14ac:dyDescent="0.2">
      <c r="A96" s="90" t="s">
        <v>301</v>
      </c>
      <c r="B96" s="90" t="s">
        <v>58</v>
      </c>
      <c r="C96" s="90" t="s">
        <v>151</v>
      </c>
      <c r="D96" s="90"/>
      <c r="E96" s="90" t="s">
        <v>17</v>
      </c>
      <c r="F96" s="90"/>
      <c r="G96" s="90"/>
      <c r="H96" s="90"/>
      <c r="I96" s="90"/>
      <c r="J96" s="90" t="s">
        <v>26</v>
      </c>
      <c r="K96" s="90"/>
      <c r="L96" s="90">
        <v>100</v>
      </c>
      <c r="M96" s="90">
        <v>98</v>
      </c>
      <c r="N96" s="90"/>
      <c r="O96" s="90"/>
      <c r="P96" s="91">
        <v>0.57099999999999995</v>
      </c>
      <c r="Q96" s="91">
        <v>0.2</v>
      </c>
      <c r="R96" s="91">
        <v>0.4</v>
      </c>
      <c r="S96" s="91">
        <v>0.90966456326801703</v>
      </c>
    </row>
    <row r="97" spans="1:19" x14ac:dyDescent="0.2">
      <c r="A97" s="90" t="s">
        <v>57</v>
      </c>
      <c r="B97" s="90" t="s">
        <v>58</v>
      </c>
      <c r="C97" s="92" t="s">
        <v>59</v>
      </c>
      <c r="D97" s="92"/>
      <c r="E97" s="90" t="s">
        <v>17</v>
      </c>
      <c r="F97" s="90" t="s">
        <v>25</v>
      </c>
      <c r="G97" s="90"/>
      <c r="H97" s="90"/>
      <c r="I97" s="90"/>
      <c r="J97" s="90" t="s">
        <v>26</v>
      </c>
      <c r="K97" s="90"/>
      <c r="L97" s="90">
        <v>150</v>
      </c>
      <c r="M97" s="90">
        <v>150</v>
      </c>
      <c r="N97" s="90"/>
      <c r="O97" s="90"/>
      <c r="P97" s="93">
        <v>0.44</v>
      </c>
      <c r="Q97" s="93">
        <v>0.44800000000000001</v>
      </c>
      <c r="R97" s="91">
        <v>0.57799999999999996</v>
      </c>
      <c r="S97" s="91">
        <v>0.93169489649064496</v>
      </c>
    </row>
    <row r="98" spans="1:19" x14ac:dyDescent="0.2">
      <c r="A98" s="90" t="s">
        <v>150</v>
      </c>
      <c r="B98" s="90" t="s">
        <v>58</v>
      </c>
      <c r="C98" s="92" t="s">
        <v>151</v>
      </c>
      <c r="D98" s="92"/>
      <c r="E98" s="90" t="s">
        <v>17</v>
      </c>
      <c r="F98" s="90" t="s">
        <v>25</v>
      </c>
      <c r="G98" s="90"/>
      <c r="H98" s="90"/>
      <c r="I98" s="90"/>
      <c r="J98" s="90" t="s">
        <v>26</v>
      </c>
      <c r="K98" s="90"/>
      <c r="L98" s="90">
        <v>59</v>
      </c>
      <c r="M98" s="90">
        <v>58</v>
      </c>
      <c r="N98" s="90"/>
      <c r="O98" s="90"/>
      <c r="P98" s="93">
        <v>0.56999999999999995</v>
      </c>
      <c r="Q98" s="93">
        <v>0.2</v>
      </c>
      <c r="R98" s="91">
        <v>0.4</v>
      </c>
      <c r="S98" s="91">
        <v>0.90966456326801703</v>
      </c>
    </row>
    <row r="99" spans="1:19" x14ac:dyDescent="0.2">
      <c r="A99" s="90" t="s">
        <v>422</v>
      </c>
      <c r="B99" s="90" t="s">
        <v>58</v>
      </c>
      <c r="C99" s="92" t="s">
        <v>122</v>
      </c>
      <c r="D99" s="92"/>
      <c r="E99" s="90" t="s">
        <v>17</v>
      </c>
      <c r="F99" s="90" t="s">
        <v>25</v>
      </c>
      <c r="G99" s="90"/>
      <c r="H99" s="90" t="s">
        <v>39</v>
      </c>
      <c r="I99" s="90"/>
      <c r="J99" s="90"/>
      <c r="K99" s="90"/>
      <c r="L99" s="90">
        <v>58</v>
      </c>
      <c r="M99" s="90">
        <v>57</v>
      </c>
      <c r="N99" s="90"/>
      <c r="O99" s="90"/>
      <c r="P99" s="93">
        <v>0.33</v>
      </c>
      <c r="Q99" s="93">
        <v>0.5</v>
      </c>
      <c r="R99" s="91">
        <v>0.75</v>
      </c>
      <c r="S99" s="91">
        <v>0.81124764751466805</v>
      </c>
    </row>
    <row r="100" spans="1:19" x14ac:dyDescent="0.2">
      <c r="A100" s="90" t="s">
        <v>638</v>
      </c>
      <c r="B100" s="90" t="s">
        <v>639</v>
      </c>
      <c r="C100" s="90" t="s">
        <v>434</v>
      </c>
      <c r="D100" s="90"/>
      <c r="E100" s="90" t="s">
        <v>17</v>
      </c>
      <c r="F100" s="90"/>
      <c r="G100" s="90"/>
      <c r="H100" s="90"/>
      <c r="I100" s="90"/>
      <c r="J100" s="90" t="s">
        <v>26</v>
      </c>
      <c r="K100" s="90"/>
      <c r="L100" s="90">
        <v>100</v>
      </c>
      <c r="M100" s="90">
        <v>99</v>
      </c>
      <c r="N100" s="90"/>
      <c r="O100" s="90"/>
      <c r="P100" s="91">
        <v>0.66700000000000004</v>
      </c>
      <c r="Q100" s="91">
        <v>0.79700000000000004</v>
      </c>
      <c r="R100" s="91">
        <v>0.497</v>
      </c>
      <c r="S100" s="91">
        <v>4.7935348167829003E-2</v>
      </c>
    </row>
    <row r="101" spans="1:19" x14ac:dyDescent="0.2">
      <c r="A101" s="90" t="s">
        <v>362</v>
      </c>
      <c r="B101" s="90" t="s">
        <v>20</v>
      </c>
      <c r="C101" s="90" t="s">
        <v>363</v>
      </c>
      <c r="D101" s="90"/>
      <c r="E101" s="90" t="s">
        <v>17</v>
      </c>
      <c r="F101" s="90"/>
      <c r="G101" s="90" t="s">
        <v>406</v>
      </c>
      <c r="H101" s="90"/>
      <c r="I101" s="90"/>
      <c r="J101" s="90"/>
      <c r="K101" s="90"/>
      <c r="L101" s="90">
        <v>250</v>
      </c>
      <c r="M101" s="90">
        <v>250</v>
      </c>
      <c r="N101" s="90"/>
      <c r="O101" s="90"/>
      <c r="P101" s="91">
        <v>0.47199999999999998</v>
      </c>
      <c r="Q101" s="91">
        <v>0.51600000000000001</v>
      </c>
      <c r="R101" s="91">
        <v>0.73699999999999999</v>
      </c>
      <c r="S101" s="91">
        <v>0.63411934019705496</v>
      </c>
    </row>
    <row r="102" spans="1:19" x14ac:dyDescent="0.2">
      <c r="A102" s="90" t="s">
        <v>77</v>
      </c>
      <c r="B102" s="90" t="s">
        <v>20</v>
      </c>
      <c r="C102" s="90" t="s">
        <v>78</v>
      </c>
      <c r="D102" s="90"/>
      <c r="E102" s="90" t="s">
        <v>17</v>
      </c>
      <c r="F102" s="90"/>
      <c r="G102" s="90" t="s">
        <v>406</v>
      </c>
      <c r="H102" s="90"/>
      <c r="I102" s="90"/>
      <c r="J102" s="90"/>
      <c r="K102" s="90"/>
      <c r="L102" s="90">
        <v>72</v>
      </c>
      <c r="M102" s="90">
        <v>14</v>
      </c>
      <c r="N102" s="90"/>
      <c r="O102" s="90"/>
      <c r="P102" s="91">
        <v>0.495</v>
      </c>
      <c r="Q102" s="91">
        <v>3.2000000000000001E-2</v>
      </c>
      <c r="R102" s="91">
        <v>0.88900000000000001</v>
      </c>
      <c r="S102" s="91">
        <v>0.69157533488320599</v>
      </c>
    </row>
    <row r="103" spans="1:19" x14ac:dyDescent="0.2">
      <c r="A103" s="90" t="s">
        <v>19</v>
      </c>
      <c r="B103" s="90" t="s">
        <v>20</v>
      </c>
      <c r="C103" s="90" t="s">
        <v>21</v>
      </c>
      <c r="D103" s="90"/>
      <c r="E103" s="90" t="s">
        <v>17</v>
      </c>
      <c r="F103" s="90"/>
      <c r="G103" s="90" t="s">
        <v>406</v>
      </c>
      <c r="H103" s="90"/>
      <c r="I103" s="90"/>
      <c r="J103" s="90"/>
      <c r="K103" s="90"/>
      <c r="L103" s="90">
        <v>96</v>
      </c>
      <c r="M103" s="90">
        <v>96</v>
      </c>
      <c r="N103" s="90"/>
      <c r="O103" s="90"/>
      <c r="P103" s="91">
        <v>0.371</v>
      </c>
      <c r="Q103" s="91">
        <v>0.71899999999999997</v>
      </c>
      <c r="R103" s="91">
        <v>0.3</v>
      </c>
      <c r="S103" s="91">
        <v>8.6460755009409904E-2</v>
      </c>
    </row>
    <row r="104" spans="1:19" x14ac:dyDescent="0.2">
      <c r="A104" s="90" t="s">
        <v>343</v>
      </c>
      <c r="B104" s="90" t="s">
        <v>20</v>
      </c>
      <c r="C104" s="90" t="s">
        <v>155</v>
      </c>
      <c r="D104" s="90"/>
      <c r="E104" s="90" t="s">
        <v>17</v>
      </c>
      <c r="F104" s="90"/>
      <c r="G104" s="90" t="s">
        <v>406</v>
      </c>
      <c r="H104" s="90"/>
      <c r="I104" s="90"/>
      <c r="J104" s="90"/>
      <c r="K104" s="90"/>
      <c r="L104" s="90">
        <v>9</v>
      </c>
      <c r="M104" s="90">
        <v>1</v>
      </c>
      <c r="N104" s="90"/>
      <c r="O104" s="90"/>
      <c r="P104" s="91">
        <v>0.55700000000000005</v>
      </c>
      <c r="Q104" s="91">
        <v>0.25800000000000001</v>
      </c>
      <c r="R104" s="91">
        <v>0.43</v>
      </c>
      <c r="S104" s="91">
        <v>0.55297243440717303</v>
      </c>
    </row>
    <row r="105" spans="1:19" x14ac:dyDescent="0.2">
      <c r="A105" s="90" t="s">
        <v>154</v>
      </c>
      <c r="B105" s="90" t="s">
        <v>20</v>
      </c>
      <c r="C105" s="90" t="s">
        <v>155</v>
      </c>
      <c r="D105" s="90"/>
      <c r="E105" s="90" t="s">
        <v>17</v>
      </c>
      <c r="F105" s="90"/>
      <c r="G105" s="90" t="s">
        <v>406</v>
      </c>
      <c r="H105" s="90"/>
      <c r="I105" s="90"/>
      <c r="J105" s="90"/>
      <c r="K105" s="90"/>
      <c r="L105" s="90">
        <v>9</v>
      </c>
      <c r="M105" s="90">
        <v>9</v>
      </c>
      <c r="N105" s="90"/>
      <c r="O105" s="90"/>
      <c r="P105" s="91">
        <v>0.55700000000000005</v>
      </c>
      <c r="Q105" s="91">
        <v>0.25800000000000001</v>
      </c>
      <c r="R105" s="91">
        <v>0.43</v>
      </c>
      <c r="S105" s="91">
        <v>0.55297243440717303</v>
      </c>
    </row>
    <row r="106" spans="1:19" x14ac:dyDescent="0.2">
      <c r="A106" s="90" t="s">
        <v>165</v>
      </c>
      <c r="B106" s="90" t="s">
        <v>20</v>
      </c>
      <c r="C106" s="90" t="s">
        <v>166</v>
      </c>
      <c r="D106" s="90"/>
      <c r="E106" s="90" t="s">
        <v>17</v>
      </c>
      <c r="F106" s="90"/>
      <c r="G106" s="90" t="s">
        <v>406</v>
      </c>
      <c r="H106" s="90"/>
      <c r="I106" s="90"/>
      <c r="J106" s="90"/>
      <c r="K106" s="90"/>
      <c r="L106" s="90">
        <v>62</v>
      </c>
      <c r="M106" s="90">
        <v>15</v>
      </c>
      <c r="N106" s="90"/>
      <c r="O106" s="90"/>
      <c r="P106" s="91">
        <v>0.20699999999999999</v>
      </c>
      <c r="Q106" s="91">
        <v>0.12</v>
      </c>
      <c r="R106" s="91">
        <v>0.252</v>
      </c>
      <c r="S106" s="91">
        <v>0.53802723347725001</v>
      </c>
    </row>
    <row r="107" spans="1:19" x14ac:dyDescent="0.2">
      <c r="A107" s="90" t="s">
        <v>534</v>
      </c>
      <c r="B107" s="90" t="s">
        <v>20</v>
      </c>
      <c r="C107" s="90" t="s">
        <v>535</v>
      </c>
      <c r="D107" s="90"/>
      <c r="E107" s="90" t="s">
        <v>17</v>
      </c>
      <c r="F107" s="90"/>
      <c r="G107" s="90" t="s">
        <v>406</v>
      </c>
      <c r="H107" s="90"/>
      <c r="I107" s="90"/>
      <c r="J107" s="90"/>
      <c r="K107" s="90"/>
      <c r="L107" s="90">
        <v>60</v>
      </c>
      <c r="M107" s="90">
        <v>59</v>
      </c>
      <c r="N107" s="90"/>
      <c r="O107" s="90"/>
      <c r="P107" s="91">
        <v>3.4000000000000002E-2</v>
      </c>
      <c r="Q107" s="91">
        <v>0.92900000000000005</v>
      </c>
      <c r="R107" s="91">
        <v>0.22</v>
      </c>
      <c r="S107" s="91">
        <v>0.27720580095206399</v>
      </c>
    </row>
    <row r="108" spans="1:19" x14ac:dyDescent="0.2">
      <c r="A108" s="90" t="s">
        <v>556</v>
      </c>
      <c r="B108" s="90" t="s">
        <v>20</v>
      </c>
      <c r="C108" s="90" t="s">
        <v>78</v>
      </c>
      <c r="D108" s="90"/>
      <c r="E108" s="90" t="s">
        <v>17</v>
      </c>
      <c r="F108" s="90"/>
      <c r="G108" s="90" t="s">
        <v>406</v>
      </c>
      <c r="H108" s="90"/>
      <c r="I108" s="90"/>
      <c r="J108" s="90"/>
      <c r="K108" s="90"/>
      <c r="L108" s="90">
        <v>22</v>
      </c>
      <c r="M108" s="90">
        <v>4</v>
      </c>
      <c r="N108" s="90"/>
      <c r="O108" s="90"/>
      <c r="P108" s="91">
        <v>0.495</v>
      </c>
      <c r="Q108" s="91">
        <v>3.2000000000000001E-2</v>
      </c>
      <c r="R108" s="91">
        <v>0.88900000000000001</v>
      </c>
      <c r="S108" s="91">
        <v>0.69157533488320599</v>
      </c>
    </row>
    <row r="109" spans="1:19" x14ac:dyDescent="0.2">
      <c r="A109" s="90" t="s">
        <v>648</v>
      </c>
      <c r="B109" s="90" t="s">
        <v>20</v>
      </c>
      <c r="C109" s="90" t="s">
        <v>649</v>
      </c>
      <c r="D109" s="90"/>
      <c r="E109" s="90" t="s">
        <v>17</v>
      </c>
      <c r="F109" s="90"/>
      <c r="G109" s="90" t="s">
        <v>406</v>
      </c>
      <c r="H109" s="90"/>
      <c r="I109" s="90"/>
      <c r="J109" s="90"/>
      <c r="K109" s="90"/>
      <c r="L109" s="90">
        <v>46</v>
      </c>
      <c r="M109" s="90">
        <v>10</v>
      </c>
      <c r="N109" s="90"/>
      <c r="O109" s="90"/>
      <c r="P109" s="91">
        <v>0.115</v>
      </c>
      <c r="Q109" s="91">
        <v>0.57899999999999996</v>
      </c>
      <c r="R109" s="91">
        <v>0.29499999999999998</v>
      </c>
      <c r="S109" s="91">
        <v>0.49153105280637599</v>
      </c>
    </row>
    <row r="110" spans="1:19" x14ac:dyDescent="0.2">
      <c r="A110" s="90" t="s">
        <v>650</v>
      </c>
      <c r="B110" s="90" t="s">
        <v>20</v>
      </c>
      <c r="C110" s="90" t="s">
        <v>649</v>
      </c>
      <c r="D110" s="90"/>
      <c r="E110" s="90" t="s">
        <v>17</v>
      </c>
      <c r="F110" s="90"/>
      <c r="G110" s="90" t="s">
        <v>406</v>
      </c>
      <c r="H110" s="90"/>
      <c r="I110" s="90"/>
      <c r="J110" s="90"/>
      <c r="K110" s="90"/>
      <c r="L110" s="90">
        <v>24</v>
      </c>
      <c r="M110" s="90">
        <v>5</v>
      </c>
      <c r="N110" s="90"/>
      <c r="O110" s="90"/>
      <c r="P110" s="91">
        <v>0.115</v>
      </c>
      <c r="Q110" s="91">
        <v>0.57899999999999996</v>
      </c>
      <c r="R110" s="91">
        <v>0.29499999999999998</v>
      </c>
      <c r="S110" s="91">
        <v>0.49153105280637599</v>
      </c>
    </row>
    <row r="111" spans="1:19" x14ac:dyDescent="0.2">
      <c r="A111" s="90" t="s">
        <v>753</v>
      </c>
      <c r="B111" s="90" t="s">
        <v>20</v>
      </c>
      <c r="C111" s="90" t="s">
        <v>78</v>
      </c>
      <c r="D111" s="90"/>
      <c r="E111" s="90" t="s">
        <v>17</v>
      </c>
      <c r="F111" s="90"/>
      <c r="G111" s="90" t="s">
        <v>406</v>
      </c>
      <c r="H111" s="90"/>
      <c r="I111" s="90"/>
      <c r="J111" s="90"/>
      <c r="K111" s="90"/>
      <c r="L111" s="90">
        <v>22</v>
      </c>
      <c r="M111" s="90">
        <v>5</v>
      </c>
      <c r="N111" s="90"/>
      <c r="O111" s="90"/>
      <c r="P111" s="91">
        <v>0.495</v>
      </c>
      <c r="Q111" s="91">
        <v>3.2000000000000001E-2</v>
      </c>
      <c r="R111" s="91">
        <v>0.88900000000000001</v>
      </c>
      <c r="S111" s="91">
        <v>0.69157533488320599</v>
      </c>
    </row>
    <row r="112" spans="1:19" x14ac:dyDescent="0.2">
      <c r="A112" s="90" t="s">
        <v>472</v>
      </c>
      <c r="B112" s="90" t="s">
        <v>20</v>
      </c>
      <c r="C112" s="90" t="s">
        <v>155</v>
      </c>
      <c r="D112" s="90"/>
      <c r="E112" s="90" t="s">
        <v>17</v>
      </c>
      <c r="F112" s="90"/>
      <c r="G112" s="90"/>
      <c r="H112" s="90"/>
      <c r="I112" s="90"/>
      <c r="J112" s="90" t="s">
        <v>26</v>
      </c>
      <c r="K112" s="90"/>
      <c r="L112" s="90">
        <v>75</v>
      </c>
      <c r="M112" s="90">
        <v>74</v>
      </c>
      <c r="N112" s="90"/>
      <c r="O112" s="90"/>
      <c r="P112" s="91">
        <v>0.55700000000000005</v>
      </c>
      <c r="Q112" s="91">
        <v>0.25800000000000001</v>
      </c>
      <c r="R112" s="91">
        <v>0.43</v>
      </c>
      <c r="S112" s="91">
        <v>0.55297243440717303</v>
      </c>
    </row>
    <row r="113" spans="1:19" x14ac:dyDescent="0.2">
      <c r="A113" s="90" t="s">
        <v>653</v>
      </c>
      <c r="B113" s="90" t="s">
        <v>20</v>
      </c>
      <c r="C113" s="92" t="s">
        <v>1351</v>
      </c>
      <c r="D113" s="92"/>
      <c r="E113" s="90" t="s">
        <v>17</v>
      </c>
      <c r="F113" s="90" t="s">
        <v>25</v>
      </c>
      <c r="G113" s="90"/>
      <c r="H113" s="90"/>
      <c r="I113" s="90"/>
      <c r="J113" s="90" t="s">
        <v>26</v>
      </c>
      <c r="K113" s="90"/>
      <c r="L113" s="90">
        <v>36</v>
      </c>
      <c r="M113" s="90">
        <v>36</v>
      </c>
      <c r="N113" s="90"/>
      <c r="O113" s="90"/>
      <c r="P113" s="93">
        <v>0.51</v>
      </c>
      <c r="Q113" s="93">
        <v>0.48449999999999999</v>
      </c>
      <c r="R113" s="91">
        <v>0.22450000000000001</v>
      </c>
      <c r="S113" s="91">
        <v>0.57112808590722897</v>
      </c>
    </row>
    <row r="114" spans="1:19" x14ac:dyDescent="0.2">
      <c r="A114" s="90" t="s">
        <v>698</v>
      </c>
      <c r="B114" s="90" t="s">
        <v>20</v>
      </c>
      <c r="C114" s="90" t="s">
        <v>78</v>
      </c>
      <c r="D114" s="90"/>
      <c r="E114" s="90" t="s">
        <v>17</v>
      </c>
      <c r="F114" s="90" t="s">
        <v>25</v>
      </c>
      <c r="G114" s="90"/>
      <c r="H114" s="90"/>
      <c r="I114" s="90"/>
      <c r="J114" s="90" t="s">
        <v>26</v>
      </c>
      <c r="K114" s="90"/>
      <c r="L114" s="90">
        <v>268</v>
      </c>
      <c r="M114" s="90">
        <v>268</v>
      </c>
      <c r="N114" s="90"/>
      <c r="O114" s="90"/>
      <c r="P114" s="91">
        <v>0.495</v>
      </c>
      <c r="Q114" s="91">
        <v>3.2000000000000001E-2</v>
      </c>
      <c r="R114" s="91">
        <v>0.88900000000000001</v>
      </c>
      <c r="S114" s="91">
        <v>0.69157533488320599</v>
      </c>
    </row>
    <row r="115" spans="1:19" x14ac:dyDescent="0.2">
      <c r="A115" s="90" t="s">
        <v>568</v>
      </c>
      <c r="B115" s="90" t="s">
        <v>55</v>
      </c>
      <c r="C115" s="90" t="s">
        <v>569</v>
      </c>
      <c r="D115" s="90"/>
      <c r="E115" s="90" t="s">
        <v>17</v>
      </c>
      <c r="F115" s="90"/>
      <c r="G115" s="90" t="s">
        <v>406</v>
      </c>
      <c r="H115" s="90"/>
      <c r="I115" s="90"/>
      <c r="J115" s="90"/>
      <c r="K115" s="90"/>
      <c r="L115" s="90">
        <v>8</v>
      </c>
      <c r="M115" s="90">
        <v>8</v>
      </c>
      <c r="N115" s="90"/>
      <c r="O115" s="90"/>
      <c r="P115" s="91">
        <v>0.95699999999999996</v>
      </c>
      <c r="Q115" s="91">
        <v>0.33300000000000002</v>
      </c>
      <c r="R115" s="91">
        <v>0.95199999999999996</v>
      </c>
      <c r="S115" s="91">
        <v>0.61131407062991205</v>
      </c>
    </row>
    <row r="116" spans="1:19" x14ac:dyDescent="0.2">
      <c r="A116" s="90" t="s">
        <v>667</v>
      </c>
      <c r="B116" s="90" t="s">
        <v>55</v>
      </c>
      <c r="C116" s="90" t="s">
        <v>569</v>
      </c>
      <c r="D116" s="90"/>
      <c r="E116" s="90" t="s">
        <v>17</v>
      </c>
      <c r="F116" s="90"/>
      <c r="G116" s="90" t="s">
        <v>406</v>
      </c>
      <c r="H116" s="90"/>
      <c r="I116" s="90"/>
      <c r="J116" s="90"/>
      <c r="K116" s="90"/>
      <c r="L116" s="90">
        <v>5</v>
      </c>
      <c r="M116" s="90">
        <v>5</v>
      </c>
      <c r="N116" s="90"/>
      <c r="O116" s="90"/>
      <c r="P116" s="91">
        <v>0.95699999999999996</v>
      </c>
      <c r="Q116" s="91">
        <v>0.33300000000000002</v>
      </c>
      <c r="R116" s="91">
        <v>0.95199999999999996</v>
      </c>
      <c r="S116" s="91">
        <v>0.61131407062991205</v>
      </c>
    </row>
    <row r="117" spans="1:19" x14ac:dyDescent="0.2">
      <c r="A117" s="90" t="s">
        <v>672</v>
      </c>
      <c r="B117" s="90" t="s">
        <v>55</v>
      </c>
      <c r="C117" s="90" t="s">
        <v>56</v>
      </c>
      <c r="D117" s="90"/>
      <c r="E117" s="90" t="s">
        <v>17</v>
      </c>
      <c r="F117" s="90" t="s">
        <v>25</v>
      </c>
      <c r="G117" s="90" t="s">
        <v>406</v>
      </c>
      <c r="H117" s="90"/>
      <c r="I117" s="90"/>
      <c r="J117" s="90"/>
      <c r="K117" s="90"/>
      <c r="L117" s="90">
        <v>170</v>
      </c>
      <c r="M117" s="90">
        <v>170</v>
      </c>
      <c r="N117" s="90"/>
      <c r="O117" s="90"/>
      <c r="P117" s="91">
        <v>0.82099999999999995</v>
      </c>
      <c r="Q117" s="91">
        <v>0.34599999999999997</v>
      </c>
      <c r="R117" s="91">
        <v>0.115</v>
      </c>
      <c r="S117" s="91">
        <v>0.62482010406288002</v>
      </c>
    </row>
    <row r="118" spans="1:19" x14ac:dyDescent="0.2">
      <c r="A118" s="90" t="s">
        <v>260</v>
      </c>
      <c r="B118" s="90" t="s">
        <v>55</v>
      </c>
      <c r="C118" s="90" t="s">
        <v>56</v>
      </c>
      <c r="D118" s="90"/>
      <c r="E118" s="90" t="s">
        <v>17</v>
      </c>
      <c r="F118" s="90"/>
      <c r="G118" s="90"/>
      <c r="H118" s="90"/>
      <c r="I118" s="90"/>
      <c r="J118" s="90" t="s">
        <v>26</v>
      </c>
      <c r="K118" s="90"/>
      <c r="L118" s="90">
        <v>124</v>
      </c>
      <c r="M118" s="90">
        <v>31</v>
      </c>
      <c r="N118" s="90"/>
      <c r="O118" s="90"/>
      <c r="P118" s="91">
        <v>0.82099999999999995</v>
      </c>
      <c r="Q118" s="91">
        <v>0.34599999999999997</v>
      </c>
      <c r="R118" s="91">
        <v>0.115</v>
      </c>
      <c r="S118" s="91">
        <v>0.62482010406288002</v>
      </c>
    </row>
    <row r="119" spans="1:19" x14ac:dyDescent="0.2">
      <c r="A119" s="90" t="s">
        <v>54</v>
      </c>
      <c r="B119" s="90" t="s">
        <v>55</v>
      </c>
      <c r="C119" s="90" t="s">
        <v>56</v>
      </c>
      <c r="D119" s="90"/>
      <c r="E119" s="90" t="s">
        <v>17</v>
      </c>
      <c r="F119" s="90"/>
      <c r="G119" s="90"/>
      <c r="H119" s="90"/>
      <c r="I119" s="90"/>
      <c r="J119" s="90" t="s">
        <v>26</v>
      </c>
      <c r="K119" s="90"/>
      <c r="L119" s="90">
        <v>110</v>
      </c>
      <c r="M119" s="90">
        <v>11</v>
      </c>
      <c r="N119" s="90"/>
      <c r="O119" s="90"/>
      <c r="P119" s="91">
        <v>0.82099999999999995</v>
      </c>
      <c r="Q119" s="91">
        <v>0.34599999999999997</v>
      </c>
      <c r="R119" s="91">
        <v>0.115</v>
      </c>
      <c r="S119" s="91">
        <v>0.62482010406288002</v>
      </c>
    </row>
    <row r="120" spans="1:19" x14ac:dyDescent="0.2">
      <c r="A120" s="90" t="s">
        <v>116</v>
      </c>
      <c r="B120" s="90" t="s">
        <v>55</v>
      </c>
      <c r="C120" s="92" t="s">
        <v>56</v>
      </c>
      <c r="D120" s="92"/>
      <c r="E120" s="90" t="s">
        <v>17</v>
      </c>
      <c r="F120" s="90" t="s">
        <v>25</v>
      </c>
      <c r="G120" s="90"/>
      <c r="H120" s="90"/>
      <c r="I120" s="90"/>
      <c r="J120" s="90" t="s">
        <v>26</v>
      </c>
      <c r="K120" s="90"/>
      <c r="L120" s="90">
        <v>75</v>
      </c>
      <c r="M120" s="90">
        <v>74</v>
      </c>
      <c r="N120" s="90"/>
      <c r="O120" s="90"/>
      <c r="P120" s="93">
        <v>0.82</v>
      </c>
      <c r="Q120" s="93">
        <v>0.34599999999999997</v>
      </c>
      <c r="R120" s="91">
        <v>0.115</v>
      </c>
      <c r="S120" s="91">
        <v>0.62482010406288002</v>
      </c>
    </row>
    <row r="121" spans="1:19" x14ac:dyDescent="0.2">
      <c r="A121" s="90" t="s">
        <v>564</v>
      </c>
      <c r="B121" s="90" t="s">
        <v>565</v>
      </c>
      <c r="C121" s="90" t="s">
        <v>566</v>
      </c>
      <c r="D121" s="90"/>
      <c r="E121" s="90" t="s">
        <v>17</v>
      </c>
      <c r="F121" s="90"/>
      <c r="G121" s="90" t="s">
        <v>406</v>
      </c>
      <c r="H121" s="90"/>
      <c r="I121" s="90"/>
      <c r="J121" s="90"/>
      <c r="K121" s="90"/>
      <c r="L121" s="90">
        <v>24</v>
      </c>
      <c r="M121" s="90">
        <v>24</v>
      </c>
      <c r="N121" s="90"/>
      <c r="O121" s="90"/>
      <c r="P121" s="91">
        <v>0.13200000000000001</v>
      </c>
      <c r="Q121" s="91">
        <v>0.49199999999999999</v>
      </c>
      <c r="R121" s="91">
        <v>9.1999999999999998E-2</v>
      </c>
      <c r="S121" s="91">
        <v>0.26170707406177302</v>
      </c>
    </row>
    <row r="122" spans="1:19" x14ac:dyDescent="0.2">
      <c r="A122" s="90" t="s">
        <v>251</v>
      </c>
      <c r="B122" s="90" t="s">
        <v>145</v>
      </c>
      <c r="C122" s="90">
        <v>99227</v>
      </c>
      <c r="D122" s="95"/>
      <c r="E122" s="90" t="s">
        <v>17</v>
      </c>
      <c r="F122" s="90"/>
      <c r="G122" s="90" t="s">
        <v>406</v>
      </c>
      <c r="H122" s="90"/>
      <c r="I122" s="90"/>
      <c r="J122" s="90"/>
      <c r="K122" s="90"/>
      <c r="L122" s="90">
        <v>7</v>
      </c>
      <c r="M122" s="90">
        <v>7</v>
      </c>
      <c r="N122" s="90"/>
      <c r="O122" s="90"/>
      <c r="P122" s="91">
        <v>0.91</v>
      </c>
      <c r="Q122" s="91">
        <v>0.376</v>
      </c>
      <c r="R122" s="91">
        <v>0.505</v>
      </c>
      <c r="S122" s="91">
        <v>0.72058009520646504</v>
      </c>
    </row>
    <row r="123" spans="1:19" x14ac:dyDescent="0.2">
      <c r="A123" s="90" t="s">
        <v>144</v>
      </c>
      <c r="B123" s="90" t="s">
        <v>145</v>
      </c>
      <c r="C123" s="90" t="s">
        <v>146</v>
      </c>
      <c r="D123" s="90"/>
      <c r="E123" s="90" t="s">
        <v>17</v>
      </c>
      <c r="F123" s="90"/>
      <c r="G123" s="90"/>
      <c r="H123" s="90"/>
      <c r="I123" s="90"/>
      <c r="J123" s="90" t="s">
        <v>26</v>
      </c>
      <c r="K123" s="90"/>
      <c r="L123" s="90">
        <v>71</v>
      </c>
      <c r="M123" s="90">
        <v>69</v>
      </c>
      <c r="N123" s="90"/>
      <c r="O123" s="90"/>
      <c r="P123" s="91">
        <v>0.94299999999999995</v>
      </c>
      <c r="Q123" s="91">
        <v>0.57699999999999996</v>
      </c>
      <c r="R123" s="91">
        <v>0.51900000000000002</v>
      </c>
      <c r="S123" s="91">
        <v>0.54433742942543994</v>
      </c>
    </row>
    <row r="124" spans="1:19" x14ac:dyDescent="0.2">
      <c r="A124" s="90" t="s">
        <v>685</v>
      </c>
      <c r="B124" s="90" t="s">
        <v>145</v>
      </c>
      <c r="C124" s="90" t="s">
        <v>686</v>
      </c>
      <c r="D124" s="90"/>
      <c r="E124" s="90" t="s">
        <v>17</v>
      </c>
      <c r="F124" s="90"/>
      <c r="G124" s="90"/>
      <c r="H124" s="90"/>
      <c r="I124" s="90"/>
      <c r="J124" s="90" t="s">
        <v>26</v>
      </c>
      <c r="K124" s="90"/>
      <c r="L124" s="90">
        <v>156</v>
      </c>
      <c r="M124" s="90">
        <v>154</v>
      </c>
      <c r="N124" s="90"/>
      <c r="O124" s="90"/>
      <c r="P124" s="91">
        <v>0.879</v>
      </c>
      <c r="Q124" s="91">
        <v>0.77100000000000002</v>
      </c>
      <c r="R124" s="91">
        <v>0.4</v>
      </c>
      <c r="S124" s="91">
        <v>0.399535038193291</v>
      </c>
    </row>
    <row r="125" spans="1:19" x14ac:dyDescent="0.2">
      <c r="A125" s="90" t="s">
        <v>402</v>
      </c>
      <c r="B125" s="90" t="s">
        <v>103</v>
      </c>
      <c r="C125" s="90" t="s">
        <v>104</v>
      </c>
      <c r="D125" s="90"/>
      <c r="E125" s="90" t="s">
        <v>17</v>
      </c>
      <c r="F125" s="90"/>
      <c r="G125" s="90" t="s">
        <v>406</v>
      </c>
      <c r="H125" s="90"/>
      <c r="I125" s="90"/>
      <c r="J125" s="90"/>
      <c r="K125" s="90"/>
      <c r="L125" s="90">
        <v>16</v>
      </c>
      <c r="M125" s="90">
        <v>16</v>
      </c>
      <c r="N125" s="90"/>
      <c r="O125" s="90"/>
      <c r="P125" s="91">
        <v>0.69899999999999995</v>
      </c>
      <c r="Q125" s="91">
        <v>7.0999999999999994E-2</v>
      </c>
      <c r="R125" s="91">
        <v>0.94699999999999995</v>
      </c>
      <c r="S125" s="91">
        <v>0.90844680615520801</v>
      </c>
    </row>
    <row r="126" spans="1:19" x14ac:dyDescent="0.2">
      <c r="A126" s="90" t="s">
        <v>482</v>
      </c>
      <c r="B126" s="90" t="s">
        <v>103</v>
      </c>
      <c r="C126" s="90" t="s">
        <v>132</v>
      </c>
      <c r="D126" s="90"/>
      <c r="E126" s="90" t="s">
        <v>17</v>
      </c>
      <c r="F126" s="90"/>
      <c r="G126" s="90" t="s">
        <v>406</v>
      </c>
      <c r="H126" s="90"/>
      <c r="I126" s="90"/>
      <c r="J126" s="90"/>
      <c r="K126" s="90"/>
      <c r="L126" s="90">
        <v>24</v>
      </c>
      <c r="M126" s="90">
        <v>24</v>
      </c>
      <c r="N126" s="90"/>
      <c r="O126" s="90"/>
      <c r="P126" s="91">
        <v>0.63500000000000001</v>
      </c>
      <c r="Q126" s="91">
        <v>0.26800000000000002</v>
      </c>
      <c r="R126" s="91">
        <v>0.86</v>
      </c>
      <c r="S126" s="91">
        <v>0.85099081146905697</v>
      </c>
    </row>
    <row r="127" spans="1:19" x14ac:dyDescent="0.2">
      <c r="A127" s="90" t="s">
        <v>492</v>
      </c>
      <c r="B127" s="90" t="s">
        <v>103</v>
      </c>
      <c r="C127" s="90" t="s">
        <v>162</v>
      </c>
      <c r="D127" s="90"/>
      <c r="E127" s="90" t="s">
        <v>17</v>
      </c>
      <c r="F127" s="90" t="s">
        <v>25</v>
      </c>
      <c r="G127" s="90" t="s">
        <v>406</v>
      </c>
      <c r="H127" s="90"/>
      <c r="I127" s="90"/>
      <c r="J127" s="90"/>
      <c r="K127" s="90"/>
      <c r="L127" s="90">
        <v>55</v>
      </c>
      <c r="M127" s="90">
        <v>55</v>
      </c>
      <c r="N127" s="90"/>
      <c r="O127" s="90"/>
      <c r="P127" s="91">
        <v>0.69799999999999995</v>
      </c>
      <c r="Q127" s="91">
        <v>0.28999999999999998</v>
      </c>
      <c r="R127" s="91">
        <v>0.60299999999999998</v>
      </c>
      <c r="S127" s="91">
        <v>0.73475035979187397</v>
      </c>
    </row>
    <row r="128" spans="1:19" x14ac:dyDescent="0.2">
      <c r="A128" s="90" t="s">
        <v>293</v>
      </c>
      <c r="B128" s="90" t="s">
        <v>103</v>
      </c>
      <c r="C128" s="90" t="s">
        <v>294</v>
      </c>
      <c r="D128" s="90"/>
      <c r="E128" s="90" t="s">
        <v>17</v>
      </c>
      <c r="F128" s="90" t="s">
        <v>25</v>
      </c>
      <c r="G128" s="90" t="s">
        <v>406</v>
      </c>
      <c r="H128" s="90"/>
      <c r="I128" s="90"/>
      <c r="J128" s="90"/>
      <c r="K128" s="90"/>
      <c r="L128" s="90">
        <v>108</v>
      </c>
      <c r="M128" s="90">
        <v>108</v>
      </c>
      <c r="N128" s="90"/>
      <c r="O128" s="90"/>
      <c r="P128" s="91">
        <v>0.746</v>
      </c>
      <c r="Q128" s="91">
        <v>0.152</v>
      </c>
      <c r="R128" s="91">
        <v>0.88200000000000001</v>
      </c>
      <c r="S128" s="91">
        <v>0.84722683493855799</v>
      </c>
    </row>
    <row r="129" spans="1:19" x14ac:dyDescent="0.2">
      <c r="A129" s="90" t="s">
        <v>131</v>
      </c>
      <c r="B129" s="90" t="s">
        <v>103</v>
      </c>
      <c r="C129" s="92" t="s">
        <v>132</v>
      </c>
      <c r="D129" s="92"/>
      <c r="E129" s="90" t="s">
        <v>17</v>
      </c>
      <c r="F129" s="90" t="s">
        <v>25</v>
      </c>
      <c r="G129" s="90" t="s">
        <v>406</v>
      </c>
      <c r="H129" s="90"/>
      <c r="I129" s="90"/>
      <c r="J129" s="90"/>
      <c r="K129" s="90"/>
      <c r="L129" s="90">
        <v>27</v>
      </c>
      <c r="M129" s="90">
        <v>27</v>
      </c>
      <c r="N129" s="90"/>
      <c r="O129" s="90"/>
      <c r="P129" s="93">
        <v>0.64</v>
      </c>
      <c r="Q129" s="93">
        <v>0.26800000000000002</v>
      </c>
      <c r="R129" s="91">
        <v>0.86</v>
      </c>
      <c r="S129" s="91">
        <v>0.85099081146905697</v>
      </c>
    </row>
    <row r="130" spans="1:19" x14ac:dyDescent="0.2">
      <c r="A130" s="90" t="s">
        <v>339</v>
      </c>
      <c r="B130" s="90" t="s">
        <v>103</v>
      </c>
      <c r="C130" s="90" t="s">
        <v>294</v>
      </c>
      <c r="D130" s="90"/>
      <c r="E130" s="90" t="s">
        <v>17</v>
      </c>
      <c r="F130" s="90"/>
      <c r="G130" s="90" t="s">
        <v>406</v>
      </c>
      <c r="H130" s="90"/>
      <c r="I130" s="90"/>
      <c r="J130" s="90"/>
      <c r="K130" s="90"/>
      <c r="L130" s="90">
        <v>15</v>
      </c>
      <c r="M130" s="90">
        <v>11</v>
      </c>
      <c r="N130" s="90"/>
      <c r="O130" s="90"/>
      <c r="P130" s="91">
        <v>0.746</v>
      </c>
      <c r="Q130" s="91">
        <v>0.152</v>
      </c>
      <c r="R130" s="91">
        <v>0.88200000000000001</v>
      </c>
      <c r="S130" s="91">
        <v>0.84722683493855799</v>
      </c>
    </row>
    <row r="131" spans="1:19" x14ac:dyDescent="0.2">
      <c r="A131" s="90" t="s">
        <v>161</v>
      </c>
      <c r="B131" s="90" t="s">
        <v>103</v>
      </c>
      <c r="C131" s="92" t="s">
        <v>162</v>
      </c>
      <c r="D131" s="92"/>
      <c r="E131" s="90" t="s">
        <v>17</v>
      </c>
      <c r="F131" s="90" t="s">
        <v>25</v>
      </c>
      <c r="G131" s="90" t="s">
        <v>406</v>
      </c>
      <c r="H131" s="90"/>
      <c r="I131" s="90"/>
      <c r="J131" s="90"/>
      <c r="K131" s="90"/>
      <c r="L131" s="90">
        <v>137</v>
      </c>
      <c r="M131" s="90">
        <v>136</v>
      </c>
      <c r="N131" s="90"/>
      <c r="O131" s="90"/>
      <c r="P131" s="93">
        <v>0.7</v>
      </c>
      <c r="Q131" s="93">
        <v>0.28999999999999998</v>
      </c>
      <c r="R131" s="91">
        <v>0.60299999999999998</v>
      </c>
      <c r="S131" s="91">
        <v>0.73475035979187397</v>
      </c>
    </row>
    <row r="132" spans="1:19" x14ac:dyDescent="0.2">
      <c r="A132" s="90" t="s">
        <v>102</v>
      </c>
      <c r="B132" s="90" t="s">
        <v>103</v>
      </c>
      <c r="C132" s="90" t="s">
        <v>104</v>
      </c>
      <c r="D132" s="90"/>
      <c r="E132" s="90" t="s">
        <v>17</v>
      </c>
      <c r="F132" s="90" t="s">
        <v>25</v>
      </c>
      <c r="G132" s="90" t="s">
        <v>406</v>
      </c>
      <c r="H132" s="90" t="s">
        <v>39</v>
      </c>
      <c r="I132" s="90"/>
      <c r="J132" s="90"/>
      <c r="K132" s="90"/>
      <c r="L132" s="90">
        <v>36</v>
      </c>
      <c r="M132" s="90">
        <v>36</v>
      </c>
      <c r="N132" s="90"/>
      <c r="O132" s="90"/>
      <c r="P132" s="91">
        <v>0.69899999999999995</v>
      </c>
      <c r="Q132" s="91">
        <v>7.0999999999999994E-2</v>
      </c>
      <c r="R132" s="91">
        <v>0.94699999999999995</v>
      </c>
      <c r="S132" s="91">
        <v>0.90844680615520801</v>
      </c>
    </row>
    <row r="133" spans="1:19" x14ac:dyDescent="0.2">
      <c r="A133" s="90" t="s">
        <v>261</v>
      </c>
      <c r="B133" s="90" t="s">
        <v>103</v>
      </c>
      <c r="C133" s="90" t="s">
        <v>175</v>
      </c>
      <c r="D133" s="90"/>
      <c r="E133" s="90" t="s">
        <v>17</v>
      </c>
      <c r="F133" s="90"/>
      <c r="G133" s="90" t="s">
        <v>406</v>
      </c>
      <c r="H133" s="90"/>
      <c r="I133" s="90"/>
      <c r="J133" s="90"/>
      <c r="K133" s="90"/>
      <c r="L133" s="90">
        <v>20</v>
      </c>
      <c r="M133" s="90">
        <v>20</v>
      </c>
      <c r="N133" s="90"/>
      <c r="O133" s="90"/>
      <c r="P133" s="91">
        <v>0.85599999999999998</v>
      </c>
      <c r="Q133" s="91">
        <v>2.1000000000000001E-2</v>
      </c>
      <c r="R133" s="91">
        <v>0.995</v>
      </c>
      <c r="S133" s="91">
        <v>0.79740949850547904</v>
      </c>
    </row>
    <row r="134" spans="1:19" x14ac:dyDescent="0.2">
      <c r="A134" s="90" t="s">
        <v>369</v>
      </c>
      <c r="B134" s="90" t="s">
        <v>103</v>
      </c>
      <c r="C134" s="90" t="s">
        <v>175</v>
      </c>
      <c r="D134" s="90"/>
      <c r="E134" s="90" t="s">
        <v>17</v>
      </c>
      <c r="F134" s="90"/>
      <c r="G134" s="90" t="s">
        <v>406</v>
      </c>
      <c r="H134" s="90"/>
      <c r="I134" s="90"/>
      <c r="J134" s="90"/>
      <c r="K134" s="90"/>
      <c r="L134" s="90">
        <v>20</v>
      </c>
      <c r="M134" s="90">
        <v>18</v>
      </c>
      <c r="N134" s="90"/>
      <c r="O134" s="90"/>
      <c r="P134" s="91">
        <v>0.85599999999999998</v>
      </c>
      <c r="Q134" s="91">
        <v>2.1000000000000001E-2</v>
      </c>
      <c r="R134" s="91">
        <v>0.995</v>
      </c>
      <c r="S134" s="91">
        <v>0.79740949850547904</v>
      </c>
    </row>
    <row r="135" spans="1:19" x14ac:dyDescent="0.2">
      <c r="A135" s="90" t="s">
        <v>187</v>
      </c>
      <c r="B135" s="90" t="s">
        <v>103</v>
      </c>
      <c r="C135" s="90" t="s">
        <v>188</v>
      </c>
      <c r="D135" s="90"/>
      <c r="E135" s="90" t="s">
        <v>17</v>
      </c>
      <c r="F135" s="90"/>
      <c r="G135" s="90" t="s">
        <v>406</v>
      </c>
      <c r="H135" s="90"/>
      <c r="I135" s="90"/>
      <c r="J135" s="90"/>
      <c r="K135" s="90"/>
      <c r="L135" s="90">
        <v>148</v>
      </c>
      <c r="M135" s="90">
        <v>148</v>
      </c>
      <c r="N135" s="90"/>
      <c r="O135" s="90"/>
      <c r="P135" s="91">
        <v>0.38200000000000001</v>
      </c>
      <c r="Q135" s="91">
        <v>0.58499999999999996</v>
      </c>
      <c r="R135" s="91">
        <v>0.64600000000000002</v>
      </c>
      <c r="S135" s="91">
        <v>0.639433189416583</v>
      </c>
    </row>
    <row r="136" spans="1:19" x14ac:dyDescent="0.2">
      <c r="A136" s="90" t="s">
        <v>494</v>
      </c>
      <c r="B136" s="90" t="s">
        <v>103</v>
      </c>
      <c r="C136" s="92" t="s">
        <v>495</v>
      </c>
      <c r="D136" s="92"/>
      <c r="E136" s="90" t="s">
        <v>17</v>
      </c>
      <c r="F136" s="90" t="s">
        <v>25</v>
      </c>
      <c r="G136" s="90" t="s">
        <v>406</v>
      </c>
      <c r="H136" s="90"/>
      <c r="I136" s="90"/>
      <c r="J136" s="90"/>
      <c r="K136" s="90"/>
      <c r="L136" s="90">
        <v>204</v>
      </c>
      <c r="M136" s="90">
        <v>203</v>
      </c>
      <c r="N136" s="90"/>
      <c r="O136" s="90"/>
      <c r="P136" s="93">
        <v>0.08</v>
      </c>
      <c r="Q136" s="93">
        <v>0.89500000000000002</v>
      </c>
      <c r="R136" s="91">
        <v>0.746</v>
      </c>
      <c r="S136" s="91">
        <v>0.42986826082143198</v>
      </c>
    </row>
    <row r="137" spans="1:19" x14ac:dyDescent="0.2">
      <c r="A137" s="90" t="s">
        <v>527</v>
      </c>
      <c r="B137" s="90" t="s">
        <v>103</v>
      </c>
      <c r="C137" s="92" t="s">
        <v>195</v>
      </c>
      <c r="D137" s="92"/>
      <c r="E137" s="90" t="s">
        <v>17</v>
      </c>
      <c r="F137" s="90" t="s">
        <v>25</v>
      </c>
      <c r="G137" s="90" t="s">
        <v>406</v>
      </c>
      <c r="H137" s="90"/>
      <c r="I137" s="90"/>
      <c r="J137" s="90"/>
      <c r="K137" s="90"/>
      <c r="L137" s="90">
        <v>224</v>
      </c>
      <c r="M137" s="90">
        <v>223</v>
      </c>
      <c r="N137" s="90"/>
      <c r="O137" s="90"/>
      <c r="P137" s="93">
        <v>0.72</v>
      </c>
      <c r="Q137" s="93">
        <v>0.16900000000000001</v>
      </c>
      <c r="R137" s="91">
        <v>0.98099999999999998</v>
      </c>
      <c r="S137" s="91">
        <v>0.84479132071294105</v>
      </c>
    </row>
    <row r="138" spans="1:19" x14ac:dyDescent="0.2">
      <c r="A138" s="90" t="s">
        <v>586</v>
      </c>
      <c r="B138" s="90" t="s">
        <v>103</v>
      </c>
      <c r="C138" s="90" t="s">
        <v>195</v>
      </c>
      <c r="D138" s="90"/>
      <c r="E138" s="90" t="s">
        <v>17</v>
      </c>
      <c r="F138" s="90"/>
      <c r="G138" s="90" t="s">
        <v>406</v>
      </c>
      <c r="H138" s="90"/>
      <c r="I138" s="90"/>
      <c r="J138" s="90"/>
      <c r="K138" s="90"/>
      <c r="L138" s="90">
        <v>16</v>
      </c>
      <c r="M138" s="90">
        <v>16</v>
      </c>
      <c r="N138" s="90"/>
      <c r="O138" s="90"/>
      <c r="P138" s="91">
        <v>0.72299999999999998</v>
      </c>
      <c r="Q138" s="91">
        <v>0.16900000000000001</v>
      </c>
      <c r="R138" s="91">
        <v>0.98099999999999998</v>
      </c>
      <c r="S138" s="91">
        <v>0.84479132071294105</v>
      </c>
    </row>
    <row r="139" spans="1:19" x14ac:dyDescent="0.2">
      <c r="A139" s="90" t="s">
        <v>587</v>
      </c>
      <c r="B139" s="90" t="s">
        <v>103</v>
      </c>
      <c r="C139" s="90" t="s">
        <v>195</v>
      </c>
      <c r="D139" s="90"/>
      <c r="E139" s="90" t="s">
        <v>17</v>
      </c>
      <c r="F139" s="90"/>
      <c r="G139" s="90" t="s">
        <v>406</v>
      </c>
      <c r="H139" s="90"/>
      <c r="I139" s="90"/>
      <c r="J139" s="90"/>
      <c r="K139" s="90"/>
      <c r="L139" s="90">
        <v>8</v>
      </c>
      <c r="M139" s="90">
        <v>8</v>
      </c>
      <c r="N139" s="90"/>
      <c r="O139" s="90"/>
      <c r="P139" s="91">
        <v>0.72299999999999998</v>
      </c>
      <c r="Q139" s="91">
        <v>0.16900000000000001</v>
      </c>
      <c r="R139" s="91">
        <v>0.98099999999999998</v>
      </c>
      <c r="S139" s="91">
        <v>0.84479132071294105</v>
      </c>
    </row>
    <row r="140" spans="1:19" x14ac:dyDescent="0.2">
      <c r="A140" s="90" t="s">
        <v>588</v>
      </c>
      <c r="B140" s="90" t="s">
        <v>103</v>
      </c>
      <c r="C140" s="90" t="s">
        <v>195</v>
      </c>
      <c r="D140" s="90"/>
      <c r="E140" s="90" t="s">
        <v>17</v>
      </c>
      <c r="F140" s="90"/>
      <c r="G140" s="90" t="s">
        <v>406</v>
      </c>
      <c r="H140" s="90"/>
      <c r="I140" s="90"/>
      <c r="J140" s="90"/>
      <c r="K140" s="90"/>
      <c r="L140" s="90">
        <v>4</v>
      </c>
      <c r="M140" s="90">
        <v>4</v>
      </c>
      <c r="N140" s="90"/>
      <c r="O140" s="90"/>
      <c r="P140" s="91">
        <v>0.72299999999999998</v>
      </c>
      <c r="Q140" s="91">
        <v>0.16900000000000001</v>
      </c>
      <c r="R140" s="91">
        <v>0.98099999999999998</v>
      </c>
      <c r="S140" s="91">
        <v>0.84479132071294105</v>
      </c>
    </row>
    <row r="141" spans="1:19" x14ac:dyDescent="0.2">
      <c r="A141" s="90" t="s">
        <v>407</v>
      </c>
      <c r="B141" s="90" t="s">
        <v>103</v>
      </c>
      <c r="C141" s="90" t="s">
        <v>408</v>
      </c>
      <c r="D141" s="90"/>
      <c r="E141" s="90" t="s">
        <v>17</v>
      </c>
      <c r="F141" s="90"/>
      <c r="G141" s="90"/>
      <c r="H141" s="90"/>
      <c r="I141" s="90"/>
      <c r="J141" s="90" t="s">
        <v>26</v>
      </c>
      <c r="K141" s="90"/>
      <c r="L141" s="90">
        <v>101</v>
      </c>
      <c r="M141" s="90">
        <v>100</v>
      </c>
      <c r="N141" s="90"/>
      <c r="O141" s="90"/>
      <c r="P141" s="91">
        <v>0.438</v>
      </c>
      <c r="Q141" s="91">
        <v>0.39600000000000002</v>
      </c>
      <c r="R141" s="91">
        <v>0.66</v>
      </c>
      <c r="S141" s="91">
        <v>0.66877006531606298</v>
      </c>
    </row>
    <row r="142" spans="1:19" x14ac:dyDescent="0.2">
      <c r="A142" s="90" t="s">
        <v>189</v>
      </c>
      <c r="B142" s="90" t="s">
        <v>103</v>
      </c>
      <c r="C142" s="92" t="s">
        <v>162</v>
      </c>
      <c r="D142" s="92"/>
      <c r="E142" s="90" t="s">
        <v>17</v>
      </c>
      <c r="F142" s="90" t="s">
        <v>25</v>
      </c>
      <c r="G142" s="90"/>
      <c r="H142" s="90"/>
      <c r="I142" s="90"/>
      <c r="J142" s="90" t="s">
        <v>26</v>
      </c>
      <c r="K142" s="90"/>
      <c r="L142" s="90">
        <v>59</v>
      </c>
      <c r="M142" s="90">
        <v>59</v>
      </c>
      <c r="N142" s="90"/>
      <c r="O142" s="90"/>
      <c r="P142" s="93">
        <v>0.7</v>
      </c>
      <c r="Q142" s="93">
        <v>0.28999999999999998</v>
      </c>
      <c r="R142" s="91">
        <v>0.60299999999999998</v>
      </c>
      <c r="S142" s="91">
        <v>0.73475035979187397</v>
      </c>
    </row>
    <row r="143" spans="1:19" x14ac:dyDescent="0.2">
      <c r="A143" s="90" t="s">
        <v>714</v>
      </c>
      <c r="B143" s="90" t="s">
        <v>103</v>
      </c>
      <c r="C143" s="90" t="s">
        <v>162</v>
      </c>
      <c r="D143" s="90"/>
      <c r="E143" s="90" t="s">
        <v>17</v>
      </c>
      <c r="F143" s="90"/>
      <c r="G143" s="90"/>
      <c r="H143" s="90"/>
      <c r="I143" s="90"/>
      <c r="J143" s="90" t="s">
        <v>26</v>
      </c>
      <c r="K143" s="90"/>
      <c r="L143" s="90">
        <v>95</v>
      </c>
      <c r="M143" s="90">
        <v>94</v>
      </c>
      <c r="N143" s="90"/>
      <c r="O143" s="90"/>
      <c r="P143" s="91">
        <v>0.69799999999999995</v>
      </c>
      <c r="Q143" s="91">
        <v>0.28999999999999998</v>
      </c>
      <c r="R143" s="91">
        <v>0.60299999999999998</v>
      </c>
      <c r="S143" s="91">
        <v>0.73475035979187397</v>
      </c>
    </row>
    <row r="144" spans="1:19" x14ac:dyDescent="0.2">
      <c r="A144" s="90" t="s">
        <v>1436</v>
      </c>
      <c r="B144" s="90" t="s">
        <v>103</v>
      </c>
      <c r="C144" s="92" t="s">
        <v>1313</v>
      </c>
      <c r="D144" s="90" t="s">
        <v>1437</v>
      </c>
      <c r="E144" s="90" t="s">
        <v>17</v>
      </c>
      <c r="F144" s="90"/>
      <c r="G144" s="90"/>
      <c r="H144" s="90" t="s">
        <v>39</v>
      </c>
      <c r="I144" s="90"/>
      <c r="J144" s="90"/>
      <c r="K144" s="90"/>
      <c r="L144" s="90">
        <v>25</v>
      </c>
      <c r="M144" s="90">
        <v>24</v>
      </c>
      <c r="N144" s="90"/>
      <c r="O144" s="90"/>
      <c r="P144" s="96">
        <v>0.75</v>
      </c>
      <c r="Q144" s="96">
        <v>0.95</v>
      </c>
      <c r="R144" s="97">
        <v>0.34</v>
      </c>
      <c r="S144" s="91">
        <v>0.28999999999999998</v>
      </c>
    </row>
    <row r="145" spans="1:19" x14ac:dyDescent="0.2">
      <c r="A145" s="90" t="s">
        <v>414</v>
      </c>
      <c r="B145" s="90" t="s">
        <v>23</v>
      </c>
      <c r="C145" s="90" t="s">
        <v>325</v>
      </c>
      <c r="D145" s="90"/>
      <c r="E145" s="90" t="s">
        <v>17</v>
      </c>
      <c r="F145" s="90"/>
      <c r="G145" s="90" t="s">
        <v>406</v>
      </c>
      <c r="H145" s="90"/>
      <c r="I145" s="90"/>
      <c r="J145" s="90"/>
      <c r="K145" s="90"/>
      <c r="L145" s="90">
        <v>136</v>
      </c>
      <c r="M145" s="90">
        <v>68</v>
      </c>
      <c r="N145" s="90"/>
      <c r="O145" s="90"/>
      <c r="P145" s="91">
        <v>0.77200000000000002</v>
      </c>
      <c r="Q145" s="91">
        <v>0.32200000000000001</v>
      </c>
      <c r="R145" s="91">
        <v>0.76900000000000002</v>
      </c>
      <c r="S145" s="91">
        <v>0.80870142809697698</v>
      </c>
    </row>
    <row r="146" spans="1:19" x14ac:dyDescent="0.2">
      <c r="A146" s="90" t="s">
        <v>423</v>
      </c>
      <c r="B146" s="90" t="s">
        <v>23</v>
      </c>
      <c r="C146" s="90" t="s">
        <v>424</v>
      </c>
      <c r="D146" s="90"/>
      <c r="E146" s="90" t="s">
        <v>17</v>
      </c>
      <c r="F146" s="90"/>
      <c r="G146" s="90" t="s">
        <v>406</v>
      </c>
      <c r="H146" s="90"/>
      <c r="I146" s="90"/>
      <c r="J146" s="90"/>
      <c r="K146" s="90"/>
      <c r="L146" s="90">
        <v>10</v>
      </c>
      <c r="M146" s="90">
        <v>10</v>
      </c>
      <c r="N146" s="90"/>
      <c r="O146" s="90"/>
      <c r="P146" s="91">
        <v>0.497</v>
      </c>
      <c r="Q146" s="91">
        <v>0.23499999999999999</v>
      </c>
      <c r="R146" s="91">
        <v>0.81200000000000006</v>
      </c>
      <c r="S146" s="91">
        <v>0.71050592272777502</v>
      </c>
    </row>
    <row r="147" spans="1:19" x14ac:dyDescent="0.2">
      <c r="A147" s="90" t="s">
        <v>450</v>
      </c>
      <c r="B147" s="90" t="s">
        <v>23</v>
      </c>
      <c r="C147" s="92" t="s">
        <v>451</v>
      </c>
      <c r="D147" s="92"/>
      <c r="E147" s="90" t="s">
        <v>17</v>
      </c>
      <c r="F147" s="90" t="s">
        <v>25</v>
      </c>
      <c r="G147" s="90" t="s">
        <v>406</v>
      </c>
      <c r="H147" s="90"/>
      <c r="I147" s="90"/>
      <c r="J147" s="90"/>
      <c r="K147" s="90"/>
      <c r="L147" s="90">
        <v>32</v>
      </c>
      <c r="M147" s="90">
        <v>32</v>
      </c>
      <c r="N147" s="90"/>
      <c r="O147" s="90"/>
      <c r="P147" s="93">
        <v>0.25</v>
      </c>
      <c r="Q147" s="93">
        <v>0.34699999999999998</v>
      </c>
      <c r="R147" s="91">
        <v>0.70799999999999996</v>
      </c>
      <c r="S147" s="91">
        <v>0.85818664895383501</v>
      </c>
    </row>
    <row r="148" spans="1:19" x14ac:dyDescent="0.2">
      <c r="A148" s="90" t="s">
        <v>114</v>
      </c>
      <c r="B148" s="90" t="s">
        <v>23</v>
      </c>
      <c r="C148" s="90" t="s">
        <v>115</v>
      </c>
      <c r="D148" s="90"/>
      <c r="E148" s="90" t="s">
        <v>17</v>
      </c>
      <c r="F148" s="90"/>
      <c r="G148" s="90" t="s">
        <v>406</v>
      </c>
      <c r="H148" s="90"/>
      <c r="I148" s="90"/>
      <c r="J148" s="90"/>
      <c r="K148" s="90"/>
      <c r="L148" s="90">
        <v>400</v>
      </c>
      <c r="M148" s="90">
        <v>80</v>
      </c>
      <c r="N148" s="90"/>
      <c r="O148" s="90"/>
      <c r="P148" s="91">
        <v>0.68300000000000005</v>
      </c>
      <c r="Q148" s="91">
        <v>0.151</v>
      </c>
      <c r="R148" s="91">
        <v>0.38400000000000001</v>
      </c>
      <c r="S148" s="91">
        <v>0.81556515000553498</v>
      </c>
    </row>
    <row r="149" spans="1:19" x14ac:dyDescent="0.2">
      <c r="A149" s="90" t="s">
        <v>180</v>
      </c>
      <c r="B149" s="90" t="s">
        <v>23</v>
      </c>
      <c r="C149" s="90" t="s">
        <v>181</v>
      </c>
      <c r="D149" s="90"/>
      <c r="E149" s="90" t="s">
        <v>17</v>
      </c>
      <c r="F149" s="90"/>
      <c r="G149" s="90" t="s">
        <v>406</v>
      </c>
      <c r="H149" s="90"/>
      <c r="I149" s="90"/>
      <c r="J149" s="90"/>
      <c r="K149" s="90"/>
      <c r="L149" s="90">
        <v>78</v>
      </c>
      <c r="M149" s="90">
        <v>31</v>
      </c>
      <c r="N149" s="90"/>
      <c r="O149" s="90"/>
      <c r="P149" s="91">
        <v>0.26600000000000001</v>
      </c>
      <c r="Q149" s="91">
        <v>0.26200000000000001</v>
      </c>
      <c r="R149" s="91">
        <v>0.45100000000000001</v>
      </c>
      <c r="S149" s="91">
        <v>0.75899479685597204</v>
      </c>
    </row>
    <row r="150" spans="1:19" s="5" customFormat="1" x14ac:dyDescent="0.2">
      <c r="A150" s="90" t="s">
        <v>315</v>
      </c>
      <c r="B150" s="90" t="s">
        <v>23</v>
      </c>
      <c r="C150" s="90" t="s">
        <v>316</v>
      </c>
      <c r="D150" s="90"/>
      <c r="E150" s="90" t="s">
        <v>17</v>
      </c>
      <c r="F150" s="90" t="s">
        <v>25</v>
      </c>
      <c r="G150" s="90" t="s">
        <v>406</v>
      </c>
      <c r="H150" s="90"/>
      <c r="I150" s="90"/>
      <c r="J150" s="90"/>
      <c r="K150" s="90"/>
      <c r="L150" s="90">
        <v>126</v>
      </c>
      <c r="M150" s="90">
        <v>126</v>
      </c>
      <c r="N150" s="90"/>
      <c r="O150" s="90"/>
      <c r="P150" s="91">
        <v>0.125</v>
      </c>
      <c r="Q150" s="91">
        <v>0.26700000000000002</v>
      </c>
      <c r="R150" s="91">
        <v>0.63300000000000001</v>
      </c>
      <c r="S150" s="91">
        <v>0.58651610760544604</v>
      </c>
    </row>
    <row r="151" spans="1:19" s="5" customFormat="1" x14ac:dyDescent="0.2">
      <c r="A151" s="90" t="s">
        <v>595</v>
      </c>
      <c r="B151" s="90" t="s">
        <v>23</v>
      </c>
      <c r="C151" s="92" t="s">
        <v>451</v>
      </c>
      <c r="D151" s="92"/>
      <c r="E151" s="90" t="s">
        <v>17</v>
      </c>
      <c r="F151" s="90" t="s">
        <v>25</v>
      </c>
      <c r="G151" s="90" t="s">
        <v>406</v>
      </c>
      <c r="H151" s="90"/>
      <c r="I151" s="90"/>
      <c r="J151" s="90"/>
      <c r="K151" s="90"/>
      <c r="L151" s="90">
        <v>10</v>
      </c>
      <c r="M151" s="90">
        <v>10</v>
      </c>
      <c r="N151" s="90"/>
      <c r="O151" s="90"/>
      <c r="P151" s="93">
        <v>0.25</v>
      </c>
      <c r="Q151" s="93">
        <v>0.34699999999999998</v>
      </c>
      <c r="R151" s="91">
        <v>0.70799999999999996</v>
      </c>
      <c r="S151" s="91">
        <v>0.85818664895383501</v>
      </c>
    </row>
    <row r="152" spans="1:19" s="5" customFormat="1" x14ac:dyDescent="0.2">
      <c r="A152" s="90" t="s">
        <v>596</v>
      </c>
      <c r="B152" s="90" t="s">
        <v>23</v>
      </c>
      <c r="C152" s="90" t="s">
        <v>597</v>
      </c>
      <c r="D152" s="90"/>
      <c r="E152" s="90" t="s">
        <v>17</v>
      </c>
      <c r="F152" s="90"/>
      <c r="G152" s="90" t="s">
        <v>406</v>
      </c>
      <c r="H152" s="90"/>
      <c r="I152" s="90"/>
      <c r="J152" s="90"/>
      <c r="K152" s="90"/>
      <c r="L152" s="90">
        <v>95</v>
      </c>
      <c r="M152" s="90">
        <v>95</v>
      </c>
      <c r="N152" s="90"/>
      <c r="O152" s="90"/>
      <c r="P152" s="91">
        <v>0.92800000000000005</v>
      </c>
      <c r="Q152" s="91">
        <v>0.11799999999999999</v>
      </c>
      <c r="R152" s="91">
        <v>0.80900000000000005</v>
      </c>
      <c r="S152" s="91">
        <v>0.83327798073729598</v>
      </c>
    </row>
    <row r="153" spans="1:19" s="5" customFormat="1" x14ac:dyDescent="0.2">
      <c r="A153" s="90" t="s">
        <v>663</v>
      </c>
      <c r="B153" s="90" t="s">
        <v>23</v>
      </c>
      <c r="C153" s="90" t="s">
        <v>451</v>
      </c>
      <c r="D153" s="90"/>
      <c r="E153" s="90" t="s">
        <v>17</v>
      </c>
      <c r="F153" s="90"/>
      <c r="G153" s="90" t="s">
        <v>406</v>
      </c>
      <c r="H153" s="90"/>
      <c r="I153" s="90"/>
      <c r="J153" s="90"/>
      <c r="K153" s="90"/>
      <c r="L153" s="90">
        <v>144</v>
      </c>
      <c r="M153" s="90">
        <v>144</v>
      </c>
      <c r="N153" s="90"/>
      <c r="O153" s="90"/>
      <c r="P153" s="91">
        <v>0.247</v>
      </c>
      <c r="Q153" s="91">
        <v>0.34699999999999998</v>
      </c>
      <c r="R153" s="91">
        <v>0.70799999999999996</v>
      </c>
      <c r="S153" s="91">
        <v>0.85818664895383501</v>
      </c>
    </row>
    <row r="154" spans="1:19" s="5" customFormat="1" x14ac:dyDescent="0.2">
      <c r="A154" s="90" t="s">
        <v>699</v>
      </c>
      <c r="B154" s="90" t="s">
        <v>23</v>
      </c>
      <c r="C154" s="90" t="s">
        <v>153</v>
      </c>
      <c r="D154" s="90"/>
      <c r="E154" s="90" t="s">
        <v>17</v>
      </c>
      <c r="F154" s="90"/>
      <c r="G154" s="90" t="s">
        <v>406</v>
      </c>
      <c r="H154" s="90"/>
      <c r="I154" s="90"/>
      <c r="J154" s="90"/>
      <c r="K154" s="90"/>
      <c r="L154" s="90">
        <v>14</v>
      </c>
      <c r="M154" s="90">
        <v>14</v>
      </c>
      <c r="N154" s="90"/>
      <c r="O154" s="90"/>
      <c r="P154" s="91">
        <v>0.59699999999999998</v>
      </c>
      <c r="Q154" s="91">
        <v>3.1E-2</v>
      </c>
      <c r="R154" s="91">
        <v>0.95299999999999996</v>
      </c>
      <c r="S154" s="91">
        <v>0.90269013616738603</v>
      </c>
    </row>
    <row r="155" spans="1:19" s="5" customFormat="1" x14ac:dyDescent="0.2">
      <c r="A155" s="90" t="s">
        <v>704</v>
      </c>
      <c r="B155" s="90" t="s">
        <v>23</v>
      </c>
      <c r="C155" s="90" t="s">
        <v>153</v>
      </c>
      <c r="D155" s="90"/>
      <c r="E155" s="90" t="s">
        <v>17</v>
      </c>
      <c r="F155" s="90"/>
      <c r="G155" s="90" t="s">
        <v>406</v>
      </c>
      <c r="H155" s="90"/>
      <c r="I155" s="90"/>
      <c r="J155" s="90"/>
      <c r="K155" s="90"/>
      <c r="L155" s="90">
        <v>144</v>
      </c>
      <c r="M155" s="90">
        <v>144</v>
      </c>
      <c r="N155" s="90"/>
      <c r="O155" s="90"/>
      <c r="P155" s="91">
        <v>0.59699999999999998</v>
      </c>
      <c r="Q155" s="91">
        <v>3.1E-2</v>
      </c>
      <c r="R155" s="91">
        <v>0.95299999999999996</v>
      </c>
      <c r="S155" s="91">
        <v>0.90269013616738603</v>
      </c>
    </row>
    <row r="156" spans="1:19" s="5" customFormat="1" x14ac:dyDescent="0.2">
      <c r="A156" s="90" t="s">
        <v>390</v>
      </c>
      <c r="B156" s="90" t="s">
        <v>23</v>
      </c>
      <c r="C156" s="90" t="s">
        <v>391</v>
      </c>
      <c r="D156" s="90"/>
      <c r="E156" s="90" t="s">
        <v>17</v>
      </c>
      <c r="F156" s="90"/>
      <c r="G156" s="90"/>
      <c r="H156" s="90"/>
      <c r="I156" s="90"/>
      <c r="J156" s="90" t="s">
        <v>26</v>
      </c>
      <c r="K156" s="90"/>
      <c r="L156" s="90">
        <v>161</v>
      </c>
      <c r="M156" s="90">
        <v>159</v>
      </c>
      <c r="N156" s="90"/>
      <c r="O156" s="90"/>
      <c r="P156" s="91">
        <v>0.125</v>
      </c>
      <c r="Q156" s="91">
        <v>0.22500000000000001</v>
      </c>
      <c r="R156" s="91">
        <v>0.80300000000000005</v>
      </c>
      <c r="S156" s="91">
        <v>0.71781246540462695</v>
      </c>
    </row>
    <row r="157" spans="1:19" s="5" customFormat="1" x14ac:dyDescent="0.2">
      <c r="A157" s="90" t="s">
        <v>324</v>
      </c>
      <c r="B157" s="90" t="s">
        <v>23</v>
      </c>
      <c r="C157" s="92" t="s">
        <v>325</v>
      </c>
      <c r="D157" s="92"/>
      <c r="E157" s="90" t="s">
        <v>17</v>
      </c>
      <c r="F157" s="90" t="s">
        <v>25</v>
      </c>
      <c r="G157" s="90"/>
      <c r="H157" s="90"/>
      <c r="I157" s="90"/>
      <c r="J157" s="90" t="s">
        <v>26</v>
      </c>
      <c r="K157" s="90"/>
      <c r="L157" s="90">
        <v>85</v>
      </c>
      <c r="M157" s="90">
        <v>85</v>
      </c>
      <c r="N157" s="90"/>
      <c r="O157" s="90"/>
      <c r="P157" s="93">
        <v>0.77</v>
      </c>
      <c r="Q157" s="93">
        <v>0.32200000000000001</v>
      </c>
      <c r="R157" s="91">
        <v>0.76900000000000002</v>
      </c>
      <c r="S157" s="91">
        <v>0.80870142809697698</v>
      </c>
    </row>
    <row r="158" spans="1:19" s="5" customFormat="1" x14ac:dyDescent="0.2">
      <c r="A158" s="90" t="s">
        <v>327</v>
      </c>
      <c r="B158" s="90" t="s">
        <v>23</v>
      </c>
      <c r="C158" s="90" t="s">
        <v>328</v>
      </c>
      <c r="D158" s="90"/>
      <c r="E158" s="90" t="s">
        <v>17</v>
      </c>
      <c r="F158" s="90"/>
      <c r="G158" s="90"/>
      <c r="H158" s="90"/>
      <c r="I158" s="90"/>
      <c r="J158" s="90" t="s">
        <v>26</v>
      </c>
      <c r="K158" s="90"/>
      <c r="L158" s="90">
        <v>65</v>
      </c>
      <c r="M158" s="90">
        <v>64</v>
      </c>
      <c r="N158" s="90"/>
      <c r="O158" s="90"/>
      <c r="P158" s="91">
        <v>0.65</v>
      </c>
      <c r="Q158" s="91">
        <v>0.44</v>
      </c>
      <c r="R158" s="91">
        <v>0.78</v>
      </c>
      <c r="S158" s="91">
        <v>0.82718919517325296</v>
      </c>
    </row>
    <row r="159" spans="1:19" s="5" customFormat="1" x14ac:dyDescent="0.2">
      <c r="A159" s="90" t="s">
        <v>668</v>
      </c>
      <c r="B159" s="90" t="s">
        <v>23</v>
      </c>
      <c r="C159" s="92" t="s">
        <v>325</v>
      </c>
      <c r="D159" s="92"/>
      <c r="E159" s="90" t="s">
        <v>17</v>
      </c>
      <c r="F159" s="90" t="s">
        <v>25</v>
      </c>
      <c r="G159" s="90"/>
      <c r="H159" s="90"/>
      <c r="I159" s="90"/>
      <c r="J159" s="90" t="s">
        <v>26</v>
      </c>
      <c r="K159" s="90"/>
      <c r="L159" s="90">
        <v>82</v>
      </c>
      <c r="M159" s="90">
        <v>80</v>
      </c>
      <c r="N159" s="90"/>
      <c r="O159" s="90"/>
      <c r="P159" s="93">
        <v>0.77</v>
      </c>
      <c r="Q159" s="93">
        <v>0.32200000000000001</v>
      </c>
      <c r="R159" s="91">
        <v>0.76900000000000002</v>
      </c>
      <c r="S159" s="91">
        <v>0.80870142809697698</v>
      </c>
    </row>
    <row r="160" spans="1:19" s="5" customFormat="1" x14ac:dyDescent="0.2">
      <c r="A160" s="90" t="s">
        <v>712</v>
      </c>
      <c r="B160" s="90" t="s">
        <v>23</v>
      </c>
      <c r="C160" s="90" t="s">
        <v>713</v>
      </c>
      <c r="D160" s="90"/>
      <c r="E160" s="90" t="s">
        <v>17</v>
      </c>
      <c r="F160" s="90"/>
      <c r="G160" s="90"/>
      <c r="H160" s="90"/>
      <c r="I160" s="90"/>
      <c r="J160" s="90" t="s">
        <v>26</v>
      </c>
      <c r="K160" s="90"/>
      <c r="L160" s="90">
        <v>178</v>
      </c>
      <c r="M160" s="90">
        <v>36</v>
      </c>
      <c r="N160" s="90"/>
      <c r="O160" s="90"/>
      <c r="P160" s="91">
        <v>1</v>
      </c>
      <c r="Q160" s="91">
        <v>0.26300000000000001</v>
      </c>
      <c r="R160" s="91">
        <v>0.68400000000000005</v>
      </c>
      <c r="S160" s="91">
        <v>0.59515111258718001</v>
      </c>
    </row>
    <row r="161" spans="1:19" s="5" customFormat="1" x14ac:dyDescent="0.2">
      <c r="A161" s="90" t="s">
        <v>331</v>
      </c>
      <c r="B161" s="90" t="s">
        <v>45</v>
      </c>
      <c r="C161" s="92" t="s">
        <v>128</v>
      </c>
      <c r="D161" s="92"/>
      <c r="E161" s="90" t="s">
        <v>17</v>
      </c>
      <c r="F161" s="90" t="s">
        <v>25</v>
      </c>
      <c r="G161" s="90" t="s">
        <v>406</v>
      </c>
      <c r="H161" s="90"/>
      <c r="I161" s="90"/>
      <c r="J161" s="90"/>
      <c r="K161" s="90"/>
      <c r="L161" s="90">
        <v>107</v>
      </c>
      <c r="M161" s="90">
        <v>106</v>
      </c>
      <c r="N161" s="90"/>
      <c r="O161" s="90"/>
      <c r="P161" s="93">
        <v>0.25</v>
      </c>
      <c r="Q161" s="93">
        <v>0.59799999999999998</v>
      </c>
      <c r="R161" s="91">
        <v>0.54900000000000004</v>
      </c>
      <c r="S161" s="91">
        <v>0.38547547879995497</v>
      </c>
    </row>
    <row r="162" spans="1:19" s="5" customFormat="1" x14ac:dyDescent="0.2">
      <c r="A162" s="90" t="s">
        <v>452</v>
      </c>
      <c r="B162" s="90" t="s">
        <v>45</v>
      </c>
      <c r="C162" s="90" t="s">
        <v>453</v>
      </c>
      <c r="D162" s="90"/>
      <c r="E162" s="90" t="s">
        <v>17</v>
      </c>
      <c r="F162" s="90"/>
      <c r="G162" s="90" t="s">
        <v>406</v>
      </c>
      <c r="H162" s="90"/>
      <c r="I162" s="90"/>
      <c r="J162" s="90"/>
      <c r="K162" s="90"/>
      <c r="L162" s="90">
        <v>80</v>
      </c>
      <c r="M162" s="90">
        <v>80</v>
      </c>
      <c r="N162" s="90"/>
      <c r="O162" s="90"/>
      <c r="P162" s="91">
        <v>0.68899999999999995</v>
      </c>
      <c r="Q162" s="91">
        <v>0.13900000000000001</v>
      </c>
      <c r="R162" s="91">
        <v>0.90300000000000002</v>
      </c>
      <c r="S162" s="91">
        <v>0.57101738071515495</v>
      </c>
    </row>
    <row r="163" spans="1:19" s="5" customFormat="1" x14ac:dyDescent="0.2">
      <c r="A163" s="90" t="s">
        <v>127</v>
      </c>
      <c r="B163" s="90" t="s">
        <v>45</v>
      </c>
      <c r="C163" s="90" t="s">
        <v>128</v>
      </c>
      <c r="D163" s="90"/>
      <c r="E163" s="90" t="s">
        <v>17</v>
      </c>
      <c r="F163" s="90"/>
      <c r="G163" s="90" t="s">
        <v>406</v>
      </c>
      <c r="H163" s="90"/>
      <c r="I163" s="90"/>
      <c r="J163" s="90"/>
      <c r="K163" s="90"/>
      <c r="L163" s="90">
        <v>274</v>
      </c>
      <c r="M163" s="90">
        <v>274</v>
      </c>
      <c r="N163" s="90"/>
      <c r="O163" s="90"/>
      <c r="P163" s="91">
        <v>0.25</v>
      </c>
      <c r="Q163" s="91">
        <v>0.59799999999999998</v>
      </c>
      <c r="R163" s="91">
        <v>0.54900000000000004</v>
      </c>
      <c r="S163" s="91">
        <v>0.38547547879995497</v>
      </c>
    </row>
    <row r="164" spans="1:19" s="5" customFormat="1" x14ac:dyDescent="0.2">
      <c r="A164" s="90" t="s">
        <v>199</v>
      </c>
      <c r="B164" s="90" t="s">
        <v>45</v>
      </c>
      <c r="C164" s="90" t="s">
        <v>200</v>
      </c>
      <c r="D164" s="90"/>
      <c r="E164" s="90" t="s">
        <v>17</v>
      </c>
      <c r="F164" s="90" t="s">
        <v>25</v>
      </c>
      <c r="G164" s="90" t="s">
        <v>406</v>
      </c>
      <c r="H164" s="90"/>
      <c r="I164" s="90"/>
      <c r="J164" s="90"/>
      <c r="K164" s="90"/>
      <c r="L164" s="90">
        <v>88</v>
      </c>
      <c r="M164" s="90">
        <v>88</v>
      </c>
      <c r="N164" s="90"/>
      <c r="O164" s="90"/>
      <c r="P164" s="91">
        <v>0.189</v>
      </c>
      <c r="Q164" s="91">
        <v>0.90200000000000002</v>
      </c>
      <c r="R164" s="91">
        <v>0.314</v>
      </c>
      <c r="S164" s="91">
        <v>0.55574006420901101</v>
      </c>
    </row>
    <row r="165" spans="1:19" s="5" customFormat="1" x14ac:dyDescent="0.2">
      <c r="A165" s="90" t="s">
        <v>208</v>
      </c>
      <c r="B165" s="90" t="s">
        <v>45</v>
      </c>
      <c r="C165" s="92" t="s">
        <v>172</v>
      </c>
      <c r="D165" s="92"/>
      <c r="E165" s="90" t="s">
        <v>17</v>
      </c>
      <c r="F165" s="90" t="s">
        <v>25</v>
      </c>
      <c r="G165" s="90" t="s">
        <v>406</v>
      </c>
      <c r="H165" s="90"/>
      <c r="I165" s="90"/>
      <c r="J165" s="90"/>
      <c r="K165" s="90"/>
      <c r="L165" s="90">
        <v>104</v>
      </c>
      <c r="M165" s="90">
        <v>104</v>
      </c>
      <c r="N165" s="90"/>
      <c r="O165" s="90"/>
      <c r="P165" s="93">
        <v>0.51</v>
      </c>
      <c r="Q165" s="93">
        <v>0.13400000000000001</v>
      </c>
      <c r="R165" s="91">
        <v>0.80600000000000005</v>
      </c>
      <c r="S165" s="91">
        <v>0.63378722462083403</v>
      </c>
    </row>
    <row r="166" spans="1:19" s="5" customFormat="1" x14ac:dyDescent="0.2">
      <c r="A166" s="90" t="s">
        <v>44</v>
      </c>
      <c r="B166" s="90" t="s">
        <v>45</v>
      </c>
      <c r="C166" s="92" t="s">
        <v>46</v>
      </c>
      <c r="D166" s="92"/>
      <c r="E166" s="90" t="s">
        <v>17</v>
      </c>
      <c r="F166" s="90" t="s">
        <v>25</v>
      </c>
      <c r="G166" s="90" t="s">
        <v>406</v>
      </c>
      <c r="H166" s="90"/>
      <c r="I166" s="90"/>
      <c r="J166" s="90"/>
      <c r="K166" s="90"/>
      <c r="L166" s="90">
        <v>198</v>
      </c>
      <c r="M166" s="90">
        <v>192</v>
      </c>
      <c r="N166" s="90"/>
      <c r="O166" s="90"/>
      <c r="P166" s="93">
        <v>0.67</v>
      </c>
      <c r="Q166" s="93">
        <v>0.247</v>
      </c>
      <c r="R166" s="91">
        <v>0.55700000000000005</v>
      </c>
      <c r="S166" s="91">
        <v>0.77803608989261497</v>
      </c>
    </row>
    <row r="167" spans="1:19" s="5" customFormat="1" x14ac:dyDescent="0.2">
      <c r="A167" s="90" t="s">
        <v>287</v>
      </c>
      <c r="B167" s="90" t="s">
        <v>45</v>
      </c>
      <c r="C167" s="90" t="s">
        <v>288</v>
      </c>
      <c r="D167" s="90"/>
      <c r="E167" s="90" t="s">
        <v>17</v>
      </c>
      <c r="F167" s="90"/>
      <c r="G167" s="90" t="s">
        <v>406</v>
      </c>
      <c r="H167" s="90"/>
      <c r="I167" s="90"/>
      <c r="J167" s="90"/>
      <c r="K167" s="90"/>
      <c r="L167" s="90">
        <v>26</v>
      </c>
      <c r="M167" s="90">
        <v>26</v>
      </c>
      <c r="N167" s="90"/>
      <c r="O167" s="90"/>
      <c r="P167" s="91">
        <v>0.25</v>
      </c>
      <c r="Q167" s="91">
        <v>0.53700000000000003</v>
      </c>
      <c r="R167" s="91">
        <v>0.439</v>
      </c>
      <c r="S167" s="91">
        <v>0.242333665448909</v>
      </c>
    </row>
    <row r="168" spans="1:19" s="5" customFormat="1" x14ac:dyDescent="0.2">
      <c r="A168" s="90" t="s">
        <v>504</v>
      </c>
      <c r="B168" s="90" t="s">
        <v>45</v>
      </c>
      <c r="C168" s="90" t="s">
        <v>505</v>
      </c>
      <c r="D168" s="90"/>
      <c r="E168" s="90" t="s">
        <v>17</v>
      </c>
      <c r="F168" s="90"/>
      <c r="G168" s="90" t="s">
        <v>406</v>
      </c>
      <c r="H168" s="90"/>
      <c r="I168" s="90"/>
      <c r="J168" s="90"/>
      <c r="K168" s="90"/>
      <c r="L168" s="90">
        <v>5</v>
      </c>
      <c r="M168" s="90">
        <v>5</v>
      </c>
      <c r="N168" s="90"/>
      <c r="O168" s="90"/>
      <c r="P168" s="91">
        <v>0.35799999999999998</v>
      </c>
      <c r="Q168" s="91">
        <v>0.114</v>
      </c>
      <c r="R168" s="91">
        <v>0.873</v>
      </c>
      <c r="S168" s="91">
        <v>0.82209675633787205</v>
      </c>
    </row>
    <row r="169" spans="1:19" s="5" customFormat="1" x14ac:dyDescent="0.2">
      <c r="A169" s="90" t="s">
        <v>506</v>
      </c>
      <c r="B169" s="90" t="s">
        <v>45</v>
      </c>
      <c r="C169" s="90" t="s">
        <v>505</v>
      </c>
      <c r="D169" s="90"/>
      <c r="E169" s="90" t="s">
        <v>17</v>
      </c>
      <c r="F169" s="90"/>
      <c r="G169" s="90" t="s">
        <v>406</v>
      </c>
      <c r="H169" s="90"/>
      <c r="I169" s="90"/>
      <c r="J169" s="90"/>
      <c r="K169" s="90"/>
      <c r="L169" s="90">
        <v>5</v>
      </c>
      <c r="M169" s="90">
        <v>5</v>
      </c>
      <c r="N169" s="90"/>
      <c r="O169" s="90"/>
      <c r="P169" s="91">
        <v>0.35799999999999998</v>
      </c>
      <c r="Q169" s="91">
        <v>0.114</v>
      </c>
      <c r="R169" s="91">
        <v>0.873</v>
      </c>
      <c r="S169" s="91">
        <v>0.82209675633787205</v>
      </c>
    </row>
    <row r="170" spans="1:19" s="5" customFormat="1" x14ac:dyDescent="0.2">
      <c r="A170" s="90" t="s">
        <v>507</v>
      </c>
      <c r="B170" s="90" t="s">
        <v>45</v>
      </c>
      <c r="C170" s="90" t="s">
        <v>505</v>
      </c>
      <c r="D170" s="90"/>
      <c r="E170" s="90" t="s">
        <v>17</v>
      </c>
      <c r="F170" s="90"/>
      <c r="G170" s="90" t="s">
        <v>406</v>
      </c>
      <c r="H170" s="90"/>
      <c r="I170" s="90"/>
      <c r="J170" s="90"/>
      <c r="K170" s="90"/>
      <c r="L170" s="90">
        <v>4</v>
      </c>
      <c r="M170" s="90">
        <v>4</v>
      </c>
      <c r="N170" s="90"/>
      <c r="O170" s="90"/>
      <c r="P170" s="91">
        <v>0.35799999999999998</v>
      </c>
      <c r="Q170" s="91">
        <v>0.114</v>
      </c>
      <c r="R170" s="91">
        <v>0.873</v>
      </c>
      <c r="S170" s="91">
        <v>0.82209675633787205</v>
      </c>
    </row>
    <row r="171" spans="1:19" s="5" customFormat="1" x14ac:dyDescent="0.2">
      <c r="A171" s="90" t="s">
        <v>508</v>
      </c>
      <c r="B171" s="90" t="s">
        <v>45</v>
      </c>
      <c r="C171" s="90" t="s">
        <v>505</v>
      </c>
      <c r="D171" s="90"/>
      <c r="E171" s="90" t="s">
        <v>17</v>
      </c>
      <c r="F171" s="90"/>
      <c r="G171" s="90" t="s">
        <v>406</v>
      </c>
      <c r="H171" s="90"/>
      <c r="I171" s="90"/>
      <c r="J171" s="90"/>
      <c r="K171" s="90"/>
      <c r="L171" s="90">
        <v>5</v>
      </c>
      <c r="M171" s="90">
        <v>5</v>
      </c>
      <c r="N171" s="90"/>
      <c r="O171" s="90"/>
      <c r="P171" s="91">
        <v>0.35799999999999998</v>
      </c>
      <c r="Q171" s="91">
        <v>0.114</v>
      </c>
      <c r="R171" s="91">
        <v>0.873</v>
      </c>
      <c r="S171" s="91">
        <v>0.82209675633787205</v>
      </c>
    </row>
    <row r="172" spans="1:19" s="5" customFormat="1" x14ac:dyDescent="0.2">
      <c r="A172" s="90" t="s">
        <v>512</v>
      </c>
      <c r="B172" s="90" t="s">
        <v>45</v>
      </c>
      <c r="C172" s="90" t="s">
        <v>505</v>
      </c>
      <c r="D172" s="90"/>
      <c r="E172" s="90" t="s">
        <v>17</v>
      </c>
      <c r="F172" s="90"/>
      <c r="G172" s="90" t="s">
        <v>406</v>
      </c>
      <c r="H172" s="90"/>
      <c r="I172" s="90"/>
      <c r="J172" s="90"/>
      <c r="K172" s="90"/>
      <c r="L172" s="90">
        <v>65</v>
      </c>
      <c r="M172" s="90">
        <v>65</v>
      </c>
      <c r="N172" s="90"/>
      <c r="O172" s="90"/>
      <c r="P172" s="91">
        <v>0.35799999999999998</v>
      </c>
      <c r="Q172" s="91">
        <v>0.114</v>
      </c>
      <c r="R172" s="91">
        <v>0.873</v>
      </c>
      <c r="S172" s="91">
        <v>0.82209675633787205</v>
      </c>
    </row>
    <row r="173" spans="1:19" s="5" customFormat="1" x14ac:dyDescent="0.2">
      <c r="A173" s="90" t="s">
        <v>522</v>
      </c>
      <c r="B173" s="90" t="s">
        <v>45</v>
      </c>
      <c r="C173" s="90" t="s">
        <v>447</v>
      </c>
      <c r="D173" s="90"/>
      <c r="E173" s="90" t="s">
        <v>17</v>
      </c>
      <c r="F173" s="90" t="s">
        <v>25</v>
      </c>
      <c r="G173" s="90" t="s">
        <v>406</v>
      </c>
      <c r="H173" s="90"/>
      <c r="I173" s="90"/>
      <c r="J173" s="90"/>
      <c r="K173" s="90"/>
      <c r="L173" s="90">
        <v>48</v>
      </c>
      <c r="M173" s="90">
        <v>48</v>
      </c>
      <c r="N173" s="90"/>
      <c r="O173" s="90"/>
      <c r="P173" s="91">
        <v>0.47699999999999998</v>
      </c>
      <c r="Q173" s="91">
        <v>0.372</v>
      </c>
      <c r="R173" s="91">
        <v>0.66300000000000003</v>
      </c>
      <c r="S173" s="91">
        <v>0.36001328462304799</v>
      </c>
    </row>
    <row r="174" spans="1:19" s="5" customFormat="1" x14ac:dyDescent="0.2">
      <c r="A174" s="90" t="s">
        <v>571</v>
      </c>
      <c r="B174" s="90" t="s">
        <v>45</v>
      </c>
      <c r="C174" s="90" t="s">
        <v>505</v>
      </c>
      <c r="D174" s="90"/>
      <c r="E174" s="90" t="s">
        <v>17</v>
      </c>
      <c r="F174" s="90"/>
      <c r="G174" s="90" t="s">
        <v>406</v>
      </c>
      <c r="H174" s="90"/>
      <c r="I174" s="90"/>
      <c r="J174" s="90"/>
      <c r="K174" s="90"/>
      <c r="L174" s="90">
        <v>4</v>
      </c>
      <c r="M174" s="90">
        <v>4</v>
      </c>
      <c r="N174" s="90"/>
      <c r="O174" s="90"/>
      <c r="P174" s="91">
        <v>0.35799999999999998</v>
      </c>
      <c r="Q174" s="91">
        <v>0.114</v>
      </c>
      <c r="R174" s="91">
        <v>0.873</v>
      </c>
      <c r="S174" s="91">
        <v>0.82209675633787205</v>
      </c>
    </row>
    <row r="175" spans="1:19" s="5" customFormat="1" x14ac:dyDescent="0.2">
      <c r="A175" s="90" t="s">
        <v>573</v>
      </c>
      <c r="B175" s="90" t="s">
        <v>45</v>
      </c>
      <c r="C175" s="90" t="s">
        <v>505</v>
      </c>
      <c r="D175" s="90"/>
      <c r="E175" s="90" t="s">
        <v>17</v>
      </c>
      <c r="F175" s="90"/>
      <c r="G175" s="90" t="s">
        <v>406</v>
      </c>
      <c r="H175" s="90"/>
      <c r="I175" s="90"/>
      <c r="J175" s="90"/>
      <c r="K175" s="90"/>
      <c r="L175" s="90">
        <v>43</v>
      </c>
      <c r="M175" s="90">
        <v>43</v>
      </c>
      <c r="N175" s="90"/>
      <c r="O175" s="90"/>
      <c r="P175" s="91">
        <v>0.35799999999999998</v>
      </c>
      <c r="Q175" s="91">
        <v>0.114</v>
      </c>
      <c r="R175" s="91">
        <v>0.873</v>
      </c>
      <c r="S175" s="91">
        <v>0.82209675633787205</v>
      </c>
    </row>
    <row r="176" spans="1:19" s="5" customFormat="1" x14ac:dyDescent="0.2">
      <c r="A176" s="90" t="s">
        <v>575</v>
      </c>
      <c r="B176" s="90" t="s">
        <v>45</v>
      </c>
      <c r="C176" s="90" t="s">
        <v>505</v>
      </c>
      <c r="D176" s="90"/>
      <c r="E176" s="90" t="s">
        <v>17</v>
      </c>
      <c r="F176" s="90"/>
      <c r="G176" s="90" t="s">
        <v>406</v>
      </c>
      <c r="H176" s="90"/>
      <c r="I176" s="90"/>
      <c r="J176" s="90"/>
      <c r="K176" s="90"/>
      <c r="L176" s="90">
        <v>8</v>
      </c>
      <c r="M176" s="90">
        <v>8</v>
      </c>
      <c r="N176" s="90"/>
      <c r="O176" s="90"/>
      <c r="P176" s="91">
        <v>0.35799999999999998</v>
      </c>
      <c r="Q176" s="91">
        <v>0.114</v>
      </c>
      <c r="R176" s="91">
        <v>0.873</v>
      </c>
      <c r="S176" s="91">
        <v>0.82209675633787205</v>
      </c>
    </row>
    <row r="177" spans="1:19" s="5" customFormat="1" x14ac:dyDescent="0.2">
      <c r="A177" s="90" t="s">
        <v>631</v>
      </c>
      <c r="B177" s="90" t="s">
        <v>45</v>
      </c>
      <c r="C177" s="90" t="s">
        <v>447</v>
      </c>
      <c r="D177" s="90"/>
      <c r="E177" s="90" t="s">
        <v>17</v>
      </c>
      <c r="F177" s="90"/>
      <c r="G177" s="90" t="s">
        <v>406</v>
      </c>
      <c r="H177" s="90"/>
      <c r="I177" s="90"/>
      <c r="J177" s="90"/>
      <c r="K177" s="90"/>
      <c r="L177" s="90">
        <v>36</v>
      </c>
      <c r="M177" s="90">
        <v>36</v>
      </c>
      <c r="N177" s="90"/>
      <c r="O177" s="90"/>
      <c r="P177" s="91">
        <v>0.47699999999999998</v>
      </c>
      <c r="Q177" s="91">
        <v>0.372</v>
      </c>
      <c r="R177" s="91">
        <v>0.66300000000000003</v>
      </c>
      <c r="S177" s="91">
        <v>0.36001328462304799</v>
      </c>
    </row>
    <row r="178" spans="1:19" s="5" customFormat="1" x14ac:dyDescent="0.2">
      <c r="A178" s="90" t="s">
        <v>643</v>
      </c>
      <c r="B178" s="90" t="s">
        <v>45</v>
      </c>
      <c r="C178" s="90" t="s">
        <v>644</v>
      </c>
      <c r="D178" s="90"/>
      <c r="E178" s="90" t="s">
        <v>17</v>
      </c>
      <c r="F178" s="90"/>
      <c r="G178" s="90" t="s">
        <v>406</v>
      </c>
      <c r="H178" s="90"/>
      <c r="I178" s="90"/>
      <c r="J178" s="90"/>
      <c r="K178" s="90"/>
      <c r="L178" s="90">
        <v>66</v>
      </c>
      <c r="M178" s="90">
        <v>66</v>
      </c>
      <c r="N178" s="90"/>
      <c r="O178" s="90"/>
      <c r="P178" s="91">
        <v>0.57299999999999995</v>
      </c>
      <c r="Q178" s="91">
        <v>0.35599999999999998</v>
      </c>
      <c r="R178" s="91">
        <v>0.90400000000000003</v>
      </c>
      <c r="S178" s="91">
        <v>0.61740285619395496</v>
      </c>
    </row>
    <row r="179" spans="1:19" s="5" customFormat="1" x14ac:dyDescent="0.2">
      <c r="A179" s="90" t="s">
        <v>679</v>
      </c>
      <c r="B179" s="90" t="s">
        <v>45</v>
      </c>
      <c r="C179" s="90" t="s">
        <v>453</v>
      </c>
      <c r="D179" s="90"/>
      <c r="E179" s="90" t="s">
        <v>17</v>
      </c>
      <c r="F179" s="90"/>
      <c r="G179" s="90" t="s">
        <v>406</v>
      </c>
      <c r="H179" s="90"/>
      <c r="I179" s="90"/>
      <c r="J179" s="90"/>
      <c r="K179" s="90"/>
      <c r="L179" s="90">
        <v>400</v>
      </c>
      <c r="M179" s="90">
        <v>400</v>
      </c>
      <c r="N179" s="90"/>
      <c r="O179" s="90"/>
      <c r="P179" s="91">
        <v>0.68899999999999995</v>
      </c>
      <c r="Q179" s="91">
        <v>0.13900000000000001</v>
      </c>
      <c r="R179" s="91">
        <v>0.90300000000000002</v>
      </c>
      <c r="S179" s="91">
        <v>0.57101738071515495</v>
      </c>
    </row>
    <row r="180" spans="1:19" s="5" customFormat="1" x14ac:dyDescent="0.2">
      <c r="A180" s="90" t="s">
        <v>446</v>
      </c>
      <c r="B180" s="90" t="s">
        <v>45</v>
      </c>
      <c r="C180" s="92" t="s">
        <v>447</v>
      </c>
      <c r="D180" s="92"/>
      <c r="E180" s="90" t="s">
        <v>17</v>
      </c>
      <c r="F180" s="90" t="s">
        <v>25</v>
      </c>
      <c r="G180" s="90"/>
      <c r="H180" s="90"/>
      <c r="I180" s="90"/>
      <c r="J180" s="90" t="s">
        <v>26</v>
      </c>
      <c r="K180" s="90"/>
      <c r="L180" s="90">
        <v>20</v>
      </c>
      <c r="M180" s="90">
        <v>20</v>
      </c>
      <c r="N180" s="90"/>
      <c r="O180" s="90"/>
      <c r="P180" s="93">
        <v>0.48</v>
      </c>
      <c r="Q180" s="93">
        <v>0.372</v>
      </c>
      <c r="R180" s="91">
        <v>0.66300000000000003</v>
      </c>
      <c r="S180" s="91">
        <v>0.36001328462304799</v>
      </c>
    </row>
    <row r="181" spans="1:19" s="5" customFormat="1" x14ac:dyDescent="0.2">
      <c r="A181" s="90" t="s">
        <v>81</v>
      </c>
      <c r="B181" s="90" t="s">
        <v>45</v>
      </c>
      <c r="C181" s="92" t="s">
        <v>82</v>
      </c>
      <c r="D181" s="92"/>
      <c r="E181" s="90" t="s">
        <v>17</v>
      </c>
      <c r="F181" s="90" t="s">
        <v>25</v>
      </c>
      <c r="G181" s="90"/>
      <c r="H181" s="90"/>
      <c r="I181" s="90"/>
      <c r="J181" s="90" t="s">
        <v>26</v>
      </c>
      <c r="K181" s="90"/>
      <c r="L181" s="90">
        <v>164</v>
      </c>
      <c r="M181" s="90">
        <v>164</v>
      </c>
      <c r="N181" s="90"/>
      <c r="O181" s="90"/>
      <c r="P181" s="93">
        <v>0.27</v>
      </c>
      <c r="Q181" s="93">
        <v>0.77300000000000002</v>
      </c>
      <c r="R181" s="91">
        <v>0.106</v>
      </c>
      <c r="S181" s="91">
        <v>0.381268681501162</v>
      </c>
    </row>
    <row r="182" spans="1:19" s="5" customFormat="1" x14ac:dyDescent="0.2">
      <c r="A182" s="90" t="s">
        <v>232</v>
      </c>
      <c r="B182" s="90" t="s">
        <v>45</v>
      </c>
      <c r="C182" s="90" t="s">
        <v>172</v>
      </c>
      <c r="D182" s="90"/>
      <c r="E182" s="90" t="s">
        <v>17</v>
      </c>
      <c r="F182" s="90"/>
      <c r="G182" s="90"/>
      <c r="H182" s="90"/>
      <c r="I182" s="90"/>
      <c r="J182" s="90" t="s">
        <v>26</v>
      </c>
      <c r="K182" s="90"/>
      <c r="L182" s="90">
        <v>166</v>
      </c>
      <c r="M182" s="90">
        <v>50</v>
      </c>
      <c r="N182" s="90"/>
      <c r="O182" s="90"/>
      <c r="P182" s="91">
        <v>0.50700000000000001</v>
      </c>
      <c r="Q182" s="91">
        <v>0.13400000000000001</v>
      </c>
      <c r="R182" s="91">
        <v>0.80600000000000005</v>
      </c>
      <c r="S182" s="91">
        <v>0.63378722462083403</v>
      </c>
    </row>
    <row r="183" spans="1:19" s="5" customFormat="1" x14ac:dyDescent="0.2">
      <c r="A183" s="90" t="s">
        <v>171</v>
      </c>
      <c r="B183" s="90" t="s">
        <v>45</v>
      </c>
      <c r="C183" s="90" t="s">
        <v>172</v>
      </c>
      <c r="D183" s="90"/>
      <c r="E183" s="90" t="s">
        <v>17</v>
      </c>
      <c r="F183" s="90"/>
      <c r="G183" s="90"/>
      <c r="H183" s="90"/>
      <c r="I183" s="90"/>
      <c r="J183" s="90" t="s">
        <v>26</v>
      </c>
      <c r="K183" s="90"/>
      <c r="L183" s="90">
        <v>183</v>
      </c>
      <c r="M183" s="90">
        <v>183</v>
      </c>
      <c r="N183" s="90"/>
      <c r="O183" s="90"/>
      <c r="P183" s="91">
        <v>0.50700000000000001</v>
      </c>
      <c r="Q183" s="91">
        <v>0.13400000000000001</v>
      </c>
      <c r="R183" s="91">
        <v>0.80600000000000005</v>
      </c>
      <c r="S183" s="91">
        <v>0.63378722462083403</v>
      </c>
    </row>
    <row r="184" spans="1:19" s="5" customFormat="1" x14ac:dyDescent="0.2">
      <c r="A184" s="90" t="s">
        <v>427</v>
      </c>
      <c r="B184" s="90" t="s">
        <v>30</v>
      </c>
      <c r="C184" s="90" t="s">
        <v>120</v>
      </c>
      <c r="D184" s="90"/>
      <c r="E184" s="90" t="s">
        <v>17</v>
      </c>
      <c r="F184" s="90"/>
      <c r="G184" s="90" t="s">
        <v>406</v>
      </c>
      <c r="H184" s="90"/>
      <c r="I184" s="90"/>
      <c r="J184" s="90"/>
      <c r="K184" s="90"/>
      <c r="L184" s="90">
        <v>200</v>
      </c>
      <c r="M184" s="90">
        <v>23</v>
      </c>
      <c r="N184" s="90"/>
      <c r="O184" s="90"/>
      <c r="P184" s="91">
        <v>0.221</v>
      </c>
      <c r="Q184" s="91">
        <v>0.59899999999999998</v>
      </c>
      <c r="R184" s="91">
        <v>0.98799999999999999</v>
      </c>
      <c r="S184" s="91">
        <v>0.614745931584191</v>
      </c>
    </row>
    <row r="185" spans="1:19" s="5" customFormat="1" x14ac:dyDescent="0.2">
      <c r="A185" s="90" t="s">
        <v>430</v>
      </c>
      <c r="B185" s="90" t="s">
        <v>30</v>
      </c>
      <c r="C185" s="90" t="s">
        <v>221</v>
      </c>
      <c r="D185" s="90"/>
      <c r="E185" s="90" t="s">
        <v>17</v>
      </c>
      <c r="F185" s="90"/>
      <c r="G185" s="90" t="s">
        <v>406</v>
      </c>
      <c r="H185" s="90"/>
      <c r="I185" s="90"/>
      <c r="J185" s="90"/>
      <c r="K185" s="90"/>
      <c r="L185" s="90">
        <v>115</v>
      </c>
      <c r="M185" s="90">
        <v>18</v>
      </c>
      <c r="N185" s="90"/>
      <c r="O185" s="90"/>
      <c r="P185" s="91">
        <v>0.54200000000000004</v>
      </c>
      <c r="Q185" s="91">
        <v>0.52600000000000002</v>
      </c>
      <c r="R185" s="91">
        <v>0.97099999999999997</v>
      </c>
      <c r="S185" s="91">
        <v>0.57777039743163905</v>
      </c>
    </row>
    <row r="186" spans="1:19" s="5" customFormat="1" x14ac:dyDescent="0.2">
      <c r="A186" s="90" t="s">
        <v>438</v>
      </c>
      <c r="B186" s="90" t="s">
        <v>30</v>
      </c>
      <c r="C186" s="90" t="s">
        <v>31</v>
      </c>
      <c r="D186" s="90"/>
      <c r="E186" s="90" t="s">
        <v>17</v>
      </c>
      <c r="F186" s="90"/>
      <c r="G186" s="90" t="s">
        <v>406</v>
      </c>
      <c r="H186" s="90"/>
      <c r="I186" s="90"/>
      <c r="J186" s="90"/>
      <c r="K186" s="90"/>
      <c r="L186" s="90">
        <v>210</v>
      </c>
      <c r="M186" s="90">
        <v>12</v>
      </c>
      <c r="N186" s="90"/>
      <c r="O186" s="90"/>
      <c r="P186" s="91">
        <v>0.76100000000000001</v>
      </c>
      <c r="Q186" s="91">
        <v>4.9000000000000002E-2</v>
      </c>
      <c r="R186" s="91">
        <v>0.997</v>
      </c>
      <c r="S186" s="91">
        <v>0.326580316616849</v>
      </c>
    </row>
    <row r="187" spans="1:19" s="5" customFormat="1" x14ac:dyDescent="0.2">
      <c r="A187" s="90" t="s">
        <v>463</v>
      </c>
      <c r="B187" s="90" t="s">
        <v>30</v>
      </c>
      <c r="C187" s="92" t="s">
        <v>120</v>
      </c>
      <c r="D187" s="92"/>
      <c r="E187" s="90" t="s">
        <v>17</v>
      </c>
      <c r="F187" s="90" t="s">
        <v>25</v>
      </c>
      <c r="G187" s="90" t="s">
        <v>406</v>
      </c>
      <c r="H187" s="90"/>
      <c r="I187" s="90"/>
      <c r="J187" s="90"/>
      <c r="K187" s="90"/>
      <c r="L187" s="90">
        <v>290</v>
      </c>
      <c r="M187" s="90">
        <v>58</v>
      </c>
      <c r="N187" s="90"/>
      <c r="O187" s="90"/>
      <c r="P187" s="93">
        <v>0.22</v>
      </c>
      <c r="Q187" s="93">
        <v>0.59899999999999998</v>
      </c>
      <c r="R187" s="91">
        <v>0.98799999999999999</v>
      </c>
      <c r="S187" s="91">
        <v>0.614745931584191</v>
      </c>
    </row>
    <row r="188" spans="1:19" s="5" customFormat="1" x14ac:dyDescent="0.2">
      <c r="A188" s="90" t="s">
        <v>490</v>
      </c>
      <c r="B188" s="90" t="s">
        <v>30</v>
      </c>
      <c r="C188" s="90" t="s">
        <v>491</v>
      </c>
      <c r="D188" s="90"/>
      <c r="E188" s="90" t="s">
        <v>17</v>
      </c>
      <c r="F188" s="90" t="s">
        <v>25</v>
      </c>
      <c r="G188" s="90" t="s">
        <v>406</v>
      </c>
      <c r="H188" s="90"/>
      <c r="I188" s="90"/>
      <c r="J188" s="90"/>
      <c r="K188" s="90"/>
      <c r="L188" s="90">
        <v>176</v>
      </c>
      <c r="M188" s="90">
        <v>8</v>
      </c>
      <c r="N188" s="90"/>
      <c r="O188" s="90"/>
      <c r="P188" s="91">
        <v>0.41099999999999998</v>
      </c>
      <c r="Q188" s="91">
        <v>0.59899999999999998</v>
      </c>
      <c r="R188" s="91">
        <v>0.65</v>
      </c>
      <c r="S188" s="91">
        <v>0.47802501937340802</v>
      </c>
    </row>
    <row r="189" spans="1:19" s="5" customFormat="1" x14ac:dyDescent="0.2">
      <c r="A189" s="90" t="s">
        <v>125</v>
      </c>
      <c r="B189" s="90" t="s">
        <v>30</v>
      </c>
      <c r="C189" s="90" t="s">
        <v>126</v>
      </c>
      <c r="D189" s="90"/>
      <c r="E189" s="90" t="s">
        <v>17</v>
      </c>
      <c r="F189" s="90" t="s">
        <v>25</v>
      </c>
      <c r="G189" s="90" t="s">
        <v>406</v>
      </c>
      <c r="H189" s="90"/>
      <c r="I189" s="90"/>
      <c r="J189" s="90"/>
      <c r="K189" s="90"/>
      <c r="L189" s="90">
        <v>136</v>
      </c>
      <c r="M189" s="90">
        <v>17</v>
      </c>
      <c r="N189" s="90"/>
      <c r="O189" s="90"/>
      <c r="P189" s="91">
        <v>0.64100000000000001</v>
      </c>
      <c r="Q189" s="91">
        <v>0.52800000000000002</v>
      </c>
      <c r="R189" s="91">
        <v>0.34799999999999998</v>
      </c>
      <c r="S189" s="91">
        <v>0.348278534263256</v>
      </c>
    </row>
    <row r="190" spans="1:19" s="5" customFormat="1" x14ac:dyDescent="0.2">
      <c r="A190" s="90" t="s">
        <v>73</v>
      </c>
      <c r="B190" s="90" t="s">
        <v>30</v>
      </c>
      <c r="C190" s="90" t="s">
        <v>74</v>
      </c>
      <c r="D190" s="90"/>
      <c r="E190" s="90" t="s">
        <v>17</v>
      </c>
      <c r="F190" s="90" t="s">
        <v>25</v>
      </c>
      <c r="G190" s="90" t="s">
        <v>406</v>
      </c>
      <c r="H190" s="90"/>
      <c r="I190" s="90"/>
      <c r="J190" s="90"/>
      <c r="K190" s="90"/>
      <c r="L190" s="90">
        <v>288</v>
      </c>
      <c r="M190" s="90">
        <v>2</v>
      </c>
      <c r="N190" s="90"/>
      <c r="O190" s="90"/>
      <c r="P190" s="91">
        <v>0.64</v>
      </c>
      <c r="Q190" s="91">
        <v>0.95099999999999996</v>
      </c>
      <c r="R190" s="91">
        <v>0.186</v>
      </c>
      <c r="S190" s="91">
        <v>9.2549540573452799E-2</v>
      </c>
    </row>
    <row r="191" spans="1:19" s="5" customFormat="1" x14ac:dyDescent="0.2">
      <c r="A191" s="90" t="s">
        <v>176</v>
      </c>
      <c r="B191" s="90" t="s">
        <v>30</v>
      </c>
      <c r="C191" s="90" t="s">
        <v>120</v>
      </c>
      <c r="D191" s="90"/>
      <c r="E191" s="90" t="s">
        <v>17</v>
      </c>
      <c r="F191" s="90" t="s">
        <v>25</v>
      </c>
      <c r="G191" s="90" t="s">
        <v>406</v>
      </c>
      <c r="H191" s="90"/>
      <c r="I191" s="90"/>
      <c r="J191" s="90"/>
      <c r="K191" s="90"/>
      <c r="L191" s="90">
        <v>71</v>
      </c>
      <c r="M191" s="90">
        <v>71</v>
      </c>
      <c r="N191" s="90"/>
      <c r="O191" s="90"/>
      <c r="P191" s="91">
        <v>0.221</v>
      </c>
      <c r="Q191" s="91">
        <v>0.59899999999999998</v>
      </c>
      <c r="R191" s="91">
        <v>0.98799999999999999</v>
      </c>
      <c r="S191" s="91">
        <v>0.614745931584191</v>
      </c>
    </row>
    <row r="192" spans="1:19" s="5" customFormat="1" x14ac:dyDescent="0.2">
      <c r="A192" s="90" t="s">
        <v>344</v>
      </c>
      <c r="B192" s="90" t="s">
        <v>30</v>
      </c>
      <c r="C192" s="90" t="s">
        <v>345</v>
      </c>
      <c r="D192" s="90"/>
      <c r="E192" s="90" t="s">
        <v>17</v>
      </c>
      <c r="F192" s="90" t="s">
        <v>25</v>
      </c>
      <c r="G192" s="90" t="s">
        <v>406</v>
      </c>
      <c r="H192" s="90"/>
      <c r="I192" s="90"/>
      <c r="J192" s="90"/>
      <c r="K192" s="90"/>
      <c r="L192" s="90">
        <v>50</v>
      </c>
      <c r="M192" s="90">
        <v>35</v>
      </c>
      <c r="N192" s="90"/>
      <c r="O192" s="90"/>
      <c r="P192" s="91">
        <v>0.98099999999999998</v>
      </c>
      <c r="Q192" s="91">
        <v>7.0000000000000007E-2</v>
      </c>
      <c r="R192" s="91">
        <v>1</v>
      </c>
      <c r="S192" s="91">
        <v>0.42521864275434501</v>
      </c>
    </row>
    <row r="193" spans="1:19" s="5" customFormat="1" x14ac:dyDescent="0.2">
      <c r="A193" s="90" t="s">
        <v>308</v>
      </c>
      <c r="B193" s="90" t="s">
        <v>30</v>
      </c>
      <c r="C193" s="90" t="s">
        <v>31</v>
      </c>
      <c r="D193" s="90"/>
      <c r="E193" s="90" t="s">
        <v>17</v>
      </c>
      <c r="F193" s="90"/>
      <c r="G193" s="90" t="s">
        <v>406</v>
      </c>
      <c r="H193" s="90"/>
      <c r="I193" s="90"/>
      <c r="J193" s="90"/>
      <c r="K193" s="90"/>
      <c r="L193" s="90">
        <v>221</v>
      </c>
      <c r="M193" s="90">
        <v>17</v>
      </c>
      <c r="N193" s="90"/>
      <c r="O193" s="90"/>
      <c r="P193" s="91">
        <v>0.76100000000000001</v>
      </c>
      <c r="Q193" s="91">
        <v>4.9000000000000002E-2</v>
      </c>
      <c r="R193" s="91">
        <v>0.997</v>
      </c>
      <c r="S193" s="91">
        <v>0.326580316616849</v>
      </c>
    </row>
    <row r="194" spans="1:19" s="5" customFormat="1" x14ac:dyDescent="0.2">
      <c r="A194" s="90" t="s">
        <v>119</v>
      </c>
      <c r="B194" s="90" t="s">
        <v>30</v>
      </c>
      <c r="C194" s="92" t="s">
        <v>120</v>
      </c>
      <c r="D194" s="92"/>
      <c r="E194" s="90" t="s">
        <v>17</v>
      </c>
      <c r="F194" s="90" t="s">
        <v>25</v>
      </c>
      <c r="G194" s="90" t="s">
        <v>406</v>
      </c>
      <c r="H194" s="90"/>
      <c r="I194" s="90"/>
      <c r="J194" s="90"/>
      <c r="K194" s="90"/>
      <c r="L194" s="90">
        <v>192</v>
      </c>
      <c r="M194" s="90">
        <v>192</v>
      </c>
      <c r="N194" s="90"/>
      <c r="O194" s="90"/>
      <c r="P194" s="93">
        <v>0.22</v>
      </c>
      <c r="Q194" s="93">
        <v>0.59899999999999998</v>
      </c>
      <c r="R194" s="91">
        <v>0.98799999999999999</v>
      </c>
      <c r="S194" s="91">
        <v>0.614745931584191</v>
      </c>
    </row>
    <row r="195" spans="1:19" s="5" customFormat="1" x14ac:dyDescent="0.2">
      <c r="A195" s="90" t="s">
        <v>156</v>
      </c>
      <c r="B195" s="90" t="s">
        <v>30</v>
      </c>
      <c r="C195" s="90" t="s">
        <v>120</v>
      </c>
      <c r="D195" s="90"/>
      <c r="E195" s="90" t="s">
        <v>17</v>
      </c>
      <c r="F195" s="90" t="s">
        <v>25</v>
      </c>
      <c r="G195" s="90" t="s">
        <v>406</v>
      </c>
      <c r="H195" s="90"/>
      <c r="I195" s="90"/>
      <c r="J195" s="90"/>
      <c r="K195" s="90"/>
      <c r="L195" s="90">
        <v>132</v>
      </c>
      <c r="M195" s="90">
        <v>27</v>
      </c>
      <c r="N195" s="90"/>
      <c r="O195" s="90"/>
      <c r="P195" s="91">
        <v>0.221</v>
      </c>
      <c r="Q195" s="91">
        <v>0.59899999999999998</v>
      </c>
      <c r="R195" s="91">
        <v>0.98799999999999999</v>
      </c>
      <c r="S195" s="91">
        <v>0.614745931584191</v>
      </c>
    </row>
    <row r="196" spans="1:19" s="5" customFormat="1" x14ac:dyDescent="0.2">
      <c r="A196" s="90" t="s">
        <v>354</v>
      </c>
      <c r="B196" s="90" t="s">
        <v>30</v>
      </c>
      <c r="C196" s="90" t="s">
        <v>355</v>
      </c>
      <c r="D196" s="90"/>
      <c r="E196" s="90" t="s">
        <v>17</v>
      </c>
      <c r="F196" s="90" t="s">
        <v>25</v>
      </c>
      <c r="G196" s="90" t="s">
        <v>406</v>
      </c>
      <c r="H196" s="90"/>
      <c r="I196" s="90"/>
      <c r="J196" s="90"/>
      <c r="K196" s="90"/>
      <c r="L196" s="90">
        <v>120</v>
      </c>
      <c r="M196" s="90">
        <v>120</v>
      </c>
      <c r="N196" s="90"/>
      <c r="O196" s="90"/>
      <c r="P196" s="91">
        <v>9.5000000000000001E-2</v>
      </c>
      <c r="Q196" s="91">
        <v>0.96199999999999997</v>
      </c>
      <c r="R196" s="91">
        <v>0.70899999999999996</v>
      </c>
      <c r="S196" s="91">
        <v>0.21986051145798699</v>
      </c>
    </row>
    <row r="197" spans="1:19" s="5" customFormat="1" x14ac:dyDescent="0.2">
      <c r="A197" s="90" t="s">
        <v>92</v>
      </c>
      <c r="B197" s="90" t="s">
        <v>30</v>
      </c>
      <c r="C197" s="92" t="s">
        <v>93</v>
      </c>
      <c r="D197" s="92"/>
      <c r="E197" s="90" t="s">
        <v>17</v>
      </c>
      <c r="F197" s="90" t="s">
        <v>25</v>
      </c>
      <c r="G197" s="90" t="s">
        <v>406</v>
      </c>
      <c r="H197" s="90"/>
      <c r="I197" s="90"/>
      <c r="J197" s="90"/>
      <c r="K197" s="90"/>
      <c r="L197" s="90">
        <v>162</v>
      </c>
      <c r="M197" s="90">
        <v>161</v>
      </c>
      <c r="N197" s="90"/>
      <c r="O197" s="90"/>
      <c r="P197" s="93">
        <v>0.05</v>
      </c>
      <c r="Q197" s="93">
        <v>0.81100000000000005</v>
      </c>
      <c r="R197" s="91">
        <v>0.26600000000000001</v>
      </c>
      <c r="S197" s="91">
        <v>0.24166943429646801</v>
      </c>
    </row>
    <row r="198" spans="1:19" s="5" customFormat="1" x14ac:dyDescent="0.2">
      <c r="A198" s="90" t="s">
        <v>496</v>
      </c>
      <c r="B198" s="90" t="s">
        <v>30</v>
      </c>
      <c r="C198" s="90" t="s">
        <v>497</v>
      </c>
      <c r="D198" s="90"/>
      <c r="E198" s="90" t="s">
        <v>17</v>
      </c>
      <c r="F198" s="90" t="s">
        <v>25</v>
      </c>
      <c r="G198" s="90" t="s">
        <v>406</v>
      </c>
      <c r="H198" s="90"/>
      <c r="I198" s="90"/>
      <c r="J198" s="90"/>
      <c r="K198" s="90"/>
      <c r="L198" s="90">
        <v>168</v>
      </c>
      <c r="M198" s="90">
        <v>12</v>
      </c>
      <c r="N198" s="90"/>
      <c r="O198" s="90"/>
      <c r="P198" s="91">
        <v>0.214</v>
      </c>
      <c r="Q198" s="91">
        <v>0.84599999999999997</v>
      </c>
      <c r="R198" s="91">
        <v>0.57899999999999996</v>
      </c>
      <c r="S198" s="91">
        <v>0.235469943540352</v>
      </c>
    </row>
    <row r="199" spans="1:19" s="5" customFormat="1" x14ac:dyDescent="0.2">
      <c r="A199" s="90" t="s">
        <v>498</v>
      </c>
      <c r="B199" s="90" t="s">
        <v>30</v>
      </c>
      <c r="C199" s="90" t="s">
        <v>395</v>
      </c>
      <c r="D199" s="90"/>
      <c r="E199" s="90" t="s">
        <v>17</v>
      </c>
      <c r="F199" s="90" t="s">
        <v>25</v>
      </c>
      <c r="G199" s="90" t="s">
        <v>406</v>
      </c>
      <c r="H199" s="90"/>
      <c r="I199" s="90"/>
      <c r="J199" s="90"/>
      <c r="K199" s="90"/>
      <c r="L199" s="90">
        <v>604</v>
      </c>
      <c r="M199" s="90">
        <v>65</v>
      </c>
      <c r="N199" s="90"/>
      <c r="O199" s="90"/>
      <c r="P199" s="91">
        <v>0.55200000000000005</v>
      </c>
      <c r="Q199" s="91">
        <v>0.628</v>
      </c>
      <c r="R199" s="91">
        <v>0.496</v>
      </c>
      <c r="S199" s="91">
        <v>0.42189748699213903</v>
      </c>
    </row>
    <row r="200" spans="1:19" s="5" customFormat="1" x14ac:dyDescent="0.2">
      <c r="A200" s="90" t="s">
        <v>517</v>
      </c>
      <c r="B200" s="90" t="s">
        <v>30</v>
      </c>
      <c r="C200" s="92" t="s">
        <v>518</v>
      </c>
      <c r="D200" s="92"/>
      <c r="E200" s="90" t="s">
        <v>17</v>
      </c>
      <c r="F200" s="90" t="s">
        <v>25</v>
      </c>
      <c r="G200" s="90" t="s">
        <v>406</v>
      </c>
      <c r="H200" s="90"/>
      <c r="I200" s="90"/>
      <c r="J200" s="90"/>
      <c r="K200" s="90"/>
      <c r="L200" s="90">
        <v>60</v>
      </c>
      <c r="M200" s="90">
        <v>60</v>
      </c>
      <c r="N200" s="90"/>
      <c r="O200" s="90"/>
      <c r="P200" s="93">
        <v>0.56999999999999995</v>
      </c>
      <c r="Q200" s="93">
        <v>0.60299999999999998</v>
      </c>
      <c r="R200" s="91">
        <v>0.441</v>
      </c>
      <c r="S200" s="91">
        <v>0.43927820214767999</v>
      </c>
    </row>
    <row r="201" spans="1:19" s="5" customFormat="1" x14ac:dyDescent="0.2">
      <c r="A201" s="90" t="s">
        <v>607</v>
      </c>
      <c r="B201" s="90" t="s">
        <v>30</v>
      </c>
      <c r="C201" s="92" t="s">
        <v>395</v>
      </c>
      <c r="D201" s="92"/>
      <c r="E201" s="90" t="s">
        <v>17</v>
      </c>
      <c r="F201" s="90" t="s">
        <v>25</v>
      </c>
      <c r="G201" s="90" t="s">
        <v>406</v>
      </c>
      <c r="H201" s="90"/>
      <c r="I201" s="90"/>
      <c r="J201" s="90"/>
      <c r="K201" s="90"/>
      <c r="L201" s="90">
        <v>80</v>
      </c>
      <c r="M201" s="90">
        <v>45</v>
      </c>
      <c r="N201" s="90"/>
      <c r="O201" s="90"/>
      <c r="P201" s="93">
        <v>0.55000000000000004</v>
      </c>
      <c r="Q201" s="93">
        <v>0.628</v>
      </c>
      <c r="R201" s="91">
        <v>0.496</v>
      </c>
      <c r="S201" s="91">
        <v>0.42189748699213903</v>
      </c>
    </row>
    <row r="202" spans="1:19" s="5" customFormat="1" x14ac:dyDescent="0.2">
      <c r="A202" s="90" t="s">
        <v>612</v>
      </c>
      <c r="B202" s="90" t="s">
        <v>30</v>
      </c>
      <c r="C202" s="90" t="s">
        <v>613</v>
      </c>
      <c r="D202" s="90"/>
      <c r="E202" s="90" t="s">
        <v>17</v>
      </c>
      <c r="F202" s="90" t="s">
        <v>25</v>
      </c>
      <c r="G202" s="90" t="s">
        <v>406</v>
      </c>
      <c r="H202" s="90"/>
      <c r="I202" s="90"/>
      <c r="J202" s="90"/>
      <c r="K202" s="90"/>
      <c r="L202" s="90">
        <v>247</v>
      </c>
      <c r="M202" s="90">
        <v>23</v>
      </c>
      <c r="N202" s="90"/>
      <c r="O202" s="90"/>
      <c r="P202" s="91">
        <v>8.1000000000000003E-2</v>
      </c>
      <c r="Q202" s="91">
        <v>0.66200000000000003</v>
      </c>
      <c r="R202" s="91">
        <v>0.69199999999999995</v>
      </c>
      <c r="S202" s="91">
        <v>0.418244215653714</v>
      </c>
    </row>
    <row r="203" spans="1:19" s="5" customFormat="1" x14ac:dyDescent="0.2">
      <c r="A203" s="90" t="s">
        <v>614</v>
      </c>
      <c r="B203" s="90" t="s">
        <v>30</v>
      </c>
      <c r="C203" s="90" t="s">
        <v>613</v>
      </c>
      <c r="D203" s="90"/>
      <c r="E203" s="90" t="s">
        <v>17</v>
      </c>
      <c r="F203" s="90" t="s">
        <v>25</v>
      </c>
      <c r="G203" s="90" t="s">
        <v>406</v>
      </c>
      <c r="H203" s="90"/>
      <c r="I203" s="90"/>
      <c r="J203" s="90"/>
      <c r="K203" s="90"/>
      <c r="L203" s="90">
        <v>426</v>
      </c>
      <c r="M203" s="90">
        <v>47</v>
      </c>
      <c r="N203" s="90"/>
      <c r="O203" s="90"/>
      <c r="P203" s="91">
        <v>8.1000000000000003E-2</v>
      </c>
      <c r="Q203" s="91">
        <v>0.66200000000000003</v>
      </c>
      <c r="R203" s="91">
        <v>0.69199999999999995</v>
      </c>
      <c r="S203" s="91">
        <v>0.418244215653714</v>
      </c>
    </row>
    <row r="204" spans="1:19" s="5" customFormat="1" x14ac:dyDescent="0.2">
      <c r="A204" s="90" t="s">
        <v>615</v>
      </c>
      <c r="B204" s="90" t="s">
        <v>30</v>
      </c>
      <c r="C204" s="90" t="s">
        <v>616</v>
      </c>
      <c r="D204" s="90"/>
      <c r="E204" s="90" t="s">
        <v>17</v>
      </c>
      <c r="F204" s="90"/>
      <c r="G204" s="90" t="s">
        <v>406</v>
      </c>
      <c r="H204" s="90"/>
      <c r="I204" s="90"/>
      <c r="J204" s="90"/>
      <c r="K204" s="90"/>
      <c r="L204" s="90">
        <v>199</v>
      </c>
      <c r="M204" s="90">
        <v>19</v>
      </c>
      <c r="N204" s="90"/>
      <c r="O204" s="90"/>
      <c r="P204" s="91">
        <v>0.33500000000000002</v>
      </c>
      <c r="Q204" s="91">
        <v>0.70399999999999996</v>
      </c>
      <c r="R204" s="91">
        <v>0.59199999999999997</v>
      </c>
      <c r="S204" s="91">
        <v>0.27864496844901998</v>
      </c>
    </row>
    <row r="205" spans="1:19" s="5" customFormat="1" x14ac:dyDescent="0.2">
      <c r="A205" s="90" t="s">
        <v>617</v>
      </c>
      <c r="B205" s="90" t="s">
        <v>30</v>
      </c>
      <c r="C205" s="90" t="s">
        <v>613</v>
      </c>
      <c r="D205" s="90"/>
      <c r="E205" s="90" t="s">
        <v>17</v>
      </c>
      <c r="F205" s="90" t="s">
        <v>25</v>
      </c>
      <c r="G205" s="90" t="s">
        <v>406</v>
      </c>
      <c r="H205" s="90"/>
      <c r="I205" s="90"/>
      <c r="J205" s="90"/>
      <c r="K205" s="90"/>
      <c r="L205" s="90">
        <v>382</v>
      </c>
      <c r="M205" s="90">
        <v>293</v>
      </c>
      <c r="N205" s="90"/>
      <c r="O205" s="90"/>
      <c r="P205" s="91">
        <v>8.1000000000000003E-2</v>
      </c>
      <c r="Q205" s="91">
        <v>0.66200000000000003</v>
      </c>
      <c r="R205" s="91">
        <v>0.69199999999999995</v>
      </c>
      <c r="S205" s="91">
        <v>0.418244215653714</v>
      </c>
    </row>
    <row r="206" spans="1:19" s="5" customFormat="1" x14ac:dyDescent="0.2">
      <c r="A206" s="90" t="s">
        <v>618</v>
      </c>
      <c r="B206" s="90" t="s">
        <v>30</v>
      </c>
      <c r="C206" s="90" t="s">
        <v>613</v>
      </c>
      <c r="D206" s="90"/>
      <c r="E206" s="90" t="s">
        <v>17</v>
      </c>
      <c r="F206" s="90" t="s">
        <v>25</v>
      </c>
      <c r="G206" s="90" t="s">
        <v>406</v>
      </c>
      <c r="H206" s="90"/>
      <c r="I206" s="90"/>
      <c r="J206" s="90"/>
      <c r="K206" s="90"/>
      <c r="L206" s="90">
        <v>248</v>
      </c>
      <c r="M206" s="90">
        <v>25</v>
      </c>
      <c r="N206" s="90"/>
      <c r="O206" s="90"/>
      <c r="P206" s="91">
        <v>8.1000000000000003E-2</v>
      </c>
      <c r="Q206" s="91">
        <v>0.66200000000000003</v>
      </c>
      <c r="R206" s="91">
        <v>0.69199999999999995</v>
      </c>
      <c r="S206" s="91">
        <v>0.418244215653714</v>
      </c>
    </row>
    <row r="207" spans="1:19" s="5" customFormat="1" x14ac:dyDescent="0.2">
      <c r="A207" s="90" t="s">
        <v>619</v>
      </c>
      <c r="B207" s="90" t="s">
        <v>30</v>
      </c>
      <c r="C207" s="92" t="s">
        <v>620</v>
      </c>
      <c r="D207" s="92"/>
      <c r="E207" s="90" t="s">
        <v>17</v>
      </c>
      <c r="F207" s="90" t="s">
        <v>25</v>
      </c>
      <c r="G207" s="90" t="s">
        <v>406</v>
      </c>
      <c r="H207" s="90"/>
      <c r="I207" s="90"/>
      <c r="J207" s="90"/>
      <c r="K207" s="90"/>
      <c r="L207" s="90">
        <v>84</v>
      </c>
      <c r="M207" s="90">
        <v>82</v>
      </c>
      <c r="N207" s="90"/>
      <c r="O207" s="90"/>
      <c r="P207" s="93">
        <v>0.15</v>
      </c>
      <c r="Q207" s="93">
        <v>0.81</v>
      </c>
      <c r="R207" s="91">
        <v>0.87</v>
      </c>
      <c r="S207" s="91">
        <v>0.511347282187534</v>
      </c>
    </row>
    <row r="208" spans="1:19" s="5" customFormat="1" x14ac:dyDescent="0.2">
      <c r="A208" s="90" t="s">
        <v>656</v>
      </c>
      <c r="B208" s="90" t="s">
        <v>30</v>
      </c>
      <c r="C208" s="90" t="s">
        <v>31</v>
      </c>
      <c r="D208" s="90"/>
      <c r="E208" s="90" t="s">
        <v>17</v>
      </c>
      <c r="F208" s="90"/>
      <c r="G208" s="90" t="s">
        <v>406</v>
      </c>
      <c r="H208" s="90"/>
      <c r="I208" s="90"/>
      <c r="J208" s="90"/>
      <c r="K208" s="90"/>
      <c r="L208" s="90">
        <v>320</v>
      </c>
      <c r="M208" s="90">
        <v>31</v>
      </c>
      <c r="N208" s="90"/>
      <c r="O208" s="90"/>
      <c r="P208" s="91">
        <v>0.76100000000000001</v>
      </c>
      <c r="Q208" s="91">
        <v>4.9000000000000002E-2</v>
      </c>
      <c r="R208" s="91">
        <v>0.997</v>
      </c>
      <c r="S208" s="91">
        <v>0.326580316616849</v>
      </c>
    </row>
    <row r="209" spans="1:19" s="5" customFormat="1" x14ac:dyDescent="0.2">
      <c r="A209" s="90" t="s">
        <v>674</v>
      </c>
      <c r="B209" s="90" t="s">
        <v>30</v>
      </c>
      <c r="C209" s="90" t="s">
        <v>120</v>
      </c>
      <c r="D209" s="90"/>
      <c r="E209" s="90" t="s">
        <v>17</v>
      </c>
      <c r="F209" s="90" t="s">
        <v>25</v>
      </c>
      <c r="G209" s="90" t="s">
        <v>406</v>
      </c>
      <c r="H209" s="90"/>
      <c r="I209" s="90"/>
      <c r="J209" s="90"/>
      <c r="K209" s="90"/>
      <c r="L209" s="90">
        <v>344</v>
      </c>
      <c r="M209" s="90">
        <v>17</v>
      </c>
      <c r="N209" s="90"/>
      <c r="O209" s="90"/>
      <c r="P209" s="91">
        <v>0.221</v>
      </c>
      <c r="Q209" s="91">
        <v>0.59899999999999998</v>
      </c>
      <c r="R209" s="91">
        <v>0.98799999999999999</v>
      </c>
      <c r="S209" s="91">
        <v>0.614745931584191</v>
      </c>
    </row>
    <row r="210" spans="1:19" s="5" customFormat="1" x14ac:dyDescent="0.2">
      <c r="A210" s="90" t="s">
        <v>675</v>
      </c>
      <c r="B210" s="90" t="s">
        <v>30</v>
      </c>
      <c r="C210" s="90" t="s">
        <v>676</v>
      </c>
      <c r="D210" s="90"/>
      <c r="E210" s="90" t="s">
        <v>17</v>
      </c>
      <c r="F210" s="90" t="s">
        <v>25</v>
      </c>
      <c r="G210" s="90" t="s">
        <v>406</v>
      </c>
      <c r="H210" s="90"/>
      <c r="I210" s="90"/>
      <c r="J210" s="90"/>
      <c r="K210" s="90"/>
      <c r="L210" s="90">
        <v>90</v>
      </c>
      <c r="M210" s="90">
        <v>89</v>
      </c>
      <c r="N210" s="90"/>
      <c r="O210" s="90"/>
      <c r="P210" s="91">
        <v>0.48799999999999999</v>
      </c>
      <c r="Q210" s="91">
        <v>0.72199999999999998</v>
      </c>
      <c r="R210" s="91">
        <v>0.36299999999999999</v>
      </c>
      <c r="S210" s="91">
        <v>0.15432303775046999</v>
      </c>
    </row>
    <row r="211" spans="1:19" s="5" customFormat="1" x14ac:dyDescent="0.2">
      <c r="A211" s="90" t="s">
        <v>684</v>
      </c>
      <c r="B211" s="90" t="s">
        <v>30</v>
      </c>
      <c r="C211" s="90" t="s">
        <v>48</v>
      </c>
      <c r="D211" s="90"/>
      <c r="E211" s="90" t="s">
        <v>17</v>
      </c>
      <c r="F211" s="90"/>
      <c r="G211" s="90" t="s">
        <v>406</v>
      </c>
      <c r="H211" s="90"/>
      <c r="I211" s="90"/>
      <c r="J211" s="90"/>
      <c r="K211" s="90"/>
      <c r="L211" s="90">
        <v>116</v>
      </c>
      <c r="M211" s="90">
        <v>116</v>
      </c>
      <c r="N211" s="90"/>
      <c r="O211" s="90"/>
      <c r="P211" s="91">
        <v>0.64300000000000002</v>
      </c>
      <c r="Q211" s="91">
        <v>0.63100000000000001</v>
      </c>
      <c r="R211" s="91">
        <v>0.13600000000000001</v>
      </c>
      <c r="S211" s="91">
        <v>0.29336875899479598</v>
      </c>
    </row>
    <row r="212" spans="1:19" s="5" customFormat="1" x14ac:dyDescent="0.2">
      <c r="A212" s="90" t="s">
        <v>687</v>
      </c>
      <c r="B212" s="90" t="s">
        <v>30</v>
      </c>
      <c r="C212" s="92" t="s">
        <v>120</v>
      </c>
      <c r="D212" s="92"/>
      <c r="E212" s="90" t="s">
        <v>17</v>
      </c>
      <c r="F212" s="90" t="s">
        <v>25</v>
      </c>
      <c r="G212" s="90" t="s">
        <v>406</v>
      </c>
      <c r="H212" s="90"/>
      <c r="I212" s="90"/>
      <c r="J212" s="90"/>
      <c r="K212" s="90"/>
      <c r="L212" s="90">
        <v>194</v>
      </c>
      <c r="M212" s="90">
        <v>20</v>
      </c>
      <c r="N212" s="90"/>
      <c r="O212" s="90"/>
      <c r="P212" s="93">
        <v>0.22</v>
      </c>
      <c r="Q212" s="93">
        <v>0.59899999999999998</v>
      </c>
      <c r="R212" s="91">
        <v>0.98799999999999999</v>
      </c>
      <c r="S212" s="91">
        <v>0.614745931584191</v>
      </c>
    </row>
    <row r="213" spans="1:19" s="5" customFormat="1" x14ac:dyDescent="0.2">
      <c r="A213" s="90" t="s">
        <v>693</v>
      </c>
      <c r="B213" s="90" t="s">
        <v>30</v>
      </c>
      <c r="C213" s="92" t="s">
        <v>497</v>
      </c>
      <c r="D213" s="92"/>
      <c r="E213" s="90" t="s">
        <v>17</v>
      </c>
      <c r="F213" s="90" t="s">
        <v>25</v>
      </c>
      <c r="G213" s="90" t="s">
        <v>406</v>
      </c>
      <c r="H213" s="90"/>
      <c r="I213" s="90"/>
      <c r="J213" s="90"/>
      <c r="K213" s="90"/>
      <c r="L213" s="90">
        <v>120</v>
      </c>
      <c r="M213" s="90">
        <v>120</v>
      </c>
      <c r="N213" s="90"/>
      <c r="O213" s="90"/>
      <c r="P213" s="93">
        <v>0.21</v>
      </c>
      <c r="Q213" s="93">
        <v>0.84599999999999997</v>
      </c>
      <c r="R213" s="91">
        <v>0.57899999999999996</v>
      </c>
      <c r="S213" s="91">
        <v>0.235469943540352</v>
      </c>
    </row>
    <row r="214" spans="1:19" s="5" customFormat="1" x14ac:dyDescent="0.2">
      <c r="A214" s="90" t="s">
        <v>697</v>
      </c>
      <c r="B214" s="90" t="s">
        <v>30</v>
      </c>
      <c r="C214" s="90" t="s">
        <v>120</v>
      </c>
      <c r="D214" s="90"/>
      <c r="E214" s="90" t="s">
        <v>17</v>
      </c>
      <c r="F214" s="90" t="s">
        <v>25</v>
      </c>
      <c r="G214" s="90" t="s">
        <v>406</v>
      </c>
      <c r="H214" s="90"/>
      <c r="I214" s="90"/>
      <c r="J214" s="90"/>
      <c r="K214" s="90"/>
      <c r="L214" s="90">
        <v>381</v>
      </c>
      <c r="M214" s="90">
        <v>38</v>
      </c>
      <c r="N214" s="90"/>
      <c r="O214" s="90"/>
      <c r="P214" s="91">
        <v>0.221</v>
      </c>
      <c r="Q214" s="91">
        <v>0.59899999999999998</v>
      </c>
      <c r="R214" s="91">
        <v>0.98799999999999999</v>
      </c>
      <c r="S214" s="91">
        <v>0.614745931584191</v>
      </c>
    </row>
    <row r="215" spans="1:19" s="5" customFormat="1" x14ac:dyDescent="0.2">
      <c r="A215" s="90" t="s">
        <v>700</v>
      </c>
      <c r="B215" s="90" t="s">
        <v>30</v>
      </c>
      <c r="C215" s="92" t="s">
        <v>221</v>
      </c>
      <c r="D215" s="92"/>
      <c r="E215" s="90" t="s">
        <v>17</v>
      </c>
      <c r="F215" s="90" t="s">
        <v>25</v>
      </c>
      <c r="G215" s="90" t="s">
        <v>406</v>
      </c>
      <c r="H215" s="90"/>
      <c r="I215" s="90"/>
      <c r="J215" s="90"/>
      <c r="K215" s="90"/>
      <c r="L215" s="90">
        <v>563</v>
      </c>
      <c r="M215" s="90">
        <v>84</v>
      </c>
      <c r="N215" s="90"/>
      <c r="O215" s="90"/>
      <c r="P215" s="93">
        <v>0.54</v>
      </c>
      <c r="Q215" s="93">
        <v>0.52600000000000002</v>
      </c>
      <c r="R215" s="91">
        <v>0.97099999999999997</v>
      </c>
      <c r="S215" s="91">
        <v>0.57777039743163905</v>
      </c>
    </row>
    <row r="216" spans="1:19" s="5" customFormat="1" x14ac:dyDescent="0.2">
      <c r="A216" s="90" t="s">
        <v>705</v>
      </c>
      <c r="B216" s="90" t="s">
        <v>30</v>
      </c>
      <c r="C216" s="92" t="s">
        <v>706</v>
      </c>
      <c r="D216" s="92"/>
      <c r="E216" s="90" t="s">
        <v>17</v>
      </c>
      <c r="F216" s="90" t="s">
        <v>25</v>
      </c>
      <c r="G216" s="90" t="s">
        <v>406</v>
      </c>
      <c r="H216" s="90"/>
      <c r="I216" s="90"/>
      <c r="J216" s="90"/>
      <c r="K216" s="90"/>
      <c r="L216" s="90">
        <v>217</v>
      </c>
      <c r="M216" s="90">
        <v>21</v>
      </c>
      <c r="N216" s="90"/>
      <c r="O216" s="90"/>
      <c r="P216" s="93">
        <v>0.38</v>
      </c>
      <c r="Q216" s="93">
        <v>0.40400000000000003</v>
      </c>
      <c r="R216" s="91">
        <v>0.84299999999999997</v>
      </c>
      <c r="S216" s="91">
        <v>0.32403409719915799</v>
      </c>
    </row>
    <row r="217" spans="1:19" s="5" customFormat="1" x14ac:dyDescent="0.2">
      <c r="A217" s="90" t="s">
        <v>726</v>
      </c>
      <c r="B217" s="90" t="s">
        <v>30</v>
      </c>
      <c r="C217" s="90" t="s">
        <v>727</v>
      </c>
      <c r="D217" s="90"/>
      <c r="E217" s="90" t="s">
        <v>17</v>
      </c>
      <c r="F217" s="90" t="s">
        <v>25</v>
      </c>
      <c r="G217" s="90" t="s">
        <v>406</v>
      </c>
      <c r="H217" s="90"/>
      <c r="I217" s="90"/>
      <c r="J217" s="90"/>
      <c r="K217" s="90"/>
      <c r="L217" s="90">
        <v>24</v>
      </c>
      <c r="M217" s="90">
        <v>24</v>
      </c>
      <c r="N217" s="90"/>
      <c r="O217" s="90"/>
      <c r="P217" s="91">
        <v>0.54400000000000004</v>
      </c>
      <c r="Q217" s="91">
        <v>0.88900000000000001</v>
      </c>
      <c r="R217" s="91">
        <v>0.28599999999999998</v>
      </c>
      <c r="S217" s="91">
        <v>0.23613417469279299</v>
      </c>
    </row>
    <row r="218" spans="1:19" s="5" customFormat="1" x14ac:dyDescent="0.2">
      <c r="A218" s="90" t="s">
        <v>734</v>
      </c>
      <c r="B218" s="90" t="s">
        <v>30</v>
      </c>
      <c r="C218" s="90" t="s">
        <v>221</v>
      </c>
      <c r="D218" s="90"/>
      <c r="E218" s="90" t="s">
        <v>17</v>
      </c>
      <c r="F218" s="90" t="s">
        <v>25</v>
      </c>
      <c r="G218" s="90" t="s">
        <v>406</v>
      </c>
      <c r="H218" s="90"/>
      <c r="I218" s="90"/>
      <c r="J218" s="90"/>
      <c r="K218" s="90"/>
      <c r="L218" s="90">
        <v>1442</v>
      </c>
      <c r="M218" s="90">
        <v>149</v>
      </c>
      <c r="N218" s="90"/>
      <c r="O218" s="90"/>
      <c r="P218" s="91">
        <v>0.54200000000000004</v>
      </c>
      <c r="Q218" s="91">
        <v>0.52600000000000002</v>
      </c>
      <c r="R218" s="91">
        <v>0.97099999999999997</v>
      </c>
      <c r="S218" s="91">
        <v>0.57777039743163905</v>
      </c>
    </row>
    <row r="219" spans="1:19" s="5" customFormat="1" x14ac:dyDescent="0.2">
      <c r="A219" s="90" t="s">
        <v>773</v>
      </c>
      <c r="B219" s="90" t="s">
        <v>30</v>
      </c>
      <c r="C219" s="90">
        <v>52433</v>
      </c>
      <c r="D219" s="90"/>
      <c r="E219" s="90" t="s">
        <v>17</v>
      </c>
      <c r="F219" s="90" t="s">
        <v>25</v>
      </c>
      <c r="G219" s="90" t="s">
        <v>406</v>
      </c>
      <c r="H219" s="90"/>
      <c r="I219" s="90"/>
      <c r="J219" s="90"/>
      <c r="K219" s="90"/>
      <c r="L219" s="90">
        <v>96</v>
      </c>
      <c r="M219" s="90">
        <v>96</v>
      </c>
      <c r="N219" s="90"/>
      <c r="O219" s="90"/>
      <c r="P219" s="91">
        <v>0.55200000000000005</v>
      </c>
      <c r="Q219" s="91">
        <v>0.628</v>
      </c>
      <c r="R219" s="91">
        <v>0.496</v>
      </c>
      <c r="S219" s="91">
        <v>0.42189748699213903</v>
      </c>
    </row>
    <row r="220" spans="1:19" s="5" customFormat="1" x14ac:dyDescent="0.2">
      <c r="A220" s="90" t="s">
        <v>776</v>
      </c>
      <c r="B220" s="90" t="s">
        <v>30</v>
      </c>
      <c r="C220" s="90" t="s">
        <v>727</v>
      </c>
      <c r="D220" s="90"/>
      <c r="E220" s="90" t="s">
        <v>17</v>
      </c>
      <c r="F220" s="90" t="s">
        <v>25</v>
      </c>
      <c r="G220" s="90" t="s">
        <v>406</v>
      </c>
      <c r="H220" s="90"/>
      <c r="I220" s="90"/>
      <c r="J220" s="90"/>
      <c r="K220" s="90"/>
      <c r="L220" s="90">
        <v>196</v>
      </c>
      <c r="M220" s="90">
        <v>16</v>
      </c>
      <c r="N220" s="90"/>
      <c r="O220" s="90"/>
      <c r="P220" s="91">
        <v>0.54400000000000004</v>
      </c>
      <c r="Q220" s="91">
        <v>0.88900000000000001</v>
      </c>
      <c r="R220" s="91">
        <v>0.28599999999999998</v>
      </c>
      <c r="S220" s="91">
        <v>0.23613417469279299</v>
      </c>
    </row>
    <row r="221" spans="1:19" s="5" customFormat="1" x14ac:dyDescent="0.2">
      <c r="A221" s="90" t="s">
        <v>777</v>
      </c>
      <c r="B221" s="90" t="s">
        <v>30</v>
      </c>
      <c r="C221" s="90" t="s">
        <v>727</v>
      </c>
      <c r="D221" s="90"/>
      <c r="E221" s="90" t="s">
        <v>17</v>
      </c>
      <c r="F221" s="90" t="s">
        <v>25</v>
      </c>
      <c r="G221" s="90" t="s">
        <v>406</v>
      </c>
      <c r="H221" s="90"/>
      <c r="I221" s="90"/>
      <c r="J221" s="90"/>
      <c r="K221" s="90"/>
      <c r="L221" s="90">
        <v>188</v>
      </c>
      <c r="M221" s="90">
        <v>60</v>
      </c>
      <c r="N221" s="90"/>
      <c r="O221" s="90"/>
      <c r="P221" s="91">
        <v>0.54400000000000004</v>
      </c>
      <c r="Q221" s="91">
        <v>0.88900000000000001</v>
      </c>
      <c r="R221" s="91">
        <v>0.28599999999999998</v>
      </c>
      <c r="S221" s="91">
        <v>0.23613417469279299</v>
      </c>
    </row>
    <row r="222" spans="1:19" s="5" customFormat="1" x14ac:dyDescent="0.2">
      <c r="A222" s="90" t="s">
        <v>779</v>
      </c>
      <c r="B222" s="90" t="s">
        <v>30</v>
      </c>
      <c r="C222" s="90" t="s">
        <v>126</v>
      </c>
      <c r="D222" s="90"/>
      <c r="E222" s="90" t="s">
        <v>17</v>
      </c>
      <c r="F222" s="90"/>
      <c r="G222" s="90" t="s">
        <v>406</v>
      </c>
      <c r="H222" s="90"/>
      <c r="I222" s="90"/>
      <c r="J222" s="90"/>
      <c r="K222" s="90"/>
      <c r="L222" s="90">
        <v>136</v>
      </c>
      <c r="M222" s="90">
        <v>45</v>
      </c>
      <c r="N222" s="90"/>
      <c r="O222" s="90"/>
      <c r="P222" s="91">
        <v>0.64100000000000001</v>
      </c>
      <c r="Q222" s="91">
        <v>0.52800000000000002</v>
      </c>
      <c r="R222" s="91">
        <v>0.34799999999999998</v>
      </c>
      <c r="S222" s="91">
        <v>0.348278534263256</v>
      </c>
    </row>
    <row r="223" spans="1:19" s="5" customFormat="1" x14ac:dyDescent="0.2">
      <c r="A223" s="90" t="s">
        <v>782</v>
      </c>
      <c r="B223" s="90" t="s">
        <v>30</v>
      </c>
      <c r="C223" s="92" t="s">
        <v>491</v>
      </c>
      <c r="D223" s="92"/>
      <c r="E223" s="90" t="s">
        <v>17</v>
      </c>
      <c r="F223" s="90" t="s">
        <v>25</v>
      </c>
      <c r="G223" s="90" t="s">
        <v>406</v>
      </c>
      <c r="H223" s="90"/>
      <c r="I223" s="90"/>
      <c r="J223" s="90"/>
      <c r="K223" s="90"/>
      <c r="L223" s="90">
        <v>120</v>
      </c>
      <c r="M223" s="90">
        <v>120</v>
      </c>
      <c r="N223" s="90"/>
      <c r="O223" s="90"/>
      <c r="P223" s="93">
        <v>0.41</v>
      </c>
      <c r="Q223" s="93">
        <v>0.59899999999999998</v>
      </c>
      <c r="R223" s="91">
        <v>0.65</v>
      </c>
      <c r="S223" s="91">
        <v>0.47802501937340802</v>
      </c>
    </row>
    <row r="224" spans="1:19" s="5" customFormat="1" x14ac:dyDescent="0.2">
      <c r="A224" s="90" t="s">
        <v>783</v>
      </c>
      <c r="B224" s="90" t="s">
        <v>30</v>
      </c>
      <c r="C224" s="92" t="s">
        <v>784</v>
      </c>
      <c r="D224" s="92"/>
      <c r="E224" s="90" t="s">
        <v>17</v>
      </c>
      <c r="F224" s="90" t="s">
        <v>25</v>
      </c>
      <c r="G224" s="90" t="s">
        <v>406</v>
      </c>
      <c r="H224" s="90"/>
      <c r="I224" s="90"/>
      <c r="J224" s="90"/>
      <c r="K224" s="90"/>
      <c r="L224" s="90">
        <v>258</v>
      </c>
      <c r="M224" s="90">
        <v>60</v>
      </c>
      <c r="N224" s="90"/>
      <c r="O224" s="90"/>
      <c r="P224" s="93">
        <v>0.41</v>
      </c>
      <c r="Q224" s="93">
        <v>0.70599999999999996</v>
      </c>
      <c r="R224" s="91">
        <v>0.30099999999999999</v>
      </c>
      <c r="S224" s="91">
        <v>0.150780471604118</v>
      </c>
    </row>
    <row r="225" spans="1:19" s="5" customFormat="1" x14ac:dyDescent="0.2">
      <c r="A225" s="90" t="s">
        <v>785</v>
      </c>
      <c r="B225" s="90" t="s">
        <v>30</v>
      </c>
      <c r="C225" s="90" t="s">
        <v>491</v>
      </c>
      <c r="D225" s="90"/>
      <c r="E225" s="90" t="s">
        <v>17</v>
      </c>
      <c r="F225" s="90" t="s">
        <v>25</v>
      </c>
      <c r="G225" s="90" t="s">
        <v>406</v>
      </c>
      <c r="H225" s="90"/>
      <c r="I225" s="90"/>
      <c r="J225" s="90"/>
      <c r="K225" s="90"/>
      <c r="L225" s="90">
        <v>200</v>
      </c>
      <c r="M225" s="90">
        <v>8</v>
      </c>
      <c r="N225" s="90"/>
      <c r="O225" s="90"/>
      <c r="P225" s="91">
        <v>0.41099999999999998</v>
      </c>
      <c r="Q225" s="91">
        <v>0.59899999999999998</v>
      </c>
      <c r="R225" s="91">
        <v>0.65</v>
      </c>
      <c r="S225" s="91">
        <v>0.47802501937340802</v>
      </c>
    </row>
    <row r="226" spans="1:19" s="5" customFormat="1" x14ac:dyDescent="0.2">
      <c r="A226" s="90" t="s">
        <v>786</v>
      </c>
      <c r="B226" s="90" t="s">
        <v>30</v>
      </c>
      <c r="C226" s="92" t="s">
        <v>676</v>
      </c>
      <c r="D226" s="92"/>
      <c r="E226" s="90" t="s">
        <v>17</v>
      </c>
      <c r="F226" s="90" t="s">
        <v>25</v>
      </c>
      <c r="G226" s="90" t="s">
        <v>406</v>
      </c>
      <c r="H226" s="90"/>
      <c r="I226" s="90"/>
      <c r="J226" s="90"/>
      <c r="K226" s="90"/>
      <c r="L226" s="90">
        <v>150</v>
      </c>
      <c r="M226" s="90">
        <v>150</v>
      </c>
      <c r="N226" s="90"/>
      <c r="O226" s="90"/>
      <c r="P226" s="93">
        <v>0.49</v>
      </c>
      <c r="Q226" s="93">
        <v>0.72199999999999998</v>
      </c>
      <c r="R226" s="91">
        <v>0.36299999999999999</v>
      </c>
      <c r="S226" s="91">
        <v>0.15432303775046999</v>
      </c>
    </row>
    <row r="227" spans="1:19" s="5" customFormat="1" x14ac:dyDescent="0.2">
      <c r="A227" s="90" t="s">
        <v>1441</v>
      </c>
      <c r="B227" s="90" t="s">
        <v>30</v>
      </c>
      <c r="C227" s="92" t="s">
        <v>186</v>
      </c>
      <c r="D227" s="92"/>
      <c r="E227" s="90" t="s">
        <v>17</v>
      </c>
      <c r="F227" s="90"/>
      <c r="G227" s="90"/>
      <c r="H227" s="90"/>
      <c r="I227" s="90"/>
      <c r="J227" s="90" t="s">
        <v>26</v>
      </c>
      <c r="K227" s="90"/>
      <c r="L227" s="90">
        <v>40</v>
      </c>
      <c r="M227" s="90">
        <v>39</v>
      </c>
      <c r="N227" s="90"/>
      <c r="O227" s="90"/>
      <c r="P227" s="96">
        <v>0.65</v>
      </c>
      <c r="Q227" s="96">
        <v>0.14000000000000001</v>
      </c>
      <c r="R227" s="97">
        <v>0.98</v>
      </c>
      <c r="S227" s="91">
        <v>0.48</v>
      </c>
    </row>
    <row r="228" spans="1:19" s="5" customFormat="1" x14ac:dyDescent="0.2">
      <c r="A228" s="90" t="s">
        <v>646</v>
      </c>
      <c r="B228" s="90" t="s">
        <v>30</v>
      </c>
      <c r="C228" s="92" t="s">
        <v>531</v>
      </c>
      <c r="D228" s="92"/>
      <c r="E228" s="90" t="s">
        <v>17</v>
      </c>
      <c r="F228" s="90" t="s">
        <v>25</v>
      </c>
      <c r="G228" s="90"/>
      <c r="H228" s="90"/>
      <c r="I228" s="90"/>
      <c r="J228" s="90" t="s">
        <v>26</v>
      </c>
      <c r="K228" s="90"/>
      <c r="L228" s="90">
        <v>221</v>
      </c>
      <c r="M228" s="90">
        <v>219</v>
      </c>
      <c r="N228" s="90"/>
      <c r="O228" s="90"/>
      <c r="P228" s="93">
        <v>0.22</v>
      </c>
      <c r="Q228" s="93">
        <v>0.93200000000000005</v>
      </c>
      <c r="R228" s="91">
        <v>0.153</v>
      </c>
      <c r="S228" s="91">
        <v>0.10760544669545</v>
      </c>
    </row>
    <row r="229" spans="1:19" s="5" customFormat="1" x14ac:dyDescent="0.2">
      <c r="A229" s="90" t="s">
        <v>780</v>
      </c>
      <c r="B229" s="90" t="s">
        <v>30</v>
      </c>
      <c r="C229" s="92" t="s">
        <v>781</v>
      </c>
      <c r="D229" s="92"/>
      <c r="E229" s="90" t="s">
        <v>17</v>
      </c>
      <c r="F229" s="90" t="s">
        <v>25</v>
      </c>
      <c r="G229" s="90"/>
      <c r="H229" s="90"/>
      <c r="I229" s="90"/>
      <c r="J229" s="90" t="s">
        <v>26</v>
      </c>
      <c r="K229" s="90"/>
      <c r="L229" s="90">
        <v>165</v>
      </c>
      <c r="M229" s="90">
        <v>165</v>
      </c>
      <c r="N229" s="90"/>
      <c r="O229" s="90"/>
      <c r="P229" s="93">
        <v>0.22</v>
      </c>
      <c r="Q229" s="93">
        <v>0.81499999999999995</v>
      </c>
      <c r="R229" s="91">
        <v>0.27100000000000002</v>
      </c>
      <c r="S229" s="91">
        <v>0.14447027565592799</v>
      </c>
    </row>
    <row r="230" spans="1:19" s="5" customFormat="1" x14ac:dyDescent="0.2">
      <c r="A230" s="90" t="s">
        <v>394</v>
      </c>
      <c r="B230" s="90" t="s">
        <v>30</v>
      </c>
      <c r="C230" s="92" t="s">
        <v>395</v>
      </c>
      <c r="D230" s="92"/>
      <c r="E230" s="90" t="s">
        <v>17</v>
      </c>
      <c r="F230" s="90" t="s">
        <v>25</v>
      </c>
      <c r="G230" s="90" t="s">
        <v>406</v>
      </c>
      <c r="H230" s="90" t="s">
        <v>39</v>
      </c>
      <c r="I230" s="90"/>
      <c r="J230" s="90"/>
      <c r="K230" s="90"/>
      <c r="L230" s="90">
        <v>104</v>
      </c>
      <c r="M230" s="90">
        <v>104</v>
      </c>
      <c r="N230" s="90"/>
      <c r="O230" s="90" t="s">
        <v>40</v>
      </c>
      <c r="P230" s="93">
        <v>0.55000000000000004</v>
      </c>
      <c r="Q230" s="93">
        <v>0.628</v>
      </c>
      <c r="R230" s="91">
        <v>0.496</v>
      </c>
      <c r="S230" s="91">
        <v>0.42189748699213903</v>
      </c>
    </row>
    <row r="231" spans="1:19" s="5" customFormat="1" x14ac:dyDescent="0.2">
      <c r="A231" s="90" t="s">
        <v>37</v>
      </c>
      <c r="B231" s="90" t="s">
        <v>30</v>
      </c>
      <c r="C231" s="90" t="s">
        <v>38</v>
      </c>
      <c r="D231" s="90"/>
      <c r="E231" s="90" t="s">
        <v>17</v>
      </c>
      <c r="F231" s="90" t="s">
        <v>25</v>
      </c>
      <c r="G231" s="90" t="s">
        <v>406</v>
      </c>
      <c r="H231" s="90" t="s">
        <v>39</v>
      </c>
      <c r="I231" s="90"/>
      <c r="J231" s="90"/>
      <c r="K231" s="90"/>
      <c r="L231" s="90">
        <v>134</v>
      </c>
      <c r="M231" s="90">
        <v>132</v>
      </c>
      <c r="N231" s="90"/>
      <c r="O231" s="90" t="s">
        <v>40</v>
      </c>
      <c r="P231" s="91">
        <v>3.5999999999999997E-2</v>
      </c>
      <c r="Q231" s="91">
        <v>0.84699999999999998</v>
      </c>
      <c r="R231" s="91">
        <v>0.55900000000000005</v>
      </c>
      <c r="S231" s="91">
        <v>0.10671980515886099</v>
      </c>
    </row>
    <row r="232" spans="1:19" s="5" customFormat="1" x14ac:dyDescent="0.2">
      <c r="A232" s="90" t="s">
        <v>680</v>
      </c>
      <c r="B232" s="90" t="s">
        <v>30</v>
      </c>
      <c r="C232" s="92" t="s">
        <v>120</v>
      </c>
      <c r="D232" s="92"/>
      <c r="E232" s="90" t="s">
        <v>17</v>
      </c>
      <c r="F232" s="90" t="s">
        <v>25</v>
      </c>
      <c r="G232" s="90" t="s">
        <v>406</v>
      </c>
      <c r="H232" s="90" t="s">
        <v>39</v>
      </c>
      <c r="I232" s="90"/>
      <c r="J232" s="90"/>
      <c r="K232" s="90"/>
      <c r="L232" s="90">
        <v>60</v>
      </c>
      <c r="M232" s="90">
        <v>60</v>
      </c>
      <c r="N232" s="90"/>
      <c r="O232" s="90"/>
      <c r="P232" s="93">
        <v>0.22</v>
      </c>
      <c r="Q232" s="93">
        <v>0.59899999999999998</v>
      </c>
      <c r="R232" s="91">
        <v>0.98799999999999999</v>
      </c>
      <c r="S232" s="91">
        <v>0.614745931584191</v>
      </c>
    </row>
    <row r="233" spans="1:19" s="5" customFormat="1" x14ac:dyDescent="0.2">
      <c r="A233" s="90" t="s">
        <v>483</v>
      </c>
      <c r="B233" s="90" t="s">
        <v>52</v>
      </c>
      <c r="C233" s="90" t="s">
        <v>484</v>
      </c>
      <c r="D233" s="90"/>
      <c r="E233" s="90" t="s">
        <v>17</v>
      </c>
      <c r="F233" s="90"/>
      <c r="G233" s="90" t="s">
        <v>406</v>
      </c>
      <c r="H233" s="90"/>
      <c r="I233" s="90"/>
      <c r="J233" s="90"/>
      <c r="K233" s="90"/>
      <c r="L233" s="90">
        <v>22</v>
      </c>
      <c r="M233" s="90">
        <v>22</v>
      </c>
      <c r="N233" s="90"/>
      <c r="O233" s="90"/>
      <c r="P233" s="91">
        <v>0.191</v>
      </c>
      <c r="Q233" s="91">
        <v>0.30499999999999999</v>
      </c>
      <c r="R233" s="91">
        <v>0.66700000000000004</v>
      </c>
      <c r="S233" s="91">
        <v>0.76176242665781002</v>
      </c>
    </row>
    <row r="234" spans="1:19" s="5" customFormat="1" x14ac:dyDescent="0.2">
      <c r="A234" s="90" t="s">
        <v>51</v>
      </c>
      <c r="B234" s="90" t="s">
        <v>52</v>
      </c>
      <c r="C234" s="92" t="s">
        <v>53</v>
      </c>
      <c r="D234" s="92"/>
      <c r="E234" s="90" t="s">
        <v>17</v>
      </c>
      <c r="F234" s="90" t="s">
        <v>25</v>
      </c>
      <c r="G234" s="90" t="s">
        <v>406</v>
      </c>
      <c r="H234" s="90"/>
      <c r="I234" s="90"/>
      <c r="J234" s="90"/>
      <c r="K234" s="90"/>
      <c r="L234" s="90">
        <v>72</v>
      </c>
      <c r="M234" s="90">
        <v>72</v>
      </c>
      <c r="N234" s="90"/>
      <c r="O234" s="90"/>
      <c r="P234" s="93">
        <v>0.46</v>
      </c>
      <c r="Q234" s="93">
        <v>0.16900000000000001</v>
      </c>
      <c r="R234" s="91">
        <v>0.85899999999999999</v>
      </c>
      <c r="S234" s="91">
        <v>0.81301893058784402</v>
      </c>
    </row>
    <row r="235" spans="1:19" s="5" customFormat="1" x14ac:dyDescent="0.2">
      <c r="A235" s="90" t="s">
        <v>190</v>
      </c>
      <c r="B235" s="90" t="s">
        <v>52</v>
      </c>
      <c r="C235" s="90" t="s">
        <v>191</v>
      </c>
      <c r="D235" s="90"/>
      <c r="E235" s="90" t="s">
        <v>17</v>
      </c>
      <c r="F235" s="90"/>
      <c r="G235" s="90" t="s">
        <v>406</v>
      </c>
      <c r="H235" s="90"/>
      <c r="I235" s="90"/>
      <c r="J235" s="90"/>
      <c r="K235" s="90"/>
      <c r="L235" s="90">
        <v>4</v>
      </c>
      <c r="M235" s="90">
        <v>4</v>
      </c>
      <c r="N235" s="90"/>
      <c r="O235" s="90"/>
      <c r="P235" s="91">
        <v>0.315</v>
      </c>
      <c r="Q235" s="91">
        <v>0.27400000000000002</v>
      </c>
      <c r="R235" s="91">
        <v>0.53100000000000003</v>
      </c>
      <c r="S235" s="91">
        <v>0.71559836156315704</v>
      </c>
    </row>
    <row r="236" spans="1:19" s="5" customFormat="1" x14ac:dyDescent="0.2">
      <c r="A236" s="90" t="s">
        <v>275</v>
      </c>
      <c r="B236" s="90" t="s">
        <v>52</v>
      </c>
      <c r="C236" s="90" t="s">
        <v>191</v>
      </c>
      <c r="D236" s="90"/>
      <c r="E236" s="90" t="s">
        <v>17</v>
      </c>
      <c r="F236" s="90"/>
      <c r="G236" s="90" t="s">
        <v>406</v>
      </c>
      <c r="H236" s="90"/>
      <c r="I236" s="90"/>
      <c r="J236" s="90"/>
      <c r="K236" s="90"/>
      <c r="L236" s="90">
        <v>112</v>
      </c>
      <c r="M236" s="90">
        <v>93</v>
      </c>
      <c r="N236" s="90"/>
      <c r="O236" s="90"/>
      <c r="P236" s="91">
        <v>0.315</v>
      </c>
      <c r="Q236" s="91">
        <v>0.27400000000000002</v>
      </c>
      <c r="R236" s="91">
        <v>0.53100000000000003</v>
      </c>
      <c r="S236" s="91">
        <v>0.71559836156315704</v>
      </c>
    </row>
    <row r="237" spans="1:19" s="5" customFormat="1" x14ac:dyDescent="0.2">
      <c r="A237" s="90" t="s">
        <v>722</v>
      </c>
      <c r="B237" s="90" t="s">
        <v>52</v>
      </c>
      <c r="C237" s="90" t="s">
        <v>479</v>
      </c>
      <c r="D237" s="90"/>
      <c r="E237" s="90" t="s">
        <v>17</v>
      </c>
      <c r="F237" s="90"/>
      <c r="G237" s="90" t="s">
        <v>406</v>
      </c>
      <c r="H237" s="90"/>
      <c r="I237" s="90"/>
      <c r="J237" s="90"/>
      <c r="K237" s="90"/>
      <c r="L237" s="90">
        <v>12</v>
      </c>
      <c r="M237" s="90">
        <v>12</v>
      </c>
      <c r="N237" s="90"/>
      <c r="O237" s="90"/>
      <c r="P237" s="91">
        <v>0.82899999999999996</v>
      </c>
      <c r="Q237" s="91">
        <v>0.34399999999999997</v>
      </c>
      <c r="R237" s="91">
        <v>0.68200000000000005</v>
      </c>
      <c r="S237" s="91">
        <v>0.80084135945975798</v>
      </c>
    </row>
    <row r="238" spans="1:19" s="5" customFormat="1" x14ac:dyDescent="0.2">
      <c r="A238" s="90" t="s">
        <v>478</v>
      </c>
      <c r="B238" s="90" t="s">
        <v>52</v>
      </c>
      <c r="C238" s="90" t="s">
        <v>479</v>
      </c>
      <c r="D238" s="90"/>
      <c r="E238" s="90" t="s">
        <v>17</v>
      </c>
      <c r="F238" s="90"/>
      <c r="G238" s="90"/>
      <c r="H238" s="90"/>
      <c r="I238" s="90"/>
      <c r="J238" s="90" t="s">
        <v>26</v>
      </c>
      <c r="K238" s="90"/>
      <c r="L238" s="90">
        <v>56</v>
      </c>
      <c r="M238" s="90">
        <v>55</v>
      </c>
      <c r="N238" s="90"/>
      <c r="O238" s="90"/>
      <c r="P238" s="91">
        <v>0.82899999999999996</v>
      </c>
      <c r="Q238" s="91">
        <v>0.34399999999999997</v>
      </c>
      <c r="R238" s="91">
        <v>0.68200000000000005</v>
      </c>
      <c r="S238" s="91">
        <v>0.80084135945975798</v>
      </c>
    </row>
    <row r="239" spans="1:19" s="5" customFormat="1" x14ac:dyDescent="0.2">
      <c r="A239" s="90" t="s">
        <v>480</v>
      </c>
      <c r="B239" s="90" t="s">
        <v>465</v>
      </c>
      <c r="C239" s="90" t="s">
        <v>466</v>
      </c>
      <c r="D239" s="90"/>
      <c r="E239" s="90" t="s">
        <v>17</v>
      </c>
      <c r="F239" s="90" t="s">
        <v>25</v>
      </c>
      <c r="G239" s="90" t="s">
        <v>406</v>
      </c>
      <c r="H239" s="90"/>
      <c r="I239" s="90"/>
      <c r="J239" s="90"/>
      <c r="K239" s="90"/>
      <c r="L239" s="90">
        <v>272</v>
      </c>
      <c r="M239" s="90">
        <v>269</v>
      </c>
      <c r="N239" s="90"/>
      <c r="O239" s="90"/>
      <c r="P239" s="91">
        <v>0.89500000000000002</v>
      </c>
      <c r="Q239" s="91">
        <v>0.41199999999999998</v>
      </c>
      <c r="R239" s="91">
        <v>0.29399999999999998</v>
      </c>
      <c r="S239" s="91">
        <v>0.57267795859625803</v>
      </c>
    </row>
    <row r="240" spans="1:19" s="5" customFormat="1" x14ac:dyDescent="0.2">
      <c r="A240" s="90" t="s">
        <v>464</v>
      </c>
      <c r="B240" s="90" t="s">
        <v>465</v>
      </c>
      <c r="C240" s="92" t="s">
        <v>466</v>
      </c>
      <c r="D240" s="92"/>
      <c r="E240" s="90" t="s">
        <v>17</v>
      </c>
      <c r="F240" s="90" t="s">
        <v>25</v>
      </c>
      <c r="G240" s="90"/>
      <c r="H240" s="90"/>
      <c r="I240" s="90"/>
      <c r="J240" s="90" t="s">
        <v>26</v>
      </c>
      <c r="K240" s="90"/>
      <c r="L240" s="90">
        <v>35</v>
      </c>
      <c r="M240" s="90">
        <v>35</v>
      </c>
      <c r="N240" s="90"/>
      <c r="O240" s="90"/>
      <c r="P240" s="93">
        <v>0.9</v>
      </c>
      <c r="Q240" s="93">
        <v>0.41199999999999998</v>
      </c>
      <c r="R240" s="91">
        <v>0.29399999999999998</v>
      </c>
      <c r="S240" s="91">
        <v>0.57267795859625803</v>
      </c>
    </row>
    <row r="241" spans="1:19" s="5" customFormat="1" x14ac:dyDescent="0.2">
      <c r="A241" s="90" t="s">
        <v>635</v>
      </c>
      <c r="B241" s="90" t="s">
        <v>465</v>
      </c>
      <c r="C241" s="90" t="s">
        <v>636</v>
      </c>
      <c r="D241" s="90"/>
      <c r="E241" s="90" t="s">
        <v>17</v>
      </c>
      <c r="F241" s="90"/>
      <c r="G241" s="90"/>
      <c r="H241" s="90"/>
      <c r="I241" s="90"/>
      <c r="J241" s="90" t="s">
        <v>26</v>
      </c>
      <c r="K241" s="90"/>
      <c r="L241" s="90">
        <v>60</v>
      </c>
      <c r="M241" s="90">
        <v>60</v>
      </c>
      <c r="N241" s="90"/>
      <c r="O241" s="90"/>
      <c r="P241" s="91">
        <v>0.65</v>
      </c>
      <c r="Q241" s="91">
        <v>0.27800000000000002</v>
      </c>
      <c r="R241" s="91">
        <v>0.55600000000000005</v>
      </c>
      <c r="S241" s="91">
        <v>0.61009631351710303</v>
      </c>
    </row>
    <row r="242" spans="1:19" s="5" customFormat="1" x14ac:dyDescent="0.2">
      <c r="A242" s="90" t="s">
        <v>177</v>
      </c>
      <c r="B242" s="90" t="s">
        <v>178</v>
      </c>
      <c r="C242" s="90" t="s">
        <v>179</v>
      </c>
      <c r="D242" s="90"/>
      <c r="E242" s="90" t="s">
        <v>17</v>
      </c>
      <c r="F242" s="90"/>
      <c r="G242" s="90" t="s">
        <v>406</v>
      </c>
      <c r="H242" s="90"/>
      <c r="I242" s="90"/>
      <c r="J242" s="90"/>
      <c r="K242" s="90"/>
      <c r="L242" s="90">
        <v>220</v>
      </c>
      <c r="M242" s="90">
        <v>44</v>
      </c>
      <c r="N242" s="90"/>
      <c r="O242" s="90"/>
      <c r="P242" s="91">
        <v>0.95599999999999996</v>
      </c>
      <c r="Q242" s="91">
        <v>0.94699999999999995</v>
      </c>
      <c r="R242" s="91">
        <v>1.7000000000000001E-2</v>
      </c>
      <c r="S242" s="91">
        <v>9.6313517103952095E-3</v>
      </c>
    </row>
    <row r="243" spans="1:19" s="5" customFormat="1" x14ac:dyDescent="0.2">
      <c r="A243" s="90" t="s">
        <v>398</v>
      </c>
      <c r="B243" s="90" t="s">
        <v>148</v>
      </c>
      <c r="C243" s="90" t="s">
        <v>149</v>
      </c>
      <c r="D243" s="90"/>
      <c r="E243" s="90" t="s">
        <v>17</v>
      </c>
      <c r="F243" s="90"/>
      <c r="G243" s="90" t="s">
        <v>406</v>
      </c>
      <c r="H243" s="90"/>
      <c r="I243" s="90"/>
      <c r="J243" s="90"/>
      <c r="K243" s="90"/>
      <c r="L243" s="90">
        <v>27</v>
      </c>
      <c r="M243" s="90">
        <v>26</v>
      </c>
      <c r="N243" s="90"/>
      <c r="O243" s="90"/>
      <c r="P243" s="91">
        <v>0.56999999999999995</v>
      </c>
      <c r="Q243" s="91">
        <v>0.40100000000000002</v>
      </c>
      <c r="R243" s="91">
        <v>0.64900000000000002</v>
      </c>
      <c r="S243" s="91">
        <v>0.240119561607439</v>
      </c>
    </row>
    <row r="244" spans="1:19" s="5" customFormat="1" x14ac:dyDescent="0.2">
      <c r="A244" s="90" t="s">
        <v>147</v>
      </c>
      <c r="B244" s="90" t="s">
        <v>148</v>
      </c>
      <c r="C244" s="90" t="s">
        <v>149</v>
      </c>
      <c r="D244" s="90"/>
      <c r="E244" s="90" t="s">
        <v>17</v>
      </c>
      <c r="F244" s="90"/>
      <c r="G244" s="90" t="s">
        <v>406</v>
      </c>
      <c r="H244" s="90"/>
      <c r="I244" s="90"/>
      <c r="J244" s="90"/>
      <c r="K244" s="90"/>
      <c r="L244" s="90">
        <v>24</v>
      </c>
      <c r="M244" s="90">
        <v>24</v>
      </c>
      <c r="N244" s="90"/>
      <c r="O244" s="90"/>
      <c r="P244" s="91">
        <v>0.56999999999999995</v>
      </c>
      <c r="Q244" s="91">
        <v>0.40100000000000002</v>
      </c>
      <c r="R244" s="91">
        <v>0.64900000000000002</v>
      </c>
      <c r="S244" s="91">
        <v>0.240119561607439</v>
      </c>
    </row>
    <row r="245" spans="1:19" s="5" customFormat="1" x14ac:dyDescent="0.2">
      <c r="A245" s="90" t="s">
        <v>748</v>
      </c>
      <c r="B245" s="90" t="s">
        <v>148</v>
      </c>
      <c r="C245" s="90" t="s">
        <v>749</v>
      </c>
      <c r="D245" s="90"/>
      <c r="E245" s="90" t="s">
        <v>17</v>
      </c>
      <c r="F245" s="90"/>
      <c r="G245" s="90"/>
      <c r="H245" s="90"/>
      <c r="I245" s="90"/>
      <c r="J245" s="90" t="s">
        <v>26</v>
      </c>
      <c r="K245" s="90"/>
      <c r="L245" s="90">
        <v>71</v>
      </c>
      <c r="M245" s="90">
        <v>70</v>
      </c>
      <c r="N245" s="90"/>
      <c r="O245" s="90"/>
      <c r="P245" s="91">
        <v>0.51800000000000002</v>
      </c>
      <c r="Q245" s="91">
        <v>0.86</v>
      </c>
      <c r="R245" s="91">
        <v>0.159</v>
      </c>
      <c r="S245" s="91">
        <v>0.215985829735414</v>
      </c>
    </row>
    <row r="246" spans="1:19" s="5" customFormat="1" x14ac:dyDescent="0.2">
      <c r="A246" s="90" t="s">
        <v>581</v>
      </c>
      <c r="B246" s="90" t="s">
        <v>582</v>
      </c>
      <c r="C246" s="90" t="s">
        <v>583</v>
      </c>
      <c r="D246" s="90"/>
      <c r="E246" s="90" t="s">
        <v>17</v>
      </c>
      <c r="F246" s="90"/>
      <c r="G246" s="90" t="s">
        <v>406</v>
      </c>
      <c r="H246" s="90"/>
      <c r="I246" s="90"/>
      <c r="J246" s="90"/>
      <c r="K246" s="90"/>
      <c r="L246" s="90">
        <v>51</v>
      </c>
      <c r="M246" s="90">
        <v>51</v>
      </c>
      <c r="N246" s="90"/>
      <c r="O246" s="90"/>
      <c r="P246" s="91">
        <v>0.81299999999999994</v>
      </c>
      <c r="Q246" s="91">
        <v>0.124</v>
      </c>
      <c r="R246" s="91">
        <v>0.66400000000000003</v>
      </c>
      <c r="S246" s="91">
        <v>0.239676740839145</v>
      </c>
    </row>
    <row r="247" spans="1:19" s="5" customFormat="1" x14ac:dyDescent="0.2">
      <c r="A247" s="90" t="s">
        <v>168</v>
      </c>
      <c r="B247" s="90" t="s">
        <v>169</v>
      </c>
      <c r="C247" s="90" t="s">
        <v>170</v>
      </c>
      <c r="D247" s="90"/>
      <c r="E247" s="90" t="s">
        <v>17</v>
      </c>
      <c r="F247" s="90"/>
      <c r="G247" s="90" t="s">
        <v>406</v>
      </c>
      <c r="H247" s="90"/>
      <c r="I247" s="90"/>
      <c r="J247" s="90"/>
      <c r="K247" s="90"/>
      <c r="L247" s="90">
        <v>18</v>
      </c>
      <c r="M247" s="90">
        <v>17</v>
      </c>
      <c r="N247" s="90"/>
      <c r="O247" s="90"/>
      <c r="P247" s="91">
        <v>0.68600000000000005</v>
      </c>
      <c r="Q247" s="91">
        <v>8.2000000000000003E-2</v>
      </c>
      <c r="R247" s="91">
        <v>1</v>
      </c>
      <c r="S247" s="91">
        <v>0.85154433742942504</v>
      </c>
    </row>
    <row r="248" spans="1:19" s="5" customFormat="1" x14ac:dyDescent="0.2">
      <c r="A248" s="90" t="s">
        <v>524</v>
      </c>
      <c r="B248" s="90" t="s">
        <v>169</v>
      </c>
      <c r="C248" s="90" t="s">
        <v>170</v>
      </c>
      <c r="D248" s="90"/>
      <c r="E248" s="90" t="s">
        <v>17</v>
      </c>
      <c r="F248" s="90"/>
      <c r="G248" s="90"/>
      <c r="H248" s="90"/>
      <c r="I248" s="90"/>
      <c r="J248" s="90" t="s">
        <v>26</v>
      </c>
      <c r="K248" s="90"/>
      <c r="L248" s="90">
        <v>97</v>
      </c>
      <c r="M248" s="90">
        <v>97</v>
      </c>
      <c r="N248" s="90"/>
      <c r="O248" s="90"/>
      <c r="P248" s="91">
        <v>0.68600000000000005</v>
      </c>
      <c r="Q248" s="91">
        <v>8.2000000000000003E-2</v>
      </c>
      <c r="R248" s="91">
        <v>1</v>
      </c>
      <c r="S248" s="91">
        <v>0.85154433742942504</v>
      </c>
    </row>
    <row r="249" spans="1:19" s="5" customFormat="1" x14ac:dyDescent="0.2">
      <c r="A249" s="90" t="s">
        <v>346</v>
      </c>
      <c r="B249" s="90" t="s">
        <v>169</v>
      </c>
      <c r="C249" s="92" t="s">
        <v>170</v>
      </c>
      <c r="D249" s="92"/>
      <c r="E249" s="90" t="s">
        <v>17</v>
      </c>
      <c r="F249" s="90" t="s">
        <v>25</v>
      </c>
      <c r="G249" s="90" t="s">
        <v>406</v>
      </c>
      <c r="H249" s="90" t="s">
        <v>39</v>
      </c>
      <c r="I249" s="90"/>
      <c r="J249" s="90"/>
      <c r="K249" s="90"/>
      <c r="L249" s="90">
        <v>30</v>
      </c>
      <c r="M249" s="90">
        <v>30</v>
      </c>
      <c r="N249" s="90"/>
      <c r="O249" s="90"/>
      <c r="P249" s="93">
        <v>0.69</v>
      </c>
      <c r="Q249" s="93">
        <v>8.2000000000000003E-2</v>
      </c>
      <c r="R249" s="91">
        <v>1</v>
      </c>
      <c r="S249" s="91">
        <v>0.85154433742942504</v>
      </c>
    </row>
    <row r="250" spans="1:19" s="5" customFormat="1" x14ac:dyDescent="0.2">
      <c r="A250" s="90" t="s">
        <v>420</v>
      </c>
      <c r="B250" s="90" t="s">
        <v>33</v>
      </c>
      <c r="C250" s="90" t="s">
        <v>421</v>
      </c>
      <c r="D250" s="90"/>
      <c r="E250" s="90" t="s">
        <v>17</v>
      </c>
      <c r="F250" s="90"/>
      <c r="G250" s="90" t="s">
        <v>406</v>
      </c>
      <c r="H250" s="90"/>
      <c r="I250" s="90"/>
      <c r="J250" s="90"/>
      <c r="K250" s="90"/>
      <c r="L250" s="90">
        <v>156</v>
      </c>
      <c r="M250" s="90">
        <v>156</v>
      </c>
      <c r="N250" s="90"/>
      <c r="O250" s="90"/>
      <c r="P250" s="91">
        <v>0.66800000000000004</v>
      </c>
      <c r="Q250" s="91">
        <v>0.47499999999999998</v>
      </c>
      <c r="R250" s="91">
        <v>6.3E-2</v>
      </c>
      <c r="S250" s="91">
        <v>0.37960810362005898</v>
      </c>
    </row>
    <row r="251" spans="1:19" s="5" customFormat="1" x14ac:dyDescent="0.2">
      <c r="A251" s="90" t="s">
        <v>425</v>
      </c>
      <c r="B251" s="90" t="s">
        <v>33</v>
      </c>
      <c r="C251" s="90" t="s">
        <v>426</v>
      </c>
      <c r="D251" s="90"/>
      <c r="E251" s="90" t="s">
        <v>17</v>
      </c>
      <c r="F251" s="90"/>
      <c r="G251" s="90" t="s">
        <v>406</v>
      </c>
      <c r="H251" s="90"/>
      <c r="I251" s="90"/>
      <c r="J251" s="90"/>
      <c r="K251" s="90"/>
      <c r="L251" s="90">
        <v>166</v>
      </c>
      <c r="M251" s="90">
        <v>32</v>
      </c>
      <c r="N251" s="90"/>
      <c r="O251" s="90"/>
      <c r="P251" s="91">
        <v>0.90200000000000002</v>
      </c>
      <c r="Q251" s="91">
        <v>0.85599999999999998</v>
      </c>
      <c r="R251" s="91">
        <v>0.17899999999999999</v>
      </c>
      <c r="S251" s="91">
        <v>4.1625152219639097E-2</v>
      </c>
    </row>
    <row r="252" spans="1:19" s="5" customFormat="1" ht="15.75" customHeight="1" x14ac:dyDescent="0.2">
      <c r="A252" s="90" t="s">
        <v>32</v>
      </c>
      <c r="B252" s="90" t="s">
        <v>33</v>
      </c>
      <c r="C252" s="90" t="s">
        <v>34</v>
      </c>
      <c r="D252" s="90"/>
      <c r="E252" s="90" t="s">
        <v>17</v>
      </c>
      <c r="F252" s="90"/>
      <c r="G252" s="90" t="s">
        <v>406</v>
      </c>
      <c r="H252" s="90"/>
      <c r="I252" s="90"/>
      <c r="J252" s="90"/>
      <c r="K252" s="90"/>
      <c r="L252" s="90">
        <v>112</v>
      </c>
      <c r="M252" s="90">
        <v>111</v>
      </c>
      <c r="N252" s="90"/>
      <c r="O252" s="90"/>
      <c r="P252" s="91">
        <v>0.98499999999999999</v>
      </c>
      <c r="Q252" s="91">
        <v>0.92300000000000004</v>
      </c>
      <c r="R252" s="91">
        <v>4.4999999999999998E-2</v>
      </c>
      <c r="S252" s="91">
        <v>7.9375622716705396E-2</v>
      </c>
    </row>
    <row r="253" spans="1:19" s="5" customFormat="1" x14ac:dyDescent="0.2">
      <c r="A253" s="90" t="s">
        <v>106</v>
      </c>
      <c r="B253" s="90" t="s">
        <v>33</v>
      </c>
      <c r="C253" s="92" t="s">
        <v>107</v>
      </c>
      <c r="D253" s="92"/>
      <c r="E253" s="90" t="s">
        <v>17</v>
      </c>
      <c r="F253" s="90" t="s">
        <v>25</v>
      </c>
      <c r="G253" s="90"/>
      <c r="H253" s="90"/>
      <c r="I253" s="90"/>
      <c r="J253" s="90" t="s">
        <v>26</v>
      </c>
      <c r="K253" s="90"/>
      <c r="L253" s="90">
        <v>143</v>
      </c>
      <c r="M253" s="90">
        <v>142</v>
      </c>
      <c r="N253" s="90"/>
      <c r="O253" s="90"/>
      <c r="P253" s="93">
        <v>0.94</v>
      </c>
      <c r="Q253" s="93">
        <v>0.46600000000000003</v>
      </c>
      <c r="R253" s="91">
        <v>0.39900000000000002</v>
      </c>
      <c r="S253" s="91">
        <v>0.360123989815122</v>
      </c>
    </row>
    <row r="254" spans="1:19" s="5" customFormat="1" x14ac:dyDescent="0.2">
      <c r="A254" s="90" t="s">
        <v>640</v>
      </c>
      <c r="B254" s="90" t="s">
        <v>33</v>
      </c>
      <c r="C254" s="90" t="s">
        <v>34</v>
      </c>
      <c r="D254" s="90"/>
      <c r="E254" s="90" t="s">
        <v>17</v>
      </c>
      <c r="F254" s="90"/>
      <c r="G254" s="90"/>
      <c r="H254" s="90"/>
      <c r="I254" s="90"/>
      <c r="J254" s="90" t="s">
        <v>26</v>
      </c>
      <c r="K254" s="90"/>
      <c r="L254" s="90">
        <v>107</v>
      </c>
      <c r="M254" s="90">
        <v>106</v>
      </c>
      <c r="N254" s="90"/>
      <c r="O254" s="90"/>
      <c r="P254" s="91">
        <v>0.98499999999999999</v>
      </c>
      <c r="Q254" s="91">
        <v>0.92300000000000004</v>
      </c>
      <c r="R254" s="91">
        <v>4.4999999999999998E-2</v>
      </c>
      <c r="S254" s="91">
        <v>7.9375622716705396E-2</v>
      </c>
    </row>
    <row r="255" spans="1:19" s="5" customFormat="1" x14ac:dyDescent="0.2">
      <c r="A255" s="90" t="s">
        <v>433</v>
      </c>
      <c r="B255" s="90" t="s">
        <v>273</v>
      </c>
      <c r="C255" s="90" t="s">
        <v>434</v>
      </c>
      <c r="D255" s="90"/>
      <c r="E255" s="90" t="s">
        <v>17</v>
      </c>
      <c r="F255" s="90"/>
      <c r="G255" s="90" t="s">
        <v>406</v>
      </c>
      <c r="H255" s="90"/>
      <c r="I255" s="90"/>
      <c r="J255" s="90"/>
      <c r="K255" s="90"/>
      <c r="L255" s="90">
        <v>556</v>
      </c>
      <c r="M255" s="90">
        <v>105</v>
      </c>
      <c r="N255" s="90"/>
      <c r="O255" s="90"/>
      <c r="P255" s="91">
        <v>0.66700000000000004</v>
      </c>
      <c r="Q255" s="91">
        <v>0.79700000000000004</v>
      </c>
      <c r="R255" s="91">
        <v>0.497</v>
      </c>
      <c r="S255" s="91">
        <v>4.7935348167829003E-2</v>
      </c>
    </row>
    <row r="256" spans="1:19" s="5" customFormat="1" x14ac:dyDescent="0.2">
      <c r="A256" s="90" t="s">
        <v>157</v>
      </c>
      <c r="B256" s="90" t="s">
        <v>95</v>
      </c>
      <c r="C256" s="90" t="s">
        <v>158</v>
      </c>
      <c r="D256" s="90"/>
      <c r="E256" s="90" t="s">
        <v>17</v>
      </c>
      <c r="F256" s="90"/>
      <c r="G256" s="90" t="s">
        <v>406</v>
      </c>
      <c r="H256" s="90"/>
      <c r="I256" s="90"/>
      <c r="J256" s="90"/>
      <c r="K256" s="90"/>
      <c r="L256" s="90">
        <v>9</v>
      </c>
      <c r="M256" s="90">
        <v>9</v>
      </c>
      <c r="N256" s="90"/>
      <c r="O256" s="90"/>
      <c r="P256" s="91">
        <v>0.92600000000000005</v>
      </c>
      <c r="Q256" s="91">
        <v>0.502</v>
      </c>
      <c r="R256" s="91">
        <v>0.48899999999999999</v>
      </c>
      <c r="S256" s="91">
        <v>0.59028008413594601</v>
      </c>
    </row>
    <row r="257" spans="1:19" s="5" customFormat="1" x14ac:dyDescent="0.2">
      <c r="A257" s="90" t="s">
        <v>456</v>
      </c>
      <c r="B257" s="90" t="s">
        <v>95</v>
      </c>
      <c r="C257" s="92" t="s">
        <v>457</v>
      </c>
      <c r="D257" s="92"/>
      <c r="E257" s="90" t="s">
        <v>17</v>
      </c>
      <c r="F257" s="90" t="s">
        <v>25</v>
      </c>
      <c r="G257" s="90" t="s">
        <v>406</v>
      </c>
      <c r="H257" s="90"/>
      <c r="I257" s="90"/>
      <c r="J257" s="90"/>
      <c r="K257" s="90"/>
      <c r="L257" s="90">
        <v>17</v>
      </c>
      <c r="M257" s="90">
        <v>17</v>
      </c>
      <c r="N257" s="90"/>
      <c r="O257" s="90"/>
      <c r="P257" s="93">
        <v>0.45</v>
      </c>
      <c r="Q257" s="93">
        <v>0.70199999999999996</v>
      </c>
      <c r="R257" s="91">
        <v>0.51200000000000001</v>
      </c>
      <c r="S257" s="91">
        <v>0.54566589173032198</v>
      </c>
    </row>
    <row r="258" spans="1:19" s="5" customFormat="1" x14ac:dyDescent="0.2">
      <c r="A258" s="90" t="s">
        <v>488</v>
      </c>
      <c r="B258" s="90" t="s">
        <v>95</v>
      </c>
      <c r="C258" s="92" t="s">
        <v>96</v>
      </c>
      <c r="D258" s="92"/>
      <c r="E258" s="90" t="s">
        <v>17</v>
      </c>
      <c r="F258" s="90" t="s">
        <v>25</v>
      </c>
      <c r="G258" s="90" t="s">
        <v>406</v>
      </c>
      <c r="H258" s="90"/>
      <c r="I258" s="90"/>
      <c r="J258" s="90"/>
      <c r="K258" s="90"/>
      <c r="L258" s="90">
        <v>75</v>
      </c>
      <c r="M258" s="90">
        <v>74</v>
      </c>
      <c r="N258" s="90"/>
      <c r="O258" s="90"/>
      <c r="P258" s="93">
        <v>0.28999999999999998</v>
      </c>
      <c r="Q258" s="93">
        <v>0.438</v>
      </c>
      <c r="R258" s="91">
        <v>0.86599999999999999</v>
      </c>
      <c r="S258" s="91">
        <v>0.66865936012398897</v>
      </c>
    </row>
    <row r="259" spans="1:19" s="5" customFormat="1" x14ac:dyDescent="0.2">
      <c r="A259" s="90" t="s">
        <v>489</v>
      </c>
      <c r="B259" s="90" t="s">
        <v>95</v>
      </c>
      <c r="C259" s="90" t="s">
        <v>304</v>
      </c>
      <c r="D259" s="90"/>
      <c r="E259" s="90" t="s">
        <v>17</v>
      </c>
      <c r="F259" s="90"/>
      <c r="G259" s="90" t="s">
        <v>406</v>
      </c>
      <c r="H259" s="90"/>
      <c r="I259" s="90"/>
      <c r="J259" s="90"/>
      <c r="K259" s="90"/>
      <c r="L259" s="90">
        <v>40</v>
      </c>
      <c r="M259" s="90">
        <v>40</v>
      </c>
      <c r="N259" s="90"/>
      <c r="O259" s="90"/>
      <c r="P259" s="91">
        <v>0.70499999999999996</v>
      </c>
      <c r="Q259" s="91">
        <v>0.28100000000000003</v>
      </c>
      <c r="R259" s="91">
        <v>0.35699999999999998</v>
      </c>
      <c r="S259" s="91">
        <v>0.76663345510904402</v>
      </c>
    </row>
    <row r="260" spans="1:19" s="5" customFormat="1" x14ac:dyDescent="0.2">
      <c r="A260" s="90" t="s">
        <v>493</v>
      </c>
      <c r="B260" s="90" t="s">
        <v>95</v>
      </c>
      <c r="C260" s="92" t="s">
        <v>313</v>
      </c>
      <c r="D260" s="92"/>
      <c r="E260" s="90" t="s">
        <v>17</v>
      </c>
      <c r="F260" s="90" t="s">
        <v>25</v>
      </c>
      <c r="G260" s="90" t="s">
        <v>406</v>
      </c>
      <c r="H260" s="90"/>
      <c r="I260" s="90"/>
      <c r="J260" s="90"/>
      <c r="K260" s="90"/>
      <c r="L260" s="90">
        <v>57</v>
      </c>
      <c r="M260" s="90">
        <v>56</v>
      </c>
      <c r="N260" s="90"/>
      <c r="O260" s="90"/>
      <c r="P260" s="93">
        <v>0.53</v>
      </c>
      <c r="Q260" s="93">
        <v>0.26</v>
      </c>
      <c r="R260" s="91">
        <v>0.92500000000000004</v>
      </c>
      <c r="S260" s="91">
        <v>0.86969998892947997</v>
      </c>
    </row>
    <row r="261" spans="1:19" s="5" customFormat="1" x14ac:dyDescent="0.2">
      <c r="A261" s="90" t="s">
        <v>249</v>
      </c>
      <c r="B261" s="90" t="s">
        <v>95</v>
      </c>
      <c r="C261" s="90" t="s">
        <v>250</v>
      </c>
      <c r="D261" s="90"/>
      <c r="E261" s="90" t="s">
        <v>17</v>
      </c>
      <c r="F261" s="90"/>
      <c r="G261" s="90" t="s">
        <v>406</v>
      </c>
      <c r="H261" s="90"/>
      <c r="I261" s="90"/>
      <c r="J261" s="90"/>
      <c r="K261" s="90"/>
      <c r="L261" s="90">
        <v>47</v>
      </c>
      <c r="M261" s="90">
        <v>22</v>
      </c>
      <c r="N261" s="90"/>
      <c r="O261" s="90"/>
      <c r="P261" s="91">
        <v>0.58399999999999996</v>
      </c>
      <c r="Q261" s="91">
        <v>0.84299999999999997</v>
      </c>
      <c r="R261" s="91">
        <v>0.55300000000000005</v>
      </c>
      <c r="S261" s="91">
        <v>0.64862172035868404</v>
      </c>
    </row>
    <row r="262" spans="1:19" s="5" customFormat="1" x14ac:dyDescent="0.2">
      <c r="A262" s="90" t="s">
        <v>205</v>
      </c>
      <c r="B262" s="90" t="s">
        <v>95</v>
      </c>
      <c r="C262" s="90" t="s">
        <v>206</v>
      </c>
      <c r="D262" s="90"/>
      <c r="E262" s="90" t="s">
        <v>17</v>
      </c>
      <c r="F262" s="90"/>
      <c r="G262" s="90" t="s">
        <v>406</v>
      </c>
      <c r="H262" s="90"/>
      <c r="I262" s="90"/>
      <c r="J262" s="90"/>
      <c r="K262" s="90"/>
      <c r="L262" s="90">
        <v>27</v>
      </c>
      <c r="M262" s="90">
        <v>27</v>
      </c>
      <c r="N262" s="90"/>
      <c r="O262" s="90"/>
      <c r="P262" s="91">
        <v>0.29199999999999998</v>
      </c>
      <c r="Q262" s="91">
        <v>0.91900000000000004</v>
      </c>
      <c r="R262" s="91">
        <v>0.20499999999999999</v>
      </c>
      <c r="S262" s="91">
        <v>0.533045499833942</v>
      </c>
    </row>
    <row r="263" spans="1:19" s="5" customFormat="1" x14ac:dyDescent="0.2">
      <c r="A263" s="90" t="s">
        <v>94</v>
      </c>
      <c r="B263" s="90" t="s">
        <v>95</v>
      </c>
      <c r="C263" s="90" t="s">
        <v>96</v>
      </c>
      <c r="D263" s="90"/>
      <c r="E263" s="90" t="s">
        <v>17</v>
      </c>
      <c r="F263" s="90"/>
      <c r="G263" s="90" t="s">
        <v>406</v>
      </c>
      <c r="H263" s="90"/>
      <c r="I263" s="90"/>
      <c r="J263" s="90"/>
      <c r="K263" s="90"/>
      <c r="L263" s="90">
        <v>8</v>
      </c>
      <c r="M263" s="90">
        <v>8</v>
      </c>
      <c r="N263" s="90"/>
      <c r="O263" s="90"/>
      <c r="P263" s="91">
        <v>0.28799999999999998</v>
      </c>
      <c r="Q263" s="91">
        <v>0.438</v>
      </c>
      <c r="R263" s="91">
        <v>0.86599999999999999</v>
      </c>
      <c r="S263" s="91">
        <v>0.66865936012398897</v>
      </c>
    </row>
    <row r="264" spans="1:19" s="5" customFormat="1" x14ac:dyDescent="0.2">
      <c r="A264" s="90" t="s">
        <v>245</v>
      </c>
      <c r="B264" s="90" t="s">
        <v>95</v>
      </c>
      <c r="C264" s="90" t="s">
        <v>246</v>
      </c>
      <c r="D264" s="90"/>
      <c r="E264" s="90" t="s">
        <v>17</v>
      </c>
      <c r="F264" s="90"/>
      <c r="G264" s="90" t="s">
        <v>406</v>
      </c>
      <c r="H264" s="90"/>
      <c r="I264" s="90"/>
      <c r="J264" s="90"/>
      <c r="K264" s="90"/>
      <c r="L264" s="90">
        <v>40</v>
      </c>
      <c r="M264" s="90">
        <v>40</v>
      </c>
      <c r="N264" s="90"/>
      <c r="O264" s="90"/>
      <c r="P264" s="91">
        <v>0.505</v>
      </c>
      <c r="Q264" s="91">
        <v>0.29399999999999998</v>
      </c>
      <c r="R264" s="91">
        <v>0.215</v>
      </c>
      <c r="S264" s="91">
        <v>0.87534595372522905</v>
      </c>
    </row>
    <row r="265" spans="1:19" s="5" customFormat="1" x14ac:dyDescent="0.2">
      <c r="A265" s="90" t="s">
        <v>356</v>
      </c>
      <c r="B265" s="90" t="s">
        <v>95</v>
      </c>
      <c r="C265" s="90" t="s">
        <v>357</v>
      </c>
      <c r="D265" s="90"/>
      <c r="E265" s="90" t="s">
        <v>17</v>
      </c>
      <c r="F265" s="90"/>
      <c r="G265" s="90" t="s">
        <v>406</v>
      </c>
      <c r="H265" s="90"/>
      <c r="I265" s="90"/>
      <c r="J265" s="90"/>
      <c r="K265" s="90"/>
      <c r="L265" s="90">
        <v>6</v>
      </c>
      <c r="M265" s="90">
        <v>6</v>
      </c>
      <c r="N265" s="90"/>
      <c r="O265" s="90"/>
      <c r="P265" s="91">
        <v>0.19600000000000001</v>
      </c>
      <c r="Q265" s="91">
        <v>0.21099999999999999</v>
      </c>
      <c r="R265" s="91">
        <v>0.70399999999999996</v>
      </c>
      <c r="S265" s="91">
        <v>0.62614856636776195</v>
      </c>
    </row>
    <row r="266" spans="1:19" s="5" customFormat="1" x14ac:dyDescent="0.2">
      <c r="A266" s="90" t="s">
        <v>515</v>
      </c>
      <c r="B266" s="90" t="s">
        <v>95</v>
      </c>
      <c r="C266" s="90" t="s">
        <v>158</v>
      </c>
      <c r="D266" s="90"/>
      <c r="E266" s="90" t="s">
        <v>17</v>
      </c>
      <c r="F266" s="90"/>
      <c r="G266" s="90" t="s">
        <v>406</v>
      </c>
      <c r="H266" s="90"/>
      <c r="I266" s="90"/>
      <c r="J266" s="90"/>
      <c r="K266" s="90"/>
      <c r="L266" s="90">
        <v>24</v>
      </c>
      <c r="M266" s="90">
        <v>24</v>
      </c>
      <c r="N266" s="90"/>
      <c r="O266" s="90"/>
      <c r="P266" s="91">
        <v>0.92600000000000005</v>
      </c>
      <c r="Q266" s="91">
        <v>0.502</v>
      </c>
      <c r="R266" s="91">
        <v>0.48899999999999999</v>
      </c>
      <c r="S266" s="91">
        <v>0.59028008413594601</v>
      </c>
    </row>
    <row r="267" spans="1:19" s="5" customFormat="1" x14ac:dyDescent="0.2">
      <c r="A267" s="90" t="s">
        <v>516</v>
      </c>
      <c r="B267" s="90" t="s">
        <v>95</v>
      </c>
      <c r="C267" s="92" t="s">
        <v>397</v>
      </c>
      <c r="D267" s="92"/>
      <c r="E267" s="90" t="s">
        <v>17</v>
      </c>
      <c r="F267" s="90" t="s">
        <v>25</v>
      </c>
      <c r="G267" s="90" t="s">
        <v>406</v>
      </c>
      <c r="H267" s="90"/>
      <c r="I267" s="90"/>
      <c r="J267" s="90"/>
      <c r="K267" s="90"/>
      <c r="L267" s="90">
        <v>64</v>
      </c>
      <c r="M267" s="90">
        <v>64</v>
      </c>
      <c r="N267" s="90"/>
      <c r="O267" s="90"/>
      <c r="P267" s="93">
        <v>0.39</v>
      </c>
      <c r="Q267" s="91">
        <v>0.72799999999999998</v>
      </c>
      <c r="R267" s="91">
        <v>0.58199999999999996</v>
      </c>
      <c r="S267" s="91">
        <v>0.61817779253847005</v>
      </c>
    </row>
    <row r="268" spans="1:19" s="5" customFormat="1" x14ac:dyDescent="0.2">
      <c r="A268" s="90" t="s">
        <v>540</v>
      </c>
      <c r="B268" s="90" t="s">
        <v>95</v>
      </c>
      <c r="C268" s="90" t="s">
        <v>96</v>
      </c>
      <c r="D268" s="90"/>
      <c r="E268" s="90" t="s">
        <v>17</v>
      </c>
      <c r="F268" s="90"/>
      <c r="G268" s="90" t="s">
        <v>406</v>
      </c>
      <c r="H268" s="90"/>
      <c r="I268" s="90"/>
      <c r="J268" s="90"/>
      <c r="K268" s="90"/>
      <c r="L268" s="90">
        <v>3</v>
      </c>
      <c r="M268" s="90">
        <v>3</v>
      </c>
      <c r="N268" s="90"/>
      <c r="O268" s="90"/>
      <c r="P268" s="91">
        <v>0.28799999999999998</v>
      </c>
      <c r="Q268" s="91">
        <v>0.438</v>
      </c>
      <c r="R268" s="91">
        <v>0.86599999999999999</v>
      </c>
      <c r="S268" s="91">
        <v>0.66865936012398897</v>
      </c>
    </row>
    <row r="269" spans="1:19" s="5" customFormat="1" x14ac:dyDescent="0.2">
      <c r="A269" s="90" t="s">
        <v>554</v>
      </c>
      <c r="B269" s="90" t="s">
        <v>95</v>
      </c>
      <c r="C269" s="90" t="s">
        <v>158</v>
      </c>
      <c r="D269" s="90"/>
      <c r="E269" s="90" t="s">
        <v>17</v>
      </c>
      <c r="F269" s="90"/>
      <c r="G269" s="90" t="s">
        <v>406</v>
      </c>
      <c r="H269" s="90"/>
      <c r="I269" s="90"/>
      <c r="J269" s="90"/>
      <c r="K269" s="90"/>
      <c r="L269" s="90">
        <v>56</v>
      </c>
      <c r="M269" s="90">
        <v>56</v>
      </c>
      <c r="N269" s="90"/>
      <c r="O269" s="90"/>
      <c r="P269" s="91">
        <v>0.92600000000000005</v>
      </c>
      <c r="Q269" s="91">
        <v>0.502</v>
      </c>
      <c r="R269" s="91">
        <v>0.48899999999999999</v>
      </c>
      <c r="S269" s="91">
        <v>0.59028008413594601</v>
      </c>
    </row>
    <row r="270" spans="1:19" s="5" customFormat="1" x14ac:dyDescent="0.2">
      <c r="A270" s="90" t="s">
        <v>593</v>
      </c>
      <c r="B270" s="90" t="s">
        <v>95</v>
      </c>
      <c r="C270" s="90" t="s">
        <v>594</v>
      </c>
      <c r="D270" s="90"/>
      <c r="E270" s="90" t="s">
        <v>17</v>
      </c>
      <c r="F270" s="90"/>
      <c r="G270" s="90" t="s">
        <v>406</v>
      </c>
      <c r="H270" s="90"/>
      <c r="I270" s="90"/>
      <c r="J270" s="90"/>
      <c r="K270" s="90"/>
      <c r="L270" s="90">
        <v>6</v>
      </c>
      <c r="M270" s="90">
        <v>6</v>
      </c>
      <c r="N270" s="90"/>
      <c r="O270" s="90"/>
      <c r="P270" s="91">
        <v>0.193</v>
      </c>
      <c r="Q270" s="91">
        <v>0.5</v>
      </c>
      <c r="R270" s="91">
        <v>0.89</v>
      </c>
      <c r="S270" s="91">
        <v>0.67474814568803199</v>
      </c>
    </row>
    <row r="271" spans="1:19" s="5" customFormat="1" x14ac:dyDescent="0.2">
      <c r="A271" s="90" t="s">
        <v>641</v>
      </c>
      <c r="B271" s="90" t="s">
        <v>95</v>
      </c>
      <c r="C271" s="92" t="s">
        <v>642</v>
      </c>
      <c r="D271" s="92"/>
      <c r="E271" s="90" t="s">
        <v>17</v>
      </c>
      <c r="F271" s="90" t="s">
        <v>25</v>
      </c>
      <c r="G271" s="90" t="s">
        <v>406</v>
      </c>
      <c r="H271" s="90"/>
      <c r="I271" s="90"/>
      <c r="J271" s="90"/>
      <c r="K271" s="90"/>
      <c r="L271" s="90">
        <v>63</v>
      </c>
      <c r="M271" s="90">
        <v>62</v>
      </c>
      <c r="N271" s="90"/>
      <c r="O271" s="90"/>
      <c r="P271" s="93">
        <v>0.28999999999999998</v>
      </c>
      <c r="Q271" s="93">
        <v>0.74299999999999999</v>
      </c>
      <c r="R271" s="91">
        <v>0.53</v>
      </c>
      <c r="S271" s="91">
        <v>0.60367541237683997</v>
      </c>
    </row>
    <row r="272" spans="1:19" s="5" customFormat="1" x14ac:dyDescent="0.2">
      <c r="A272" s="90" t="s">
        <v>688</v>
      </c>
      <c r="B272" s="90" t="s">
        <v>95</v>
      </c>
      <c r="C272" s="92" t="s">
        <v>662</v>
      </c>
      <c r="D272" s="92"/>
      <c r="E272" s="90" t="s">
        <v>17</v>
      </c>
      <c r="F272" s="90" t="s">
        <v>25</v>
      </c>
      <c r="G272" s="90" t="s">
        <v>406</v>
      </c>
      <c r="H272" s="90"/>
      <c r="I272" s="90"/>
      <c r="J272" s="90"/>
      <c r="K272" s="90"/>
      <c r="L272" s="90">
        <v>260</v>
      </c>
      <c r="M272" s="90">
        <v>256</v>
      </c>
      <c r="N272" s="90"/>
      <c r="O272" s="90"/>
      <c r="P272" s="93">
        <v>0.31</v>
      </c>
      <c r="Q272" s="93">
        <v>0.48899999999999999</v>
      </c>
      <c r="R272" s="91">
        <v>0.44</v>
      </c>
      <c r="S272" s="91">
        <v>0.48212111148012798</v>
      </c>
    </row>
    <row r="273" spans="1:19" s="5" customFormat="1" x14ac:dyDescent="0.2">
      <c r="A273" s="90" t="s">
        <v>730</v>
      </c>
      <c r="B273" s="90" t="s">
        <v>95</v>
      </c>
      <c r="C273" s="90" t="s">
        <v>731</v>
      </c>
      <c r="D273" s="90"/>
      <c r="E273" s="90" t="s">
        <v>17</v>
      </c>
      <c r="F273" s="90"/>
      <c r="G273" s="90" t="s">
        <v>406</v>
      </c>
      <c r="H273" s="90"/>
      <c r="I273" s="90"/>
      <c r="J273" s="90"/>
      <c r="K273" s="90"/>
      <c r="L273" s="90">
        <v>5</v>
      </c>
      <c r="M273" s="90">
        <v>5</v>
      </c>
      <c r="N273" s="90"/>
      <c r="O273" s="90"/>
      <c r="P273" s="91">
        <v>0.307</v>
      </c>
      <c r="Q273" s="91">
        <v>0.79300000000000004</v>
      </c>
      <c r="R273" s="91">
        <v>0.435</v>
      </c>
      <c r="S273" s="91">
        <v>0.29978966013505998</v>
      </c>
    </row>
    <row r="274" spans="1:19" s="5" customFormat="1" x14ac:dyDescent="0.2">
      <c r="A274" s="90" t="s">
        <v>754</v>
      </c>
      <c r="B274" s="90" t="s">
        <v>95</v>
      </c>
      <c r="C274" s="90" t="s">
        <v>755</v>
      </c>
      <c r="D274" s="90"/>
      <c r="E274" s="90" t="s">
        <v>17</v>
      </c>
      <c r="F274" s="90"/>
      <c r="G274" s="90" t="s">
        <v>406</v>
      </c>
      <c r="H274" s="90"/>
      <c r="I274" s="90"/>
      <c r="J274" s="90"/>
      <c r="K274" s="90"/>
      <c r="L274" s="90">
        <v>7</v>
      </c>
      <c r="M274" s="90">
        <v>7</v>
      </c>
      <c r="N274" s="90"/>
      <c r="O274" s="90"/>
      <c r="P274" s="91">
        <v>0.318</v>
      </c>
      <c r="Q274" s="91">
        <v>0.60399999999999998</v>
      </c>
      <c r="R274" s="91">
        <v>0.68899999999999995</v>
      </c>
      <c r="S274" s="91">
        <v>0.53913428539798502</v>
      </c>
    </row>
    <row r="275" spans="1:19" s="5" customFormat="1" x14ac:dyDescent="0.2">
      <c r="A275" s="90" t="s">
        <v>770</v>
      </c>
      <c r="B275" s="90" t="s">
        <v>95</v>
      </c>
      <c r="C275" s="90" t="s">
        <v>158</v>
      </c>
      <c r="D275" s="90"/>
      <c r="E275" s="90" t="s">
        <v>17</v>
      </c>
      <c r="F275" s="90"/>
      <c r="G275" s="90" t="s">
        <v>406</v>
      </c>
      <c r="H275" s="90"/>
      <c r="I275" s="90"/>
      <c r="J275" s="90"/>
      <c r="K275" s="90"/>
      <c r="L275" s="90">
        <v>20</v>
      </c>
      <c r="M275" s="90">
        <v>20</v>
      </c>
      <c r="N275" s="90"/>
      <c r="O275" s="90"/>
      <c r="P275" s="91">
        <v>0.92600000000000005</v>
      </c>
      <c r="Q275" s="91">
        <v>0.502</v>
      </c>
      <c r="R275" s="91">
        <v>0.48899999999999999</v>
      </c>
      <c r="S275" s="91">
        <v>0.59028008413594601</v>
      </c>
    </row>
    <row r="276" spans="1:19" s="5" customFormat="1" x14ac:dyDescent="0.2">
      <c r="A276" s="90" t="s">
        <v>771</v>
      </c>
      <c r="B276" s="90" t="s">
        <v>95</v>
      </c>
      <c r="C276" s="90" t="s">
        <v>158</v>
      </c>
      <c r="D276" s="90"/>
      <c r="E276" s="90" t="s">
        <v>17</v>
      </c>
      <c r="F276" s="90"/>
      <c r="G276" s="90" t="s">
        <v>406</v>
      </c>
      <c r="H276" s="90"/>
      <c r="I276" s="90"/>
      <c r="J276" s="90"/>
      <c r="K276" s="90"/>
      <c r="L276" s="90">
        <v>10</v>
      </c>
      <c r="M276" s="90">
        <v>10</v>
      </c>
      <c r="N276" s="90"/>
      <c r="O276" s="90"/>
      <c r="P276" s="91">
        <v>0.92600000000000005</v>
      </c>
      <c r="Q276" s="91">
        <v>0.502</v>
      </c>
      <c r="R276" s="91">
        <v>0.48899999999999999</v>
      </c>
      <c r="S276" s="91">
        <v>0.59028008413594601</v>
      </c>
    </row>
    <row r="277" spans="1:19" s="5" customFormat="1" x14ac:dyDescent="0.2">
      <c r="A277" s="90" t="s">
        <v>772</v>
      </c>
      <c r="B277" s="90" t="s">
        <v>95</v>
      </c>
      <c r="C277" s="90" t="s">
        <v>158</v>
      </c>
      <c r="D277" s="90"/>
      <c r="E277" s="90" t="s">
        <v>17</v>
      </c>
      <c r="F277" s="90"/>
      <c r="G277" s="90" t="s">
        <v>406</v>
      </c>
      <c r="H277" s="90"/>
      <c r="I277" s="90"/>
      <c r="J277" s="90"/>
      <c r="K277" s="90"/>
      <c r="L277" s="90">
        <v>10</v>
      </c>
      <c r="M277" s="90">
        <v>10</v>
      </c>
      <c r="N277" s="90"/>
      <c r="O277" s="90"/>
      <c r="P277" s="91">
        <v>0.92600000000000005</v>
      </c>
      <c r="Q277" s="91">
        <v>0.502</v>
      </c>
      <c r="R277" s="91">
        <v>0.48899999999999999</v>
      </c>
      <c r="S277" s="91">
        <v>0.59028008413594601</v>
      </c>
    </row>
    <row r="278" spans="1:19" s="5" customFormat="1" x14ac:dyDescent="0.2">
      <c r="A278" s="90" t="s">
        <v>396</v>
      </c>
      <c r="B278" s="90" t="s">
        <v>95</v>
      </c>
      <c r="C278" s="90" t="s">
        <v>397</v>
      </c>
      <c r="D278" s="90"/>
      <c r="E278" s="90" t="s">
        <v>17</v>
      </c>
      <c r="F278" s="90"/>
      <c r="G278" s="90"/>
      <c r="H278" s="90"/>
      <c r="I278" s="90"/>
      <c r="J278" s="90" t="s">
        <v>26</v>
      </c>
      <c r="K278" s="90"/>
      <c r="L278" s="90">
        <v>4</v>
      </c>
      <c r="M278" s="90">
        <v>4</v>
      </c>
      <c r="N278" s="90"/>
      <c r="O278" s="90"/>
      <c r="P278" s="91">
        <v>0.38600000000000001</v>
      </c>
      <c r="Q278" s="91">
        <v>0.72799999999999998</v>
      </c>
      <c r="R278" s="91">
        <v>0.58199999999999996</v>
      </c>
      <c r="S278" s="91">
        <v>0.61817779253847005</v>
      </c>
    </row>
    <row r="279" spans="1:19" s="5" customFormat="1" x14ac:dyDescent="0.2">
      <c r="A279" s="90" t="s">
        <v>303</v>
      </c>
      <c r="B279" s="90" t="s">
        <v>95</v>
      </c>
      <c r="C279" s="92" t="s">
        <v>304</v>
      </c>
      <c r="D279" s="92"/>
      <c r="E279" s="90" t="s">
        <v>17</v>
      </c>
      <c r="F279" s="90" t="s">
        <v>25</v>
      </c>
      <c r="G279" s="90"/>
      <c r="H279" s="90"/>
      <c r="I279" s="90"/>
      <c r="J279" s="90" t="s">
        <v>26</v>
      </c>
      <c r="K279" s="90"/>
      <c r="L279" s="90">
        <v>50</v>
      </c>
      <c r="M279" s="90">
        <v>49</v>
      </c>
      <c r="N279" s="90"/>
      <c r="O279" s="90"/>
      <c r="P279" s="93">
        <v>0.71</v>
      </c>
      <c r="Q279" s="93">
        <v>0.28100000000000003</v>
      </c>
      <c r="R279" s="91">
        <v>0.35699999999999998</v>
      </c>
      <c r="S279" s="91">
        <v>0.76663345510904402</v>
      </c>
    </row>
    <row r="280" spans="1:19" s="5" customFormat="1" x14ac:dyDescent="0.2">
      <c r="A280" s="90" t="s">
        <v>364</v>
      </c>
      <c r="B280" s="90" t="s">
        <v>95</v>
      </c>
      <c r="C280" s="92" t="s">
        <v>365</v>
      </c>
      <c r="D280" s="92"/>
      <c r="E280" s="90" t="s">
        <v>17</v>
      </c>
      <c r="F280" s="90" t="s">
        <v>25</v>
      </c>
      <c r="G280" s="90"/>
      <c r="H280" s="90"/>
      <c r="I280" s="90"/>
      <c r="J280" s="90" t="s">
        <v>26</v>
      </c>
      <c r="K280" s="90"/>
      <c r="L280" s="90">
        <v>333</v>
      </c>
      <c r="M280" s="90">
        <v>332</v>
      </c>
      <c r="N280" s="90"/>
      <c r="O280" s="90"/>
      <c r="P280" s="93">
        <v>0.45</v>
      </c>
      <c r="Q280" s="93">
        <v>0.15</v>
      </c>
      <c r="R280" s="91">
        <v>0.63600000000000001</v>
      </c>
      <c r="S280" s="91">
        <v>0.80892283848112401</v>
      </c>
    </row>
    <row r="281" spans="1:19" s="5" customFormat="1" x14ac:dyDescent="0.2">
      <c r="A281" s="90" t="s">
        <v>366</v>
      </c>
      <c r="B281" s="90" t="s">
        <v>95</v>
      </c>
      <c r="C281" s="92" t="s">
        <v>304</v>
      </c>
      <c r="D281" s="92"/>
      <c r="E281" s="90" t="s">
        <v>17</v>
      </c>
      <c r="F281" s="90" t="s">
        <v>25</v>
      </c>
      <c r="G281" s="90"/>
      <c r="H281" s="90"/>
      <c r="I281" s="90"/>
      <c r="J281" s="90" t="s">
        <v>26</v>
      </c>
      <c r="K281" s="90"/>
      <c r="L281" s="90">
        <v>83</v>
      </c>
      <c r="M281" s="90">
        <v>82</v>
      </c>
      <c r="N281" s="90"/>
      <c r="O281" s="90"/>
      <c r="P281" s="93">
        <v>0.71</v>
      </c>
      <c r="Q281" s="93">
        <v>0.28100000000000003</v>
      </c>
      <c r="R281" s="91">
        <v>0.35699999999999998</v>
      </c>
      <c r="S281" s="91">
        <v>0.76663345510904402</v>
      </c>
    </row>
    <row r="282" spans="1:19" s="5" customFormat="1" x14ac:dyDescent="0.2">
      <c r="A282" s="90" t="s">
        <v>514</v>
      </c>
      <c r="B282" s="90" t="s">
        <v>95</v>
      </c>
      <c r="C282" s="90" t="s">
        <v>357</v>
      </c>
      <c r="D282" s="90"/>
      <c r="E282" s="90" t="s">
        <v>17</v>
      </c>
      <c r="F282" s="90"/>
      <c r="G282" s="90"/>
      <c r="H282" s="90"/>
      <c r="I282" s="90"/>
      <c r="J282" s="90" t="s">
        <v>26</v>
      </c>
      <c r="K282" s="90"/>
      <c r="L282" s="90">
        <v>6</v>
      </c>
      <c r="M282" s="90">
        <v>6</v>
      </c>
      <c r="N282" s="90"/>
      <c r="O282" s="90"/>
      <c r="P282" s="91">
        <v>0.19600000000000001</v>
      </c>
      <c r="Q282" s="91">
        <v>0.21099999999999999</v>
      </c>
      <c r="R282" s="91">
        <v>0.70399999999999996</v>
      </c>
      <c r="S282" s="91">
        <v>0.62614856636776195</v>
      </c>
    </row>
    <row r="283" spans="1:19" s="5" customFormat="1" x14ac:dyDescent="0.2">
      <c r="A283" s="90" t="s">
        <v>521</v>
      </c>
      <c r="B283" s="90" t="s">
        <v>95</v>
      </c>
      <c r="C283" s="90" t="s">
        <v>397</v>
      </c>
      <c r="D283" s="90"/>
      <c r="E283" s="90" t="s">
        <v>17</v>
      </c>
      <c r="F283" s="90"/>
      <c r="G283" s="90"/>
      <c r="H283" s="90"/>
      <c r="I283" s="90"/>
      <c r="J283" s="90" t="s">
        <v>26</v>
      </c>
      <c r="K283" s="90"/>
      <c r="L283" s="90">
        <v>33</v>
      </c>
      <c r="M283" s="90">
        <v>17</v>
      </c>
      <c r="N283" s="90"/>
      <c r="O283" s="90"/>
      <c r="P283" s="91">
        <v>0.38600000000000001</v>
      </c>
      <c r="Q283" s="91">
        <v>0.72799999999999998</v>
      </c>
      <c r="R283" s="91">
        <v>0.58199999999999996</v>
      </c>
      <c r="S283" s="91">
        <v>0.61817779253847005</v>
      </c>
    </row>
    <row r="284" spans="1:19" s="5" customFormat="1" x14ac:dyDescent="0.2">
      <c r="A284" s="90" t="s">
        <v>548</v>
      </c>
      <c r="B284" s="90" t="s">
        <v>95</v>
      </c>
      <c r="C284" s="90" t="s">
        <v>549</v>
      </c>
      <c r="D284" s="90"/>
      <c r="E284" s="90" t="s">
        <v>17</v>
      </c>
      <c r="F284" s="90"/>
      <c r="G284" s="90"/>
      <c r="H284" s="90"/>
      <c r="I284" s="90"/>
      <c r="J284" s="90" t="s">
        <v>26</v>
      </c>
      <c r="K284" s="90"/>
      <c r="L284" s="90">
        <v>15</v>
      </c>
      <c r="M284" s="90">
        <v>15</v>
      </c>
      <c r="N284" s="90"/>
      <c r="O284" s="90"/>
      <c r="P284" s="91">
        <v>0.379</v>
      </c>
      <c r="Q284" s="91">
        <v>0.25700000000000001</v>
      </c>
      <c r="R284" s="91">
        <v>0.68899999999999995</v>
      </c>
      <c r="S284" s="91">
        <v>0.69235027122771997</v>
      </c>
    </row>
    <row r="285" spans="1:19" s="5" customFormat="1" x14ac:dyDescent="0.2">
      <c r="A285" s="90" t="s">
        <v>661</v>
      </c>
      <c r="B285" s="90" t="s">
        <v>95</v>
      </c>
      <c r="C285" s="92" t="s">
        <v>662</v>
      </c>
      <c r="D285" s="92"/>
      <c r="E285" s="90" t="s">
        <v>17</v>
      </c>
      <c r="F285" s="90" t="s">
        <v>25</v>
      </c>
      <c r="G285" s="90"/>
      <c r="H285" s="90"/>
      <c r="I285" s="90"/>
      <c r="J285" s="90" t="s">
        <v>26</v>
      </c>
      <c r="K285" s="90"/>
      <c r="L285" s="90">
        <v>20</v>
      </c>
      <c r="M285" s="90">
        <v>19</v>
      </c>
      <c r="N285" s="90"/>
      <c r="O285" s="90"/>
      <c r="P285" s="93">
        <v>0.31</v>
      </c>
      <c r="Q285" s="93">
        <v>0.48899999999999999</v>
      </c>
      <c r="R285" s="91">
        <v>0.44</v>
      </c>
      <c r="S285" s="91">
        <v>0.48212111148012798</v>
      </c>
    </row>
    <row r="286" spans="1:19" s="5" customFormat="1" x14ac:dyDescent="0.2">
      <c r="A286" s="90" t="s">
        <v>703</v>
      </c>
      <c r="B286" s="90" t="s">
        <v>95</v>
      </c>
      <c r="C286" s="90" t="s">
        <v>357</v>
      </c>
      <c r="D286" s="90"/>
      <c r="E286" s="90" t="s">
        <v>17</v>
      </c>
      <c r="F286" s="90" t="s">
        <v>25</v>
      </c>
      <c r="G286" s="90"/>
      <c r="H286" s="90"/>
      <c r="I286" s="90"/>
      <c r="J286" s="90" t="s">
        <v>26</v>
      </c>
      <c r="K286" s="90"/>
      <c r="L286" s="90">
        <v>75</v>
      </c>
      <c r="M286" s="90">
        <v>75</v>
      </c>
      <c r="N286" s="90"/>
      <c r="O286" s="90"/>
      <c r="P286" s="91">
        <v>0.19600000000000001</v>
      </c>
      <c r="Q286" s="91">
        <v>0.21099999999999999</v>
      </c>
      <c r="R286" s="91">
        <v>0.70399999999999996</v>
      </c>
      <c r="S286" s="91">
        <v>0.62614856636776195</v>
      </c>
    </row>
    <row r="287" spans="1:19" s="5" customFormat="1" x14ac:dyDescent="0.2">
      <c r="A287" s="90" t="s">
        <v>192</v>
      </c>
      <c r="B287" s="90" t="s">
        <v>68</v>
      </c>
      <c r="C287" s="90" t="s">
        <v>193</v>
      </c>
      <c r="D287" s="90"/>
      <c r="E287" s="90" t="s">
        <v>17</v>
      </c>
      <c r="F287" s="90"/>
      <c r="G287" s="90" t="s">
        <v>406</v>
      </c>
      <c r="H287" s="90"/>
      <c r="I287" s="90"/>
      <c r="J287" s="90"/>
      <c r="K287" s="90"/>
      <c r="L287" s="90">
        <v>104</v>
      </c>
      <c r="M287" s="90">
        <v>10</v>
      </c>
      <c r="N287" s="90"/>
      <c r="O287" s="90"/>
      <c r="P287" s="91">
        <v>0.64</v>
      </c>
      <c r="Q287" s="91">
        <v>0.47199999999999998</v>
      </c>
      <c r="R287" s="91">
        <v>0.29499999999999998</v>
      </c>
      <c r="S287" s="91">
        <v>0.66744160301118105</v>
      </c>
    </row>
    <row r="288" spans="1:19" s="5" customFormat="1" x14ac:dyDescent="0.2">
      <c r="A288" s="90" t="s">
        <v>67</v>
      </c>
      <c r="B288" s="90" t="s">
        <v>68</v>
      </c>
      <c r="C288" s="92" t="s">
        <v>69</v>
      </c>
      <c r="D288" s="90" t="s">
        <v>70</v>
      </c>
      <c r="E288" s="90" t="s">
        <v>17</v>
      </c>
      <c r="F288" s="90"/>
      <c r="G288" s="90" t="s">
        <v>406</v>
      </c>
      <c r="H288" s="90"/>
      <c r="I288" s="90"/>
      <c r="J288" s="90"/>
      <c r="K288" s="90"/>
      <c r="L288" s="90">
        <v>58</v>
      </c>
      <c r="M288" s="90">
        <v>58</v>
      </c>
      <c r="N288" s="90"/>
      <c r="O288" s="90"/>
      <c r="P288" s="91">
        <v>0.215</v>
      </c>
      <c r="Q288" s="91">
        <v>0.81899999999999995</v>
      </c>
      <c r="R288" s="91">
        <v>0.21</v>
      </c>
      <c r="S288" s="91">
        <v>0.38602900476032298</v>
      </c>
    </row>
    <row r="289" spans="1:19" s="5" customFormat="1" x14ac:dyDescent="0.2">
      <c r="A289" s="90" t="s">
        <v>579</v>
      </c>
      <c r="B289" s="90" t="s">
        <v>68</v>
      </c>
      <c r="C289" s="90" t="s">
        <v>580</v>
      </c>
      <c r="D289" s="90"/>
      <c r="E289" s="90" t="s">
        <v>17</v>
      </c>
      <c r="F289" s="90"/>
      <c r="G289" s="90" t="s">
        <v>406</v>
      </c>
      <c r="H289" s="90"/>
      <c r="I289" s="90"/>
      <c r="J289" s="90"/>
      <c r="K289" s="90"/>
      <c r="L289" s="90">
        <v>6</v>
      </c>
      <c r="M289" s="90">
        <v>6</v>
      </c>
      <c r="N289" s="90"/>
      <c r="O289" s="90"/>
      <c r="P289" s="91">
        <v>0.441</v>
      </c>
      <c r="Q289" s="91">
        <v>0.33800000000000002</v>
      </c>
      <c r="R289" s="91">
        <v>0.86099999999999999</v>
      </c>
      <c r="S289" s="91">
        <v>0.82696778478910604</v>
      </c>
    </row>
    <row r="290" spans="1:19" s="5" customFormat="1" x14ac:dyDescent="0.2">
      <c r="A290" s="90" t="s">
        <v>728</v>
      </c>
      <c r="B290" s="90" t="s">
        <v>68</v>
      </c>
      <c r="C290" s="92" t="s">
        <v>729</v>
      </c>
      <c r="D290" s="92"/>
      <c r="E290" s="90" t="s">
        <v>17</v>
      </c>
      <c r="F290" s="90" t="s">
        <v>25</v>
      </c>
      <c r="G290" s="90" t="s">
        <v>406</v>
      </c>
      <c r="H290" s="90"/>
      <c r="I290" s="90"/>
      <c r="J290" s="90"/>
      <c r="K290" s="90"/>
      <c r="L290" s="90">
        <v>55</v>
      </c>
      <c r="M290" s="90">
        <v>54</v>
      </c>
      <c r="N290" s="90"/>
      <c r="O290" s="90"/>
      <c r="P290" s="93">
        <v>0.92</v>
      </c>
      <c r="Q290" s="93">
        <v>0.05</v>
      </c>
      <c r="R290" s="91">
        <v>0.95499999999999996</v>
      </c>
      <c r="S290" s="91">
        <v>0.941879774161408</v>
      </c>
    </row>
    <row r="291" spans="1:19" s="5" customFormat="1" x14ac:dyDescent="0.2">
      <c r="A291" s="90" t="s">
        <v>550</v>
      </c>
      <c r="B291" s="90" t="s">
        <v>68</v>
      </c>
      <c r="C291" s="92" t="s">
        <v>551</v>
      </c>
      <c r="D291" s="92"/>
      <c r="E291" s="90" t="s">
        <v>17</v>
      </c>
      <c r="F291" s="90" t="s">
        <v>25</v>
      </c>
      <c r="G291" s="90"/>
      <c r="H291" s="90"/>
      <c r="I291" s="90" t="s">
        <v>236</v>
      </c>
      <c r="J291" s="90"/>
      <c r="K291" s="90"/>
      <c r="L291" s="90">
        <v>50</v>
      </c>
      <c r="M291" s="90">
        <v>49</v>
      </c>
      <c r="N291" s="90"/>
      <c r="O291" s="90"/>
      <c r="P291" s="93">
        <v>0.03</v>
      </c>
      <c r="Q291" s="93">
        <v>4.0000000000000001E-3</v>
      </c>
      <c r="R291" s="93">
        <v>0</v>
      </c>
      <c r="S291" s="91"/>
    </row>
    <row r="292" spans="1:19" s="5" customFormat="1" x14ac:dyDescent="0.2">
      <c r="A292" s="90" t="s">
        <v>717</v>
      </c>
      <c r="B292" s="90" t="s">
        <v>718</v>
      </c>
      <c r="C292" s="90" t="s">
        <v>719</v>
      </c>
      <c r="D292" s="90"/>
      <c r="E292" s="90" t="s">
        <v>17</v>
      </c>
      <c r="F292" s="90"/>
      <c r="G292" s="90" t="s">
        <v>406</v>
      </c>
      <c r="H292" s="90"/>
      <c r="I292" s="90"/>
      <c r="J292" s="90"/>
      <c r="K292" s="90"/>
      <c r="L292" s="90">
        <v>225</v>
      </c>
      <c r="M292" s="90">
        <v>23</v>
      </c>
      <c r="N292" s="90"/>
      <c r="O292" s="90"/>
      <c r="P292" s="91">
        <v>0.59099999999999997</v>
      </c>
      <c r="Q292" s="91">
        <v>0.49399999999999999</v>
      </c>
      <c r="R292" s="91">
        <v>0.154</v>
      </c>
      <c r="S292" s="91">
        <v>0.14469168604007501</v>
      </c>
    </row>
    <row r="293" spans="1:19" s="5" customFormat="1" x14ac:dyDescent="0.2">
      <c r="A293" s="90" t="s">
        <v>223</v>
      </c>
      <c r="B293" s="90" t="s">
        <v>90</v>
      </c>
      <c r="C293" s="90" t="s">
        <v>198</v>
      </c>
      <c r="D293" s="90"/>
      <c r="E293" s="90" t="s">
        <v>17</v>
      </c>
      <c r="F293" s="90"/>
      <c r="G293" s="90" t="s">
        <v>406</v>
      </c>
      <c r="H293" s="90"/>
      <c r="I293" s="90"/>
      <c r="J293" s="90"/>
      <c r="K293" s="90"/>
      <c r="L293" s="90">
        <v>6</v>
      </c>
      <c r="M293" s="90">
        <v>6</v>
      </c>
      <c r="N293" s="90"/>
      <c r="O293" s="90"/>
      <c r="P293" s="91">
        <v>0.75700000000000001</v>
      </c>
      <c r="Q293" s="91">
        <v>2.8000000000000001E-2</v>
      </c>
      <c r="R293" s="91">
        <v>0.93200000000000005</v>
      </c>
      <c r="S293" s="91">
        <v>0.601018487767076</v>
      </c>
    </row>
    <row r="294" spans="1:19" s="5" customFormat="1" x14ac:dyDescent="0.2">
      <c r="A294" s="90" t="s">
        <v>197</v>
      </c>
      <c r="B294" s="90" t="s">
        <v>90</v>
      </c>
      <c r="C294" s="90" t="s">
        <v>198</v>
      </c>
      <c r="D294" s="90"/>
      <c r="E294" s="90" t="s">
        <v>17</v>
      </c>
      <c r="F294" s="90"/>
      <c r="G294" s="90" t="s">
        <v>406</v>
      </c>
      <c r="H294" s="90"/>
      <c r="I294" s="90"/>
      <c r="J294" s="90"/>
      <c r="K294" s="90"/>
      <c r="L294" s="90">
        <v>12</v>
      </c>
      <c r="M294" s="90">
        <v>12</v>
      </c>
      <c r="N294" s="90"/>
      <c r="O294" s="90"/>
      <c r="P294" s="91">
        <v>0.75700000000000001</v>
      </c>
      <c r="Q294" s="91">
        <v>2.8000000000000001E-2</v>
      </c>
      <c r="R294" s="91">
        <v>0.93200000000000005</v>
      </c>
      <c r="S294" s="91">
        <v>0.601018487767076</v>
      </c>
    </row>
    <row r="295" spans="1:19" s="5" customFormat="1" x14ac:dyDescent="0.2">
      <c r="A295" s="90" t="s">
        <v>370</v>
      </c>
      <c r="B295" s="90" t="s">
        <v>90</v>
      </c>
      <c r="C295" s="92" t="s">
        <v>371</v>
      </c>
      <c r="D295" s="92" t="s">
        <v>372</v>
      </c>
      <c r="E295" s="90" t="s">
        <v>17</v>
      </c>
      <c r="F295" s="90" t="s">
        <v>25</v>
      </c>
      <c r="G295" s="90"/>
      <c r="H295" s="90"/>
      <c r="I295" s="90"/>
      <c r="J295" s="90"/>
      <c r="K295" s="90" t="s">
        <v>373</v>
      </c>
      <c r="L295" s="90">
        <v>6</v>
      </c>
      <c r="M295" s="90">
        <v>6</v>
      </c>
      <c r="N295" s="90"/>
      <c r="O295" s="90"/>
      <c r="P295" s="91">
        <v>4.8000000000000001E-2</v>
      </c>
      <c r="Q295" s="91">
        <v>0.65900000000000003</v>
      </c>
      <c r="R295" s="91">
        <v>0.64600000000000002</v>
      </c>
      <c r="S295" s="91">
        <v>0.196833831506697</v>
      </c>
    </row>
    <row r="296" spans="1:19" s="5" customFormat="1" x14ac:dyDescent="0.2">
      <c r="A296" s="90" t="s">
        <v>89</v>
      </c>
      <c r="B296" s="90" t="s">
        <v>90</v>
      </c>
      <c r="C296" s="90" t="s">
        <v>91</v>
      </c>
      <c r="D296" s="90"/>
      <c r="E296" s="90" t="s">
        <v>17</v>
      </c>
      <c r="F296" s="90" t="s">
        <v>25</v>
      </c>
      <c r="G296" s="90" t="s">
        <v>406</v>
      </c>
      <c r="H296" s="90"/>
      <c r="I296" s="90"/>
      <c r="J296" s="90"/>
      <c r="K296" s="90"/>
      <c r="L296" s="90">
        <v>186</v>
      </c>
      <c r="M296" s="90">
        <v>185</v>
      </c>
      <c r="N296" s="90"/>
      <c r="O296" s="90"/>
      <c r="P296" s="91">
        <v>0.25700000000000001</v>
      </c>
      <c r="Q296" s="91">
        <v>0.89900000000000002</v>
      </c>
      <c r="R296" s="91">
        <v>0.14199999999999999</v>
      </c>
      <c r="S296" s="91">
        <v>2.6347835713494899E-2</v>
      </c>
    </row>
    <row r="297" spans="1:19" s="5" customFormat="1" x14ac:dyDescent="0.2">
      <c r="A297" s="90" t="s">
        <v>474</v>
      </c>
      <c r="B297" s="90" t="s">
        <v>90</v>
      </c>
      <c r="C297" s="90" t="s">
        <v>298</v>
      </c>
      <c r="D297" s="90"/>
      <c r="E297" s="90" t="s">
        <v>17</v>
      </c>
      <c r="F297" s="90"/>
      <c r="G297" s="90"/>
      <c r="H297" s="90"/>
      <c r="I297" s="90"/>
      <c r="J297" s="90" t="s">
        <v>26</v>
      </c>
      <c r="K297" s="90"/>
      <c r="L297" s="90">
        <v>72</v>
      </c>
      <c r="M297" s="90">
        <v>72</v>
      </c>
      <c r="N297" s="90"/>
      <c r="O297" s="90"/>
      <c r="P297" s="91">
        <v>0.64100000000000001</v>
      </c>
      <c r="Q297" s="91">
        <v>0.52700000000000002</v>
      </c>
      <c r="R297" s="91">
        <v>0.36899999999999999</v>
      </c>
      <c r="S297" s="91">
        <v>0.16495073618952699</v>
      </c>
    </row>
    <row r="298" spans="1:19" s="5" customFormat="1" x14ac:dyDescent="0.2">
      <c r="A298" s="90" t="s">
        <v>297</v>
      </c>
      <c r="B298" s="90" t="s">
        <v>90</v>
      </c>
      <c r="C298" s="90" t="s">
        <v>298</v>
      </c>
      <c r="D298" s="90"/>
      <c r="E298" s="90" t="s">
        <v>17</v>
      </c>
      <c r="F298" s="90" t="s">
        <v>25</v>
      </c>
      <c r="G298" s="90"/>
      <c r="H298" s="90"/>
      <c r="I298" s="90"/>
      <c r="J298" s="90" t="s">
        <v>26</v>
      </c>
      <c r="K298" s="90"/>
      <c r="L298" s="90">
        <v>75</v>
      </c>
      <c r="M298" s="90">
        <v>27</v>
      </c>
      <c r="N298" s="90"/>
      <c r="O298" s="90"/>
      <c r="P298" s="91">
        <v>0.64100000000000001</v>
      </c>
      <c r="Q298" s="91">
        <v>0.52700000000000002</v>
      </c>
      <c r="R298" s="91">
        <v>0.36899999999999999</v>
      </c>
      <c r="S298" s="91">
        <v>0.16495073618952699</v>
      </c>
    </row>
    <row r="299" spans="1:19" s="5" customFormat="1" x14ac:dyDescent="0.2">
      <c r="A299" s="90" t="s">
        <v>746</v>
      </c>
      <c r="B299" s="90" t="s">
        <v>90</v>
      </c>
      <c r="C299" s="92" t="s">
        <v>747</v>
      </c>
      <c r="D299" s="92"/>
      <c r="E299" s="90" t="s">
        <v>17</v>
      </c>
      <c r="F299" s="90" t="s">
        <v>25</v>
      </c>
      <c r="G299" s="90"/>
      <c r="H299" s="90"/>
      <c r="I299" s="90"/>
      <c r="J299" s="90" t="s">
        <v>26</v>
      </c>
      <c r="K299" s="90"/>
      <c r="L299" s="90">
        <v>122</v>
      </c>
      <c r="M299" s="90">
        <v>122</v>
      </c>
      <c r="N299" s="90"/>
      <c r="O299" s="90"/>
      <c r="P299" s="93">
        <v>0.94</v>
      </c>
      <c r="Q299" s="93">
        <v>0.40600000000000003</v>
      </c>
      <c r="R299" s="91">
        <v>9.1999999999999998E-2</v>
      </c>
      <c r="S299" s="91">
        <v>0.23856968891840999</v>
      </c>
    </row>
    <row r="300" spans="1:19" s="5" customFormat="1" x14ac:dyDescent="0.2">
      <c r="A300" s="90" t="s">
        <v>1396</v>
      </c>
      <c r="B300" s="90" t="s">
        <v>610</v>
      </c>
      <c r="C300" s="90" t="s">
        <v>1440</v>
      </c>
      <c r="D300" s="90"/>
      <c r="E300" s="90" t="s">
        <v>17</v>
      </c>
      <c r="F300" s="90"/>
      <c r="G300" s="90" t="s">
        <v>406</v>
      </c>
      <c r="H300" s="90"/>
      <c r="I300" s="90"/>
      <c r="J300" s="90"/>
      <c r="K300" s="90"/>
      <c r="L300" s="90">
        <v>24</v>
      </c>
      <c r="M300" s="90">
        <v>24</v>
      </c>
      <c r="N300" s="90"/>
      <c r="O300" s="90"/>
      <c r="P300" s="91">
        <v>0.251</v>
      </c>
      <c r="Q300" s="91">
        <v>0.66400000000000003</v>
      </c>
      <c r="R300" s="91">
        <v>0.49299999999999999</v>
      </c>
      <c r="S300" s="91">
        <v>0.45311635115686899</v>
      </c>
    </row>
    <row r="301" spans="1:19" s="5" customFormat="1" x14ac:dyDescent="0.2">
      <c r="A301" s="90" t="s">
        <v>633</v>
      </c>
      <c r="B301" s="90" t="s">
        <v>610</v>
      </c>
      <c r="C301" s="90" t="s">
        <v>611</v>
      </c>
      <c r="D301" s="90"/>
      <c r="E301" s="90" t="s">
        <v>17</v>
      </c>
      <c r="F301" s="90"/>
      <c r="G301" s="90"/>
      <c r="H301" s="90"/>
      <c r="I301" s="90"/>
      <c r="J301" s="90" t="s">
        <v>26</v>
      </c>
      <c r="K301" s="90"/>
      <c r="L301" s="90">
        <v>150</v>
      </c>
      <c r="M301" s="90">
        <v>150</v>
      </c>
      <c r="N301" s="90"/>
      <c r="O301" s="90"/>
      <c r="P301" s="91">
        <v>0.251</v>
      </c>
      <c r="Q301" s="91">
        <v>0.66400000000000003</v>
      </c>
      <c r="R301" s="91">
        <v>0.49299999999999999</v>
      </c>
      <c r="S301" s="91">
        <v>0.45311635115686899</v>
      </c>
    </row>
    <row r="302" spans="1:19" s="5" customFormat="1" x14ac:dyDescent="0.2">
      <c r="A302" s="90" t="s">
        <v>682</v>
      </c>
      <c r="B302" s="90" t="s">
        <v>610</v>
      </c>
      <c r="C302" s="90" t="s">
        <v>611</v>
      </c>
      <c r="D302" s="90"/>
      <c r="E302" s="90" t="s">
        <v>17</v>
      </c>
      <c r="F302" s="90" t="s">
        <v>25</v>
      </c>
      <c r="G302" s="90"/>
      <c r="H302" s="90" t="s">
        <v>39</v>
      </c>
      <c r="I302" s="90"/>
      <c r="J302" s="90" t="s">
        <v>26</v>
      </c>
      <c r="K302" s="90"/>
      <c r="L302" s="90">
        <v>75</v>
      </c>
      <c r="M302" s="90">
        <v>74</v>
      </c>
      <c r="N302" s="90"/>
      <c r="O302" s="90"/>
      <c r="P302" s="91">
        <v>0.251</v>
      </c>
      <c r="Q302" s="91">
        <v>0.66400000000000003</v>
      </c>
      <c r="R302" s="91">
        <v>0.49299999999999999</v>
      </c>
      <c r="S302" s="91">
        <v>0.45311635115686899</v>
      </c>
    </row>
    <row r="303" spans="1:19" s="5" customFormat="1" x14ac:dyDescent="0.2">
      <c r="A303" s="90" t="s">
        <v>732</v>
      </c>
      <c r="B303" s="90" t="s">
        <v>610</v>
      </c>
      <c r="C303" s="90" t="s">
        <v>611</v>
      </c>
      <c r="D303" s="90"/>
      <c r="E303" s="90" t="s">
        <v>17</v>
      </c>
      <c r="F303" s="90" t="s">
        <v>25</v>
      </c>
      <c r="G303" s="90"/>
      <c r="H303" s="90"/>
      <c r="I303" s="90"/>
      <c r="J303" s="90" t="s">
        <v>26</v>
      </c>
      <c r="K303" s="90"/>
      <c r="L303" s="90">
        <v>84</v>
      </c>
      <c r="M303" s="90">
        <v>66</v>
      </c>
      <c r="N303" s="90"/>
      <c r="O303" s="90"/>
      <c r="P303" s="91">
        <v>0.251</v>
      </c>
      <c r="Q303" s="91">
        <v>0.66400000000000003</v>
      </c>
      <c r="R303" s="91">
        <v>0.49299999999999999</v>
      </c>
      <c r="S303" s="91">
        <v>0.45311635115686899</v>
      </c>
    </row>
    <row r="304" spans="1:19" s="5" customFormat="1" x14ac:dyDescent="0.2">
      <c r="A304" s="90" t="s">
        <v>609</v>
      </c>
      <c r="B304" s="90" t="s">
        <v>610</v>
      </c>
      <c r="C304" s="90" t="s">
        <v>611</v>
      </c>
      <c r="D304" s="90"/>
      <c r="E304" s="90" t="s">
        <v>17</v>
      </c>
      <c r="F304" s="90" t="s">
        <v>25</v>
      </c>
      <c r="G304" s="90" t="s">
        <v>406</v>
      </c>
      <c r="H304" s="90" t="s">
        <v>39</v>
      </c>
      <c r="I304" s="90"/>
      <c r="J304" s="90"/>
      <c r="K304" s="90"/>
      <c r="L304" s="90">
        <v>50</v>
      </c>
      <c r="M304" s="90">
        <v>49</v>
      </c>
      <c r="N304" s="90"/>
      <c r="O304" s="90"/>
      <c r="P304" s="91">
        <v>0.251</v>
      </c>
      <c r="Q304" s="91">
        <v>0.66400000000000003</v>
      </c>
      <c r="R304" s="91">
        <v>0.49299999999999999</v>
      </c>
      <c r="S304" s="91">
        <v>0.45311635115686899</v>
      </c>
    </row>
    <row r="305" spans="1:19" s="5" customFormat="1" x14ac:dyDescent="0.2">
      <c r="A305" s="90" t="s">
        <v>289</v>
      </c>
      <c r="B305" s="90" t="s">
        <v>42</v>
      </c>
      <c r="C305" s="90" t="s">
        <v>290</v>
      </c>
      <c r="D305" s="90"/>
      <c r="E305" s="90" t="s">
        <v>17</v>
      </c>
      <c r="F305" s="90"/>
      <c r="G305" s="90" t="s">
        <v>406</v>
      </c>
      <c r="H305" s="90"/>
      <c r="I305" s="90"/>
      <c r="J305" s="90"/>
      <c r="K305" s="90"/>
      <c r="L305" s="90">
        <v>4</v>
      </c>
      <c r="M305" s="90">
        <v>4</v>
      </c>
      <c r="N305" s="90"/>
      <c r="O305" s="90"/>
      <c r="P305" s="91">
        <v>0.65900000000000003</v>
      </c>
      <c r="Q305" s="91">
        <v>2.5999999999999999E-2</v>
      </c>
      <c r="R305" s="91">
        <v>0.36199999999999999</v>
      </c>
      <c r="S305" s="91">
        <v>0.92305989150891099</v>
      </c>
    </row>
    <row r="306" spans="1:19" s="5" customFormat="1" x14ac:dyDescent="0.2">
      <c r="A306" s="90" t="s">
        <v>173</v>
      </c>
      <c r="B306" s="90" t="s">
        <v>42</v>
      </c>
      <c r="C306" s="90" t="s">
        <v>43</v>
      </c>
      <c r="D306" s="90"/>
      <c r="E306" s="90" t="s">
        <v>17</v>
      </c>
      <c r="F306" s="90"/>
      <c r="G306" s="90" t="s">
        <v>406</v>
      </c>
      <c r="H306" s="90"/>
      <c r="I306" s="90"/>
      <c r="J306" s="90"/>
      <c r="K306" s="90"/>
      <c r="L306" s="90">
        <v>6</v>
      </c>
      <c r="M306" s="90">
        <v>4</v>
      </c>
      <c r="N306" s="90"/>
      <c r="O306" s="90"/>
      <c r="P306" s="91">
        <v>0.27300000000000002</v>
      </c>
      <c r="Q306" s="91">
        <v>0.16700000000000001</v>
      </c>
      <c r="R306" s="91">
        <v>0.82199999999999995</v>
      </c>
      <c r="S306" s="91">
        <v>0.86250415144470205</v>
      </c>
    </row>
    <row r="307" spans="1:19" s="5" customFormat="1" x14ac:dyDescent="0.2">
      <c r="A307" s="90" t="s">
        <v>377</v>
      </c>
      <c r="B307" s="90" t="s">
        <v>42</v>
      </c>
      <c r="C307" s="90" t="s">
        <v>378</v>
      </c>
      <c r="D307" s="90"/>
      <c r="E307" s="90" t="s">
        <v>17</v>
      </c>
      <c r="F307" s="90"/>
      <c r="G307" s="90" t="s">
        <v>406</v>
      </c>
      <c r="H307" s="90"/>
      <c r="I307" s="90"/>
      <c r="J307" s="90"/>
      <c r="K307" s="90"/>
      <c r="L307" s="90">
        <v>6</v>
      </c>
      <c r="M307" s="90">
        <v>6</v>
      </c>
      <c r="N307" s="90"/>
      <c r="O307" s="90"/>
      <c r="P307" s="91">
        <v>5.5E-2</v>
      </c>
      <c r="Q307" s="91">
        <v>0.33300000000000002</v>
      </c>
      <c r="R307" s="91">
        <v>0.83899999999999997</v>
      </c>
      <c r="S307" s="91">
        <v>0.88254179121000698</v>
      </c>
    </row>
    <row r="308" spans="1:19" s="5" customFormat="1" x14ac:dyDescent="0.2">
      <c r="A308" s="90" t="s">
        <v>383</v>
      </c>
      <c r="B308" s="90" t="s">
        <v>42</v>
      </c>
      <c r="C308" s="90" t="s">
        <v>109</v>
      </c>
      <c r="D308" s="90"/>
      <c r="E308" s="90" t="s">
        <v>17</v>
      </c>
      <c r="F308" s="90"/>
      <c r="G308" s="90" t="s">
        <v>406</v>
      </c>
      <c r="H308" s="90"/>
      <c r="I308" s="90"/>
      <c r="J308" s="90"/>
      <c r="K308" s="90"/>
      <c r="L308" s="90">
        <v>8</v>
      </c>
      <c r="M308" s="90">
        <v>6</v>
      </c>
      <c r="N308" s="90"/>
      <c r="O308" s="90"/>
      <c r="P308" s="91">
        <v>0.50800000000000001</v>
      </c>
      <c r="Q308" s="91">
        <v>6.3E-2</v>
      </c>
      <c r="R308" s="91">
        <v>0.92100000000000004</v>
      </c>
      <c r="S308" s="91">
        <v>0.83217092881656096</v>
      </c>
    </row>
    <row r="309" spans="1:19" s="5" customFormat="1" x14ac:dyDescent="0.2">
      <c r="A309" s="90" t="s">
        <v>384</v>
      </c>
      <c r="B309" s="90" t="s">
        <v>42</v>
      </c>
      <c r="C309" s="90" t="s">
        <v>385</v>
      </c>
      <c r="D309" s="90"/>
      <c r="E309" s="90" t="s">
        <v>17</v>
      </c>
      <c r="F309" s="90"/>
      <c r="G309" s="90" t="s">
        <v>406</v>
      </c>
      <c r="H309" s="90"/>
      <c r="I309" s="90"/>
      <c r="J309" s="90"/>
      <c r="K309" s="90"/>
      <c r="L309" s="90">
        <v>12</v>
      </c>
      <c r="M309" s="90">
        <v>6</v>
      </c>
      <c r="N309" s="90"/>
      <c r="O309" s="90"/>
      <c r="P309" s="91">
        <v>0.14899999999999999</v>
      </c>
      <c r="Q309" s="91">
        <v>0.41199999999999998</v>
      </c>
      <c r="R309" s="91">
        <v>0.21199999999999999</v>
      </c>
      <c r="S309" s="91">
        <v>0.84445920513672001</v>
      </c>
    </row>
    <row r="310" spans="1:19" s="5" customFormat="1" x14ac:dyDescent="0.2">
      <c r="A310" s="90" t="s">
        <v>79</v>
      </c>
      <c r="B310" s="90" t="s">
        <v>42</v>
      </c>
      <c r="C310" s="90" t="s">
        <v>80</v>
      </c>
      <c r="D310" s="90"/>
      <c r="E310" s="90" t="s">
        <v>17</v>
      </c>
      <c r="F310" s="90"/>
      <c r="G310" s="90" t="s">
        <v>406</v>
      </c>
      <c r="H310" s="90"/>
      <c r="I310" s="90"/>
      <c r="J310" s="90"/>
      <c r="K310" s="90"/>
      <c r="L310" s="90">
        <v>3</v>
      </c>
      <c r="M310" s="90">
        <v>3</v>
      </c>
      <c r="N310" s="90"/>
      <c r="O310" s="90"/>
      <c r="P310" s="91">
        <v>0.17899999999999999</v>
      </c>
      <c r="Q310" s="91">
        <v>0.59399999999999997</v>
      </c>
      <c r="R310" s="91">
        <v>0.38500000000000001</v>
      </c>
      <c r="S310" s="91">
        <v>0.70098527620945394</v>
      </c>
    </row>
    <row r="311" spans="1:19" s="5" customFormat="1" x14ac:dyDescent="0.2">
      <c r="A311" s="90" t="s">
        <v>123</v>
      </c>
      <c r="B311" s="90" t="s">
        <v>42</v>
      </c>
      <c r="C311" s="90" t="s">
        <v>124</v>
      </c>
      <c r="D311" s="90"/>
      <c r="E311" s="90" t="s">
        <v>17</v>
      </c>
      <c r="F311" s="90"/>
      <c r="G311" s="90" t="s">
        <v>406</v>
      </c>
      <c r="H311" s="90"/>
      <c r="I311" s="90"/>
      <c r="J311" s="90"/>
      <c r="K311" s="90"/>
      <c r="L311" s="90">
        <v>6</v>
      </c>
      <c r="M311" s="90">
        <v>6</v>
      </c>
      <c r="N311" s="90"/>
      <c r="O311" s="90"/>
      <c r="P311" s="91">
        <v>0.17899999999999999</v>
      </c>
      <c r="Q311" s="91">
        <v>0.59499999999999997</v>
      </c>
      <c r="R311" s="91">
        <v>0.72599999999999998</v>
      </c>
      <c r="S311" s="91">
        <v>0.86283626702092298</v>
      </c>
    </row>
    <row r="312" spans="1:19" s="5" customFormat="1" x14ac:dyDescent="0.2">
      <c r="A312" s="90" t="s">
        <v>247</v>
      </c>
      <c r="B312" s="90" t="s">
        <v>42</v>
      </c>
      <c r="C312" s="90" t="s">
        <v>109</v>
      </c>
      <c r="D312" s="90"/>
      <c r="E312" s="90" t="s">
        <v>17</v>
      </c>
      <c r="F312" s="90"/>
      <c r="G312" s="90" t="s">
        <v>406</v>
      </c>
      <c r="H312" s="90"/>
      <c r="I312" s="90"/>
      <c r="J312" s="90"/>
      <c r="K312" s="90"/>
      <c r="L312" s="90">
        <v>70</v>
      </c>
      <c r="M312" s="90">
        <v>69</v>
      </c>
      <c r="N312" s="90"/>
      <c r="O312" s="90"/>
      <c r="P312" s="91">
        <v>0.50800000000000001</v>
      </c>
      <c r="Q312" s="91">
        <v>6.3E-2</v>
      </c>
      <c r="R312" s="91">
        <v>0.92100000000000004</v>
      </c>
      <c r="S312" s="91">
        <v>0.83217092881656096</v>
      </c>
    </row>
    <row r="313" spans="1:19" s="5" customFormat="1" x14ac:dyDescent="0.2">
      <c r="A313" s="90" t="s">
        <v>279</v>
      </c>
      <c r="B313" s="90" t="s">
        <v>42</v>
      </c>
      <c r="C313" s="92" t="s">
        <v>280</v>
      </c>
      <c r="D313" s="92"/>
      <c r="E313" s="90" t="s">
        <v>17</v>
      </c>
      <c r="F313" s="90" t="s">
        <v>25</v>
      </c>
      <c r="G313" s="90" t="s">
        <v>406</v>
      </c>
      <c r="H313" s="90"/>
      <c r="I313" s="90"/>
      <c r="J313" s="90"/>
      <c r="K313" s="90"/>
      <c r="L313" s="90">
        <v>274</v>
      </c>
      <c r="M313" s="90">
        <v>55</v>
      </c>
      <c r="N313" s="90"/>
      <c r="O313" s="90"/>
      <c r="P313" s="93">
        <v>0.61</v>
      </c>
      <c r="Q313" s="93">
        <v>0.49399999999999999</v>
      </c>
      <c r="R313" s="91">
        <v>0.69699999999999995</v>
      </c>
      <c r="S313" s="91">
        <v>0.75788774493523703</v>
      </c>
    </row>
    <row r="314" spans="1:19" s="5" customFormat="1" x14ac:dyDescent="0.2">
      <c r="A314" s="90" t="s">
        <v>267</v>
      </c>
      <c r="B314" s="90" t="s">
        <v>42</v>
      </c>
      <c r="C314" s="92" t="s">
        <v>268</v>
      </c>
      <c r="D314" s="92"/>
      <c r="E314" s="90" t="s">
        <v>17</v>
      </c>
      <c r="F314" s="90" t="s">
        <v>25</v>
      </c>
      <c r="G314" s="90" t="s">
        <v>406</v>
      </c>
      <c r="H314" s="90"/>
      <c r="I314" s="90"/>
      <c r="J314" s="90"/>
      <c r="K314" s="90"/>
      <c r="L314" s="90">
        <v>127</v>
      </c>
      <c r="M314" s="90">
        <v>126</v>
      </c>
      <c r="N314" s="90"/>
      <c r="O314" s="90"/>
      <c r="P314" s="93">
        <v>0.63</v>
      </c>
      <c r="Q314" s="93">
        <v>1.4E-2</v>
      </c>
      <c r="R314" s="91">
        <v>0.92900000000000005</v>
      </c>
      <c r="S314" s="91">
        <v>0.94697221299678902</v>
      </c>
    </row>
    <row r="315" spans="1:19" s="5" customFormat="1" x14ac:dyDescent="0.2">
      <c r="A315" s="90" t="s">
        <v>309</v>
      </c>
      <c r="B315" s="90" t="s">
        <v>42</v>
      </c>
      <c r="C315" s="90" t="s">
        <v>310</v>
      </c>
      <c r="D315" s="90"/>
      <c r="E315" s="90" t="s">
        <v>17</v>
      </c>
      <c r="F315" s="90"/>
      <c r="G315" s="90" t="s">
        <v>406</v>
      </c>
      <c r="H315" s="90"/>
      <c r="I315" s="90"/>
      <c r="J315" s="90"/>
      <c r="K315" s="90"/>
      <c r="L315" s="90">
        <v>12</v>
      </c>
      <c r="M315" s="90">
        <v>12</v>
      </c>
      <c r="N315" s="90"/>
      <c r="O315" s="90"/>
      <c r="P315" s="91">
        <v>0.3</v>
      </c>
      <c r="Q315" s="91">
        <v>0.17899999999999999</v>
      </c>
      <c r="R315" s="91">
        <v>0.88100000000000001</v>
      </c>
      <c r="S315" s="91">
        <v>0.77593269124321895</v>
      </c>
    </row>
    <row r="316" spans="1:19" s="5" customFormat="1" x14ac:dyDescent="0.2">
      <c r="A316" s="90" t="s">
        <v>108</v>
      </c>
      <c r="B316" s="90" t="s">
        <v>42</v>
      </c>
      <c r="C316" s="90" t="s">
        <v>109</v>
      </c>
      <c r="D316" s="90"/>
      <c r="E316" s="90" t="s">
        <v>17</v>
      </c>
      <c r="F316" s="90"/>
      <c r="G316" s="90" t="s">
        <v>406</v>
      </c>
      <c r="H316" s="90"/>
      <c r="I316" s="90"/>
      <c r="J316" s="90"/>
      <c r="K316" s="90"/>
      <c r="L316" s="90">
        <v>7</v>
      </c>
      <c r="M316" s="90">
        <v>4</v>
      </c>
      <c r="N316" s="90"/>
      <c r="O316" s="90"/>
      <c r="P316" s="91">
        <v>0.50800000000000001</v>
      </c>
      <c r="Q316" s="91">
        <v>6.3E-2</v>
      </c>
      <c r="R316" s="91">
        <v>0.92100000000000004</v>
      </c>
      <c r="S316" s="91">
        <v>0.83217092881656096</v>
      </c>
    </row>
    <row r="317" spans="1:19" s="5" customFormat="1" x14ac:dyDescent="0.2">
      <c r="A317" s="90" t="s">
        <v>578</v>
      </c>
      <c r="B317" s="90" t="s">
        <v>42</v>
      </c>
      <c r="C317" s="92" t="s">
        <v>385</v>
      </c>
      <c r="D317" s="92"/>
      <c r="E317" s="90" t="s">
        <v>17</v>
      </c>
      <c r="F317" s="90" t="s">
        <v>25</v>
      </c>
      <c r="G317" s="90" t="s">
        <v>406</v>
      </c>
      <c r="H317" s="90"/>
      <c r="I317" s="90"/>
      <c r="J317" s="90"/>
      <c r="K317" s="90"/>
      <c r="L317" s="90">
        <v>6</v>
      </c>
      <c r="M317" s="90">
        <v>2</v>
      </c>
      <c r="N317" s="90"/>
      <c r="O317" s="90"/>
      <c r="P317" s="93">
        <v>0.15</v>
      </c>
      <c r="Q317" s="93">
        <v>0.41199999999999998</v>
      </c>
      <c r="R317" s="91">
        <v>0.21199999999999999</v>
      </c>
      <c r="S317" s="91">
        <v>0.84445920513672001</v>
      </c>
    </row>
    <row r="318" spans="1:19" s="5" customFormat="1" x14ac:dyDescent="0.2">
      <c r="A318" s="90" t="s">
        <v>623</v>
      </c>
      <c r="B318" s="90" t="s">
        <v>42</v>
      </c>
      <c r="C318" s="90" t="s">
        <v>98</v>
      </c>
      <c r="D318" s="90"/>
      <c r="E318" s="90" t="s">
        <v>17</v>
      </c>
      <c r="F318" s="90"/>
      <c r="G318" s="90" t="s">
        <v>406</v>
      </c>
      <c r="H318" s="90"/>
      <c r="I318" s="90"/>
      <c r="J318" s="90"/>
      <c r="K318" s="90"/>
      <c r="L318" s="90">
        <v>113</v>
      </c>
      <c r="M318" s="90">
        <v>112</v>
      </c>
      <c r="N318" s="90"/>
      <c r="O318" s="90"/>
      <c r="P318" s="91">
        <v>0.38500000000000001</v>
      </c>
      <c r="Q318" s="91">
        <v>6.7000000000000004E-2</v>
      </c>
      <c r="R318" s="91">
        <v>0.88700000000000001</v>
      </c>
      <c r="S318" s="91">
        <v>0.95549651278644898</v>
      </c>
    </row>
    <row r="319" spans="1:19" s="5" customFormat="1" x14ac:dyDescent="0.2">
      <c r="A319" s="90" t="s">
        <v>664</v>
      </c>
      <c r="B319" s="90" t="s">
        <v>42</v>
      </c>
      <c r="C319" s="92" t="s">
        <v>378</v>
      </c>
      <c r="D319" s="92"/>
      <c r="E319" s="90" t="s">
        <v>17</v>
      </c>
      <c r="F319" s="90" t="s">
        <v>25</v>
      </c>
      <c r="G319" s="90" t="s">
        <v>406</v>
      </c>
      <c r="H319" s="90"/>
      <c r="I319" s="90"/>
      <c r="J319" s="90"/>
      <c r="K319" s="90"/>
      <c r="L319" s="90">
        <v>54</v>
      </c>
      <c r="M319" s="90">
        <v>54</v>
      </c>
      <c r="N319" s="90"/>
      <c r="O319" s="90"/>
      <c r="P319" s="93">
        <v>0.06</v>
      </c>
      <c r="Q319" s="93">
        <v>0.33300000000000002</v>
      </c>
      <c r="R319" s="91">
        <v>0.83899999999999997</v>
      </c>
      <c r="S319" s="91">
        <v>0.88254179121000698</v>
      </c>
    </row>
    <row r="320" spans="1:19" s="5" customFormat="1" x14ac:dyDescent="0.2">
      <c r="A320" s="90" t="s">
        <v>702</v>
      </c>
      <c r="B320" s="90" t="s">
        <v>42</v>
      </c>
      <c r="C320" s="90" t="s">
        <v>238</v>
      </c>
      <c r="D320" s="90"/>
      <c r="E320" s="90" t="s">
        <v>17</v>
      </c>
      <c r="F320" s="90"/>
      <c r="G320" s="90" t="s">
        <v>406</v>
      </c>
      <c r="H320" s="90"/>
      <c r="I320" s="90"/>
      <c r="J320" s="90"/>
      <c r="K320" s="90"/>
      <c r="L320" s="90">
        <v>63</v>
      </c>
      <c r="M320" s="90">
        <v>48</v>
      </c>
      <c r="N320" s="90"/>
      <c r="O320" s="90"/>
      <c r="P320" s="91">
        <v>0.30099999999999999</v>
      </c>
      <c r="Q320" s="91">
        <v>2.1999999999999999E-2</v>
      </c>
      <c r="R320" s="91">
        <v>0.93600000000000005</v>
      </c>
      <c r="S320" s="91">
        <v>0.94752573895715697</v>
      </c>
    </row>
    <row r="321" spans="1:19" s="5" customFormat="1" x14ac:dyDescent="0.2">
      <c r="A321" s="90" t="s">
        <v>724</v>
      </c>
      <c r="B321" s="90" t="s">
        <v>42</v>
      </c>
      <c r="C321" s="90" t="s">
        <v>725</v>
      </c>
      <c r="D321" s="90"/>
      <c r="E321" s="90" t="s">
        <v>17</v>
      </c>
      <c r="F321" s="90"/>
      <c r="G321" s="90" t="s">
        <v>406</v>
      </c>
      <c r="H321" s="90"/>
      <c r="I321" s="90"/>
      <c r="J321" s="90"/>
      <c r="K321" s="90"/>
      <c r="L321" s="90">
        <v>562</v>
      </c>
      <c r="M321" s="90">
        <v>114</v>
      </c>
      <c r="N321" s="90"/>
      <c r="O321" s="90"/>
      <c r="P321" s="91">
        <v>0.751</v>
      </c>
      <c r="Q321" s="91">
        <v>0.17299999999999999</v>
      </c>
      <c r="R321" s="91">
        <v>0.79</v>
      </c>
      <c r="S321" s="91">
        <v>0.77571128085907204</v>
      </c>
    </row>
    <row r="322" spans="1:19" s="5" customFormat="1" x14ac:dyDescent="0.2">
      <c r="A322" s="90" t="s">
        <v>750</v>
      </c>
      <c r="B322" s="90" t="s">
        <v>42</v>
      </c>
      <c r="C322" s="92" t="s">
        <v>751</v>
      </c>
      <c r="D322" s="92"/>
      <c r="E322" s="90" t="s">
        <v>17</v>
      </c>
      <c r="F322" s="90" t="s">
        <v>25</v>
      </c>
      <c r="G322" s="90" t="s">
        <v>406</v>
      </c>
      <c r="H322" s="90"/>
      <c r="I322" s="90"/>
      <c r="J322" s="90"/>
      <c r="K322" s="90"/>
      <c r="L322" s="90">
        <v>41</v>
      </c>
      <c r="M322" s="90">
        <v>40</v>
      </c>
      <c r="N322" s="90"/>
      <c r="O322" s="90"/>
      <c r="P322" s="93">
        <v>0.55000000000000004</v>
      </c>
      <c r="Q322" s="93">
        <v>0.66900000000000004</v>
      </c>
      <c r="R322" s="91">
        <v>0.53200000000000003</v>
      </c>
      <c r="S322" s="91">
        <v>0.76209454223402995</v>
      </c>
    </row>
    <row r="323" spans="1:19" s="5" customFormat="1" x14ac:dyDescent="0.2">
      <c r="A323" s="90" t="s">
        <v>758</v>
      </c>
      <c r="B323" s="90" t="s">
        <v>42</v>
      </c>
      <c r="C323" s="92" t="s">
        <v>558</v>
      </c>
      <c r="D323" s="92"/>
      <c r="E323" s="90" t="s">
        <v>17</v>
      </c>
      <c r="F323" s="90" t="s">
        <v>25</v>
      </c>
      <c r="G323" s="90" t="s">
        <v>406</v>
      </c>
      <c r="H323" s="90"/>
      <c r="I323" s="90"/>
      <c r="J323" s="90"/>
      <c r="K323" s="90"/>
      <c r="L323" s="90">
        <v>500</v>
      </c>
      <c r="M323" s="90">
        <v>500</v>
      </c>
      <c r="N323" s="90"/>
      <c r="O323" s="90"/>
      <c r="P323" s="93">
        <v>0.19</v>
      </c>
      <c r="Q323" s="93">
        <v>5.2999999999999999E-2</v>
      </c>
      <c r="R323" s="91">
        <v>0.77900000000000003</v>
      </c>
      <c r="S323" s="91">
        <v>0.94420458319495104</v>
      </c>
    </row>
    <row r="324" spans="1:19" s="5" customFormat="1" x14ac:dyDescent="0.2">
      <c r="A324" s="90" t="s">
        <v>41</v>
      </c>
      <c r="B324" s="90" t="s">
        <v>42</v>
      </c>
      <c r="C324" s="90" t="s">
        <v>43</v>
      </c>
      <c r="D324" s="90"/>
      <c r="E324" s="90" t="s">
        <v>17</v>
      </c>
      <c r="F324" s="90" t="s">
        <v>25</v>
      </c>
      <c r="G324" s="90"/>
      <c r="H324" s="90"/>
      <c r="I324" s="90"/>
      <c r="J324" s="90" t="s">
        <v>26</v>
      </c>
      <c r="K324" s="90"/>
      <c r="L324" s="90">
        <v>199</v>
      </c>
      <c r="M324" s="90">
        <v>199</v>
      </c>
      <c r="N324" s="90"/>
      <c r="O324" s="90"/>
      <c r="P324" s="91">
        <v>0.27300000000000002</v>
      </c>
      <c r="Q324" s="91">
        <v>0.16700000000000001</v>
      </c>
      <c r="R324" s="91">
        <v>0.82199999999999995</v>
      </c>
      <c r="S324" s="91">
        <v>0.86250415144470205</v>
      </c>
    </row>
    <row r="325" spans="1:19" s="5" customFormat="1" x14ac:dyDescent="0.2">
      <c r="A325" s="90" t="s">
        <v>60</v>
      </c>
      <c r="B325" s="90" t="s">
        <v>42</v>
      </c>
      <c r="C325" s="92" t="s">
        <v>61</v>
      </c>
      <c r="D325" s="92"/>
      <c r="E325" s="90" t="s">
        <v>17</v>
      </c>
      <c r="F325" s="90" t="s">
        <v>25</v>
      </c>
      <c r="G325" s="90"/>
      <c r="H325" s="90"/>
      <c r="I325" s="90"/>
      <c r="J325" s="90" t="s">
        <v>26</v>
      </c>
      <c r="K325" s="90"/>
      <c r="L325" s="90">
        <v>199</v>
      </c>
      <c r="M325" s="90">
        <v>140</v>
      </c>
      <c r="N325" s="90"/>
      <c r="O325" s="90"/>
      <c r="P325" s="93">
        <v>0.09</v>
      </c>
      <c r="Q325" s="93">
        <v>0.29499999999999998</v>
      </c>
      <c r="R325" s="91">
        <v>0.621</v>
      </c>
      <c r="S325" s="91">
        <v>0.85741171260932103</v>
      </c>
    </row>
    <row r="326" spans="1:19" s="5" customFormat="1" x14ac:dyDescent="0.2">
      <c r="A326" s="90" t="s">
        <v>262</v>
      </c>
      <c r="B326" s="90" t="s">
        <v>42</v>
      </c>
      <c r="C326" s="92" t="s">
        <v>238</v>
      </c>
      <c r="D326" s="92"/>
      <c r="E326" s="90" t="s">
        <v>17</v>
      </c>
      <c r="F326" s="90" t="s">
        <v>25</v>
      </c>
      <c r="G326" s="90"/>
      <c r="H326" s="90"/>
      <c r="I326" s="90"/>
      <c r="J326" s="90" t="s">
        <v>26</v>
      </c>
      <c r="K326" s="90"/>
      <c r="L326" s="90">
        <v>58</v>
      </c>
      <c r="M326" s="90">
        <v>58</v>
      </c>
      <c r="N326" s="90"/>
      <c r="O326" s="90"/>
      <c r="P326" s="93">
        <v>0.3</v>
      </c>
      <c r="Q326" s="93">
        <v>2.1999999999999999E-2</v>
      </c>
      <c r="R326" s="91">
        <v>0.93600000000000005</v>
      </c>
      <c r="S326" s="91">
        <v>0.94752573895715697</v>
      </c>
    </row>
    <row r="327" spans="1:19" s="5" customFormat="1" x14ac:dyDescent="0.2">
      <c r="A327" s="90" t="s">
        <v>602</v>
      </c>
      <c r="B327" s="90" t="s">
        <v>42</v>
      </c>
      <c r="C327" s="90" t="s">
        <v>238</v>
      </c>
      <c r="D327" s="90"/>
      <c r="E327" s="90" t="s">
        <v>17</v>
      </c>
      <c r="F327" s="90"/>
      <c r="G327" s="90"/>
      <c r="H327" s="90"/>
      <c r="I327" s="90"/>
      <c r="J327" s="90" t="s">
        <v>26</v>
      </c>
      <c r="K327" s="90"/>
      <c r="L327" s="90">
        <v>199</v>
      </c>
      <c r="M327" s="90">
        <v>199</v>
      </c>
      <c r="N327" s="90"/>
      <c r="O327" s="90"/>
      <c r="P327" s="91">
        <v>0.30099999999999999</v>
      </c>
      <c r="Q327" s="91">
        <v>2.1999999999999999E-2</v>
      </c>
      <c r="R327" s="91">
        <v>0.93600000000000005</v>
      </c>
      <c r="S327" s="91">
        <v>0.94752573895715697</v>
      </c>
    </row>
    <row r="328" spans="1:19" s="5" customFormat="1" x14ac:dyDescent="0.2">
      <c r="A328" s="90" t="s">
        <v>626</v>
      </c>
      <c r="B328" s="90" t="s">
        <v>42</v>
      </c>
      <c r="C328" s="92" t="s">
        <v>238</v>
      </c>
      <c r="D328" s="92"/>
      <c r="E328" s="90" t="s">
        <v>17</v>
      </c>
      <c r="F328" s="90" t="s">
        <v>25</v>
      </c>
      <c r="G328" s="90"/>
      <c r="H328" s="90"/>
      <c r="I328" s="90"/>
      <c r="J328" s="90" t="s">
        <v>26</v>
      </c>
      <c r="K328" s="90"/>
      <c r="L328" s="90">
        <v>199</v>
      </c>
      <c r="M328" s="90">
        <v>198</v>
      </c>
      <c r="N328" s="90"/>
      <c r="O328" s="90"/>
      <c r="P328" s="93">
        <v>0.3</v>
      </c>
      <c r="Q328" s="93">
        <v>2.1999999999999999E-2</v>
      </c>
      <c r="R328" s="91">
        <v>0.93600000000000005</v>
      </c>
      <c r="S328" s="91">
        <v>0.94752573895715697</v>
      </c>
    </row>
    <row r="329" spans="1:19" s="5" customFormat="1" x14ac:dyDescent="0.2">
      <c r="A329" s="90" t="s">
        <v>487</v>
      </c>
      <c r="B329" s="90" t="s">
        <v>42</v>
      </c>
      <c r="C329" s="92" t="s">
        <v>290</v>
      </c>
      <c r="D329" s="92"/>
      <c r="E329" s="90" t="s">
        <v>17</v>
      </c>
      <c r="F329" s="90" t="s">
        <v>25</v>
      </c>
      <c r="G329" s="90"/>
      <c r="H329" s="90" t="s">
        <v>39</v>
      </c>
      <c r="I329" s="90"/>
      <c r="J329" s="90"/>
      <c r="K329" s="90" t="s">
        <v>373</v>
      </c>
      <c r="L329" s="90">
        <v>56</v>
      </c>
      <c r="M329" s="90">
        <v>56</v>
      </c>
      <c r="N329" s="90"/>
      <c r="O329" s="90"/>
      <c r="P329" s="93">
        <v>0.66</v>
      </c>
      <c r="Q329" s="93">
        <v>2.5999999999999999E-2</v>
      </c>
      <c r="R329" s="91">
        <v>0.36199999999999999</v>
      </c>
      <c r="S329" s="91">
        <v>0.92305989150891099</v>
      </c>
    </row>
    <row r="330" spans="1:19" s="5" customFormat="1" x14ac:dyDescent="0.2">
      <c r="A330" s="90" t="s">
        <v>97</v>
      </c>
      <c r="B330" s="90" t="s">
        <v>42</v>
      </c>
      <c r="C330" s="90" t="s">
        <v>98</v>
      </c>
      <c r="D330" s="90"/>
      <c r="E330" s="90" t="s">
        <v>17</v>
      </c>
      <c r="F330" s="90" t="s">
        <v>25</v>
      </c>
      <c r="G330" s="90" t="s">
        <v>406</v>
      </c>
      <c r="H330" s="90" t="s">
        <v>39</v>
      </c>
      <c r="I330" s="90"/>
      <c r="J330" s="90"/>
      <c r="K330" s="90"/>
      <c r="L330" s="90">
        <v>70</v>
      </c>
      <c r="M330" s="90">
        <v>69</v>
      </c>
      <c r="N330" s="90"/>
      <c r="O330" s="90"/>
      <c r="P330" s="91">
        <v>0.38500000000000001</v>
      </c>
      <c r="Q330" s="91">
        <v>6.7000000000000004E-2</v>
      </c>
      <c r="R330" s="91">
        <v>0.88700000000000001</v>
      </c>
      <c r="S330" s="91">
        <v>0.95549651278644898</v>
      </c>
    </row>
    <row r="331" spans="1:19" s="5" customFormat="1" x14ac:dyDescent="0.2">
      <c r="A331" s="90" t="s">
        <v>269</v>
      </c>
      <c r="B331" s="90" t="s">
        <v>42</v>
      </c>
      <c r="C331" s="92" t="s">
        <v>98</v>
      </c>
      <c r="D331" s="92"/>
      <c r="E331" s="90" t="s">
        <v>17</v>
      </c>
      <c r="F331" s="90" t="s">
        <v>25</v>
      </c>
      <c r="G331" s="90"/>
      <c r="H331" s="90" t="s">
        <v>39</v>
      </c>
      <c r="I331" s="90"/>
      <c r="J331" s="90"/>
      <c r="K331" s="90"/>
      <c r="L331" s="90">
        <v>16</v>
      </c>
      <c r="M331" s="90">
        <v>16</v>
      </c>
      <c r="N331" s="90"/>
      <c r="O331" s="90"/>
      <c r="P331" s="93">
        <v>0.39</v>
      </c>
      <c r="Q331" s="93">
        <v>6.7000000000000004E-2</v>
      </c>
      <c r="R331" s="91">
        <v>0.88700000000000001</v>
      </c>
      <c r="S331" s="91">
        <v>0.95549651278644898</v>
      </c>
    </row>
    <row r="332" spans="1:19" s="5" customFormat="1" x14ac:dyDescent="0.2">
      <c r="A332" s="90" t="s">
        <v>621</v>
      </c>
      <c r="B332" s="90" t="s">
        <v>42</v>
      </c>
      <c r="C332" s="92" t="s">
        <v>246</v>
      </c>
      <c r="D332" s="92"/>
      <c r="E332" s="90" t="s">
        <v>17</v>
      </c>
      <c r="F332" s="90" t="s">
        <v>25</v>
      </c>
      <c r="G332" s="90" t="s">
        <v>406</v>
      </c>
      <c r="H332" s="90" t="s">
        <v>39</v>
      </c>
      <c r="I332" s="90"/>
      <c r="J332" s="90"/>
      <c r="K332" s="90"/>
      <c r="L332" s="90">
        <v>58</v>
      </c>
      <c r="M332" s="90">
        <v>43</v>
      </c>
      <c r="N332" s="90"/>
      <c r="O332" s="90"/>
      <c r="P332" s="93">
        <v>0.51</v>
      </c>
      <c r="Q332" s="93">
        <v>0.29399999999999998</v>
      </c>
      <c r="R332" s="91">
        <v>0.215</v>
      </c>
      <c r="S332" s="91">
        <v>0.87534595372522905</v>
      </c>
    </row>
    <row r="333" spans="1:19" s="5" customFormat="1" x14ac:dyDescent="0.2">
      <c r="A333" s="90" t="s">
        <v>234</v>
      </c>
      <c r="B333" s="90" t="s">
        <v>42</v>
      </c>
      <c r="C333" s="92" t="s">
        <v>235</v>
      </c>
      <c r="D333" s="92"/>
      <c r="E333" s="90" t="s">
        <v>17</v>
      </c>
      <c r="F333" s="90" t="s">
        <v>25</v>
      </c>
      <c r="G333" s="90"/>
      <c r="H333" s="90" t="s">
        <v>39</v>
      </c>
      <c r="I333" s="90" t="s">
        <v>236</v>
      </c>
      <c r="J333" s="90"/>
      <c r="K333" s="90"/>
      <c r="L333" s="90">
        <v>76</v>
      </c>
      <c r="M333" s="90">
        <v>75</v>
      </c>
      <c r="N333" s="90"/>
      <c r="O333" s="90"/>
      <c r="P333" s="93">
        <v>0.14000000000000001</v>
      </c>
      <c r="Q333" s="93">
        <v>0.14599999999999999</v>
      </c>
      <c r="R333" s="91">
        <v>0.77500000000000002</v>
      </c>
      <c r="S333" s="91">
        <v>0.77416140817004298</v>
      </c>
    </row>
    <row r="334" spans="1:19" s="5" customFormat="1" x14ac:dyDescent="0.2">
      <c r="A334" s="90" t="s">
        <v>473</v>
      </c>
      <c r="B334" s="90" t="s">
        <v>139</v>
      </c>
      <c r="C334" s="90" t="s">
        <v>140</v>
      </c>
      <c r="D334" s="90"/>
      <c r="E334" s="90" t="s">
        <v>17</v>
      </c>
      <c r="F334" s="90"/>
      <c r="G334" s="90" t="s">
        <v>406</v>
      </c>
      <c r="H334" s="90"/>
      <c r="I334" s="90"/>
      <c r="J334" s="90"/>
      <c r="K334" s="90"/>
      <c r="L334" s="90">
        <v>10</v>
      </c>
      <c r="M334" s="90">
        <v>9</v>
      </c>
      <c r="N334" s="90"/>
      <c r="O334" s="90"/>
      <c r="P334" s="91">
        <v>0.89300000000000002</v>
      </c>
      <c r="Q334" s="91">
        <v>0.307</v>
      </c>
      <c r="R334" s="91">
        <v>0.61399999999999999</v>
      </c>
      <c r="S334" s="91">
        <v>0.77681833277980705</v>
      </c>
    </row>
    <row r="335" spans="1:19" x14ac:dyDescent="0.2">
      <c r="A335" s="90" t="s">
        <v>341</v>
      </c>
      <c r="B335" s="90" t="s">
        <v>139</v>
      </c>
      <c r="C335" s="92" t="s">
        <v>342</v>
      </c>
      <c r="D335" s="92"/>
      <c r="E335" s="90" t="s">
        <v>17</v>
      </c>
      <c r="F335" s="90" t="s">
        <v>25</v>
      </c>
      <c r="G335" s="90" t="s">
        <v>406</v>
      </c>
      <c r="H335" s="90"/>
      <c r="I335" s="90"/>
      <c r="J335" s="90"/>
      <c r="K335" s="90"/>
      <c r="L335" s="90">
        <v>297</v>
      </c>
      <c r="M335" s="90">
        <v>297</v>
      </c>
      <c r="N335" s="90"/>
      <c r="O335" s="90"/>
      <c r="P335" s="93">
        <v>0.56999999999999995</v>
      </c>
      <c r="Q335" s="93">
        <v>0.11</v>
      </c>
      <c r="R335" s="91">
        <v>0.68300000000000005</v>
      </c>
      <c r="S335" s="91">
        <v>0.97210229159747596</v>
      </c>
    </row>
    <row r="336" spans="1:19" x14ac:dyDescent="0.2">
      <c r="A336" s="90" t="s">
        <v>555</v>
      </c>
      <c r="B336" s="90" t="s">
        <v>139</v>
      </c>
      <c r="C336" s="90" t="s">
        <v>537</v>
      </c>
      <c r="D336" s="90"/>
      <c r="E336" s="90" t="s">
        <v>17</v>
      </c>
      <c r="F336" s="90"/>
      <c r="G336" s="90" t="s">
        <v>406</v>
      </c>
      <c r="H336" s="90"/>
      <c r="I336" s="90"/>
      <c r="J336" s="90"/>
      <c r="K336" s="90"/>
      <c r="L336" s="90">
        <v>104</v>
      </c>
      <c r="M336" s="90">
        <v>102</v>
      </c>
      <c r="N336" s="90"/>
      <c r="O336" s="90"/>
      <c r="P336" s="91">
        <v>0.90200000000000002</v>
      </c>
      <c r="Q336" s="91">
        <v>3.1E-2</v>
      </c>
      <c r="R336" s="91">
        <v>0.876</v>
      </c>
      <c r="S336" s="91">
        <v>0.93811579763090802</v>
      </c>
    </row>
    <row r="337" spans="1:19" x14ac:dyDescent="0.2">
      <c r="A337" s="90" t="s">
        <v>536</v>
      </c>
      <c r="B337" s="90" t="s">
        <v>139</v>
      </c>
      <c r="C337" s="90" t="s">
        <v>537</v>
      </c>
      <c r="D337" s="90"/>
      <c r="E337" s="90" t="s">
        <v>17</v>
      </c>
      <c r="F337" s="90"/>
      <c r="G337" s="90"/>
      <c r="H337" s="90"/>
      <c r="I337" s="90"/>
      <c r="J337" s="90" t="s">
        <v>26</v>
      </c>
      <c r="K337" s="90"/>
      <c r="L337" s="90">
        <v>335</v>
      </c>
      <c r="M337" s="90">
        <v>334</v>
      </c>
      <c r="N337" s="90"/>
      <c r="O337" s="90"/>
      <c r="P337" s="91">
        <v>0.90200000000000002</v>
      </c>
      <c r="Q337" s="91">
        <v>3.1E-2</v>
      </c>
      <c r="R337" s="91">
        <v>0.876</v>
      </c>
      <c r="S337" s="91">
        <v>0.93811579763090802</v>
      </c>
    </row>
    <row r="338" spans="1:19" x14ac:dyDescent="0.2">
      <c r="A338" s="90" t="s">
        <v>255</v>
      </c>
      <c r="B338" s="90" t="s">
        <v>136</v>
      </c>
      <c r="C338" s="90">
        <v>75518</v>
      </c>
      <c r="D338" s="98" t="s">
        <v>256</v>
      </c>
      <c r="E338" s="90" t="s">
        <v>17</v>
      </c>
      <c r="F338" s="90"/>
      <c r="G338" s="90" t="s">
        <v>406</v>
      </c>
      <c r="H338" s="90"/>
      <c r="I338" s="90"/>
      <c r="J338" s="90"/>
      <c r="K338" s="90"/>
      <c r="L338" s="90">
        <v>533</v>
      </c>
      <c r="M338" s="90">
        <v>37</v>
      </c>
      <c r="N338" s="90"/>
      <c r="O338" s="90" t="s">
        <v>257</v>
      </c>
      <c r="P338" s="91">
        <v>0.85399999999999998</v>
      </c>
      <c r="Q338" s="91">
        <v>0.84499999999999997</v>
      </c>
      <c r="R338" s="91">
        <v>0.68200000000000005</v>
      </c>
      <c r="S338" s="91">
        <v>0.55020480460533505</v>
      </c>
    </row>
    <row r="339" spans="1:19" x14ac:dyDescent="0.2">
      <c r="A339" s="90" t="s">
        <v>302</v>
      </c>
      <c r="B339" s="90" t="s">
        <v>136</v>
      </c>
      <c r="C339" s="90" t="s">
        <v>164</v>
      </c>
      <c r="D339" s="90"/>
      <c r="E339" s="90" t="s">
        <v>17</v>
      </c>
      <c r="F339" s="90"/>
      <c r="G339" s="90" t="s">
        <v>406</v>
      </c>
      <c r="H339" s="90"/>
      <c r="I339" s="90"/>
      <c r="J339" s="90"/>
      <c r="K339" s="90"/>
      <c r="L339" s="90">
        <v>335</v>
      </c>
      <c r="M339" s="90">
        <v>210</v>
      </c>
      <c r="N339" s="90"/>
      <c r="O339" s="90"/>
      <c r="P339" s="91">
        <v>0.77500000000000002</v>
      </c>
      <c r="Q339" s="91">
        <v>4.5999999999999999E-2</v>
      </c>
      <c r="R339" s="91">
        <v>0.879</v>
      </c>
      <c r="S339" s="91">
        <v>0.93745156647846695</v>
      </c>
    </row>
    <row r="340" spans="1:19" x14ac:dyDescent="0.2">
      <c r="A340" s="90" t="s">
        <v>761</v>
      </c>
      <c r="B340" s="90" t="s">
        <v>136</v>
      </c>
      <c r="C340" s="92" t="s">
        <v>411</v>
      </c>
      <c r="D340" s="92"/>
      <c r="E340" s="90" t="s">
        <v>17</v>
      </c>
      <c r="F340" s="90" t="s">
        <v>25</v>
      </c>
      <c r="G340" s="90" t="s">
        <v>406</v>
      </c>
      <c r="H340" s="90"/>
      <c r="I340" s="90"/>
      <c r="J340" s="90"/>
      <c r="K340" s="90"/>
      <c r="L340" s="90">
        <v>150</v>
      </c>
      <c r="M340" s="90">
        <v>149</v>
      </c>
      <c r="N340" s="90"/>
      <c r="O340" s="90"/>
      <c r="P340" s="93">
        <v>0.43</v>
      </c>
      <c r="Q340" s="93">
        <v>0.38200000000000001</v>
      </c>
      <c r="R340" s="91">
        <v>0.32900000000000001</v>
      </c>
      <c r="S340" s="91">
        <v>0.62581645079154202</v>
      </c>
    </row>
    <row r="341" spans="1:19" x14ac:dyDescent="0.2">
      <c r="A341" s="90" t="s">
        <v>350</v>
      </c>
      <c r="B341" s="90" t="s">
        <v>136</v>
      </c>
      <c r="C341" s="92" t="s">
        <v>351</v>
      </c>
      <c r="D341" s="92"/>
      <c r="E341" s="90" t="s">
        <v>17</v>
      </c>
      <c r="F341" s="90" t="s">
        <v>25</v>
      </c>
      <c r="G341" s="90"/>
      <c r="H341" s="90"/>
      <c r="I341" s="90"/>
      <c r="J341" s="90" t="s">
        <v>26</v>
      </c>
      <c r="K341" s="90"/>
      <c r="L341" s="90">
        <v>54</v>
      </c>
      <c r="M341" s="90">
        <v>53</v>
      </c>
      <c r="N341" s="90"/>
      <c r="O341" s="90"/>
      <c r="P341" s="93">
        <v>0.33</v>
      </c>
      <c r="Q341" s="93">
        <v>0.443</v>
      </c>
      <c r="R341" s="91">
        <v>0.98799999999999999</v>
      </c>
      <c r="S341" s="91">
        <v>0.84844459205136702</v>
      </c>
    </row>
    <row r="342" spans="1:19" x14ac:dyDescent="0.2">
      <c r="A342" s="90" t="s">
        <v>404</v>
      </c>
      <c r="B342" s="90" t="s">
        <v>183</v>
      </c>
      <c r="C342" s="90">
        <v>99801</v>
      </c>
      <c r="D342" s="90" t="s">
        <v>405</v>
      </c>
      <c r="E342" s="90" t="s">
        <v>17</v>
      </c>
      <c r="F342" s="90" t="s">
        <v>406</v>
      </c>
      <c r="G342" s="90" t="s">
        <v>406</v>
      </c>
      <c r="H342" s="90"/>
      <c r="I342" s="90"/>
      <c r="J342" s="90"/>
      <c r="K342" s="90"/>
      <c r="L342" s="90">
        <v>36</v>
      </c>
      <c r="M342" s="90">
        <v>35</v>
      </c>
      <c r="N342" s="90"/>
      <c r="O342" s="90"/>
      <c r="P342" s="91">
        <v>0.878</v>
      </c>
      <c r="Q342" s="91">
        <v>0.21299999999999999</v>
      </c>
      <c r="R342" s="91">
        <v>0.78700000000000003</v>
      </c>
      <c r="S342" s="91">
        <v>0.91852097863389703</v>
      </c>
    </row>
    <row r="343" spans="1:19" x14ac:dyDescent="0.2">
      <c r="A343" s="90" t="s">
        <v>182</v>
      </c>
      <c r="B343" s="90" t="s">
        <v>183</v>
      </c>
      <c r="C343" s="90" t="s">
        <v>184</v>
      </c>
      <c r="D343" s="90"/>
      <c r="E343" s="90" t="s">
        <v>17</v>
      </c>
      <c r="F343" s="90" t="s">
        <v>25</v>
      </c>
      <c r="G343" s="90" t="s">
        <v>406</v>
      </c>
      <c r="H343" s="90"/>
      <c r="I343" s="90"/>
      <c r="J343" s="90"/>
      <c r="K343" s="90"/>
      <c r="L343" s="90">
        <v>50</v>
      </c>
      <c r="M343" s="90">
        <v>25</v>
      </c>
      <c r="N343" s="90"/>
      <c r="O343" s="90"/>
      <c r="P343" s="91">
        <v>0.32700000000000001</v>
      </c>
      <c r="Q343" s="91">
        <v>0.08</v>
      </c>
      <c r="R343" s="91">
        <v>0.88</v>
      </c>
      <c r="S343" s="91">
        <v>0.83925606110926598</v>
      </c>
    </row>
    <row r="344" spans="1:19" x14ac:dyDescent="0.2">
      <c r="A344" s="90" t="s">
        <v>201</v>
      </c>
      <c r="B344" s="90" t="s">
        <v>183</v>
      </c>
      <c r="C344" s="90" t="s">
        <v>202</v>
      </c>
      <c r="D344" s="90"/>
      <c r="E344" s="90" t="s">
        <v>17</v>
      </c>
      <c r="F344" s="90"/>
      <c r="G344" s="90" t="s">
        <v>406</v>
      </c>
      <c r="H344" s="90"/>
      <c r="I344" s="90"/>
      <c r="J344" s="90"/>
      <c r="K344" s="90"/>
      <c r="L344" s="90">
        <v>12</v>
      </c>
      <c r="M344" s="90">
        <v>12</v>
      </c>
      <c r="N344" s="90"/>
      <c r="O344" s="90"/>
      <c r="P344" s="91">
        <v>0.754</v>
      </c>
      <c r="Q344" s="91">
        <v>7.2999999999999995E-2</v>
      </c>
      <c r="R344" s="91">
        <v>0.90900000000000003</v>
      </c>
      <c r="S344" s="91">
        <v>0.91708181113694198</v>
      </c>
    </row>
    <row r="345" spans="1:19" x14ac:dyDescent="0.2">
      <c r="A345" s="90" t="s">
        <v>739</v>
      </c>
      <c r="B345" s="90" t="s">
        <v>183</v>
      </c>
      <c r="C345" s="90" t="s">
        <v>202</v>
      </c>
      <c r="D345" s="90"/>
      <c r="E345" s="90" t="s">
        <v>17</v>
      </c>
      <c r="F345" s="90"/>
      <c r="G345" s="90" t="s">
        <v>406</v>
      </c>
      <c r="H345" s="90"/>
      <c r="I345" s="90"/>
      <c r="J345" s="90"/>
      <c r="K345" s="90"/>
      <c r="L345" s="90">
        <v>4</v>
      </c>
      <c r="M345" s="90">
        <v>4</v>
      </c>
      <c r="N345" s="90"/>
      <c r="O345" s="90"/>
      <c r="P345" s="91">
        <v>0.754</v>
      </c>
      <c r="Q345" s="91">
        <v>7.2999999999999995E-2</v>
      </c>
      <c r="R345" s="91">
        <v>0.90900000000000003</v>
      </c>
      <c r="S345" s="91">
        <v>0.91708181113694198</v>
      </c>
    </row>
    <row r="346" spans="1:19" x14ac:dyDescent="0.2">
      <c r="A346" s="90" t="s">
        <v>277</v>
      </c>
      <c r="B346" s="90" t="s">
        <v>183</v>
      </c>
      <c r="C346" s="90" t="s">
        <v>278</v>
      </c>
      <c r="D346" s="90"/>
      <c r="E346" s="90" t="s">
        <v>17</v>
      </c>
      <c r="F346" s="90" t="s">
        <v>25</v>
      </c>
      <c r="G346" s="90"/>
      <c r="H346" s="90"/>
      <c r="I346" s="90"/>
      <c r="J346" s="90" t="s">
        <v>26</v>
      </c>
      <c r="K346" s="90"/>
      <c r="L346" s="90">
        <v>22</v>
      </c>
      <c r="M346" s="90">
        <v>21</v>
      </c>
      <c r="N346" s="90"/>
      <c r="O346" s="90"/>
      <c r="P346" s="91">
        <v>0.77100000000000002</v>
      </c>
      <c r="Q346" s="91">
        <v>0</v>
      </c>
      <c r="R346" s="91">
        <v>0.97799999999999998</v>
      </c>
      <c r="S346" s="91">
        <v>0.92372412266135195</v>
      </c>
    </row>
    <row r="347" spans="1:19" x14ac:dyDescent="0.2">
      <c r="A347" s="90" t="s">
        <v>319</v>
      </c>
      <c r="B347" s="90" t="s">
        <v>183</v>
      </c>
      <c r="C347" s="92" t="s">
        <v>278</v>
      </c>
      <c r="D347" s="92"/>
      <c r="E347" s="90" t="s">
        <v>17</v>
      </c>
      <c r="F347" s="90" t="s">
        <v>25</v>
      </c>
      <c r="G347" s="90"/>
      <c r="H347" s="90"/>
      <c r="I347" s="90"/>
      <c r="J347" s="90" t="s">
        <v>26</v>
      </c>
      <c r="K347" s="90"/>
      <c r="L347" s="90">
        <v>76</v>
      </c>
      <c r="M347" s="90">
        <v>76</v>
      </c>
      <c r="N347" s="90"/>
      <c r="O347" s="90"/>
      <c r="P347" s="93">
        <v>0.77</v>
      </c>
      <c r="Q347" s="93">
        <v>0</v>
      </c>
      <c r="R347" s="91">
        <v>0.97799999999999998</v>
      </c>
      <c r="S347" s="91">
        <v>0.92372412266135195</v>
      </c>
    </row>
    <row r="348" spans="1:19" x14ac:dyDescent="0.2">
      <c r="A348" s="90" t="s">
        <v>598</v>
      </c>
      <c r="B348" s="90" t="s">
        <v>183</v>
      </c>
      <c r="C348" s="92" t="s">
        <v>599</v>
      </c>
      <c r="D348" s="92"/>
      <c r="E348" s="90" t="s">
        <v>17</v>
      </c>
      <c r="F348" s="90" t="s">
        <v>25</v>
      </c>
      <c r="G348" s="90"/>
      <c r="H348" s="90"/>
      <c r="I348" s="90"/>
      <c r="J348" s="90" t="s">
        <v>26</v>
      </c>
      <c r="K348" s="90"/>
      <c r="L348" s="90">
        <v>132</v>
      </c>
      <c r="M348" s="90">
        <v>132</v>
      </c>
      <c r="N348" s="90"/>
      <c r="O348" s="90"/>
      <c r="P348" s="93">
        <v>0.53</v>
      </c>
      <c r="Q348" s="93">
        <v>0</v>
      </c>
      <c r="R348" s="91">
        <v>0.91100000000000003</v>
      </c>
      <c r="S348" s="91">
        <v>0.75799845012731104</v>
      </c>
    </row>
    <row r="349" spans="1:19" x14ac:dyDescent="0.2">
      <c r="A349" s="90" t="s">
        <v>665</v>
      </c>
      <c r="B349" s="90" t="s">
        <v>183</v>
      </c>
      <c r="C349" s="90" t="s">
        <v>666</v>
      </c>
      <c r="D349" s="90"/>
      <c r="E349" s="90" t="s">
        <v>17</v>
      </c>
      <c r="F349" s="90"/>
      <c r="G349" s="90"/>
      <c r="H349" s="90"/>
      <c r="I349" s="90"/>
      <c r="J349" s="90" t="s">
        <v>26</v>
      </c>
      <c r="K349" s="90"/>
      <c r="L349" s="90">
        <v>117</v>
      </c>
      <c r="M349" s="90">
        <v>24</v>
      </c>
      <c r="N349" s="90"/>
      <c r="O349" s="90"/>
      <c r="P349" s="91">
        <v>0.86199999999999999</v>
      </c>
      <c r="Q349" s="91">
        <v>0.19</v>
      </c>
      <c r="R349" s="91">
        <v>0.86799999999999999</v>
      </c>
      <c r="S349" s="91">
        <v>0.66456326801726995</v>
      </c>
    </row>
    <row r="350" spans="1:19" x14ac:dyDescent="0.2">
      <c r="A350" s="90" t="s">
        <v>764</v>
      </c>
      <c r="B350" s="90" t="s">
        <v>183</v>
      </c>
      <c r="C350" s="92" t="s">
        <v>278</v>
      </c>
      <c r="D350" s="92"/>
      <c r="E350" s="90" t="s">
        <v>17</v>
      </c>
      <c r="F350" s="90" t="s">
        <v>25</v>
      </c>
      <c r="G350" s="90"/>
      <c r="H350" s="90"/>
      <c r="I350" s="90"/>
      <c r="J350" s="90" t="s">
        <v>26</v>
      </c>
      <c r="K350" s="90"/>
      <c r="L350" s="90">
        <v>92</v>
      </c>
      <c r="M350" s="90">
        <v>91</v>
      </c>
      <c r="N350" s="90"/>
      <c r="O350" s="90"/>
      <c r="P350" s="93">
        <v>0.77</v>
      </c>
      <c r="Q350" s="93">
        <v>0</v>
      </c>
      <c r="R350" s="91">
        <v>0.97799999999999998</v>
      </c>
      <c r="S350" s="91">
        <v>0.92372412266135195</v>
      </c>
    </row>
    <row r="351" spans="1:19" x14ac:dyDescent="0.2">
      <c r="A351" s="90" t="s">
        <v>775</v>
      </c>
      <c r="B351" s="90" t="s">
        <v>183</v>
      </c>
      <c r="C351" s="92" t="s">
        <v>599</v>
      </c>
      <c r="D351" s="92"/>
      <c r="E351" s="90" t="s">
        <v>17</v>
      </c>
      <c r="F351" s="90" t="s">
        <v>25</v>
      </c>
      <c r="G351" s="90" t="s">
        <v>406</v>
      </c>
      <c r="H351" s="90"/>
      <c r="I351" s="90"/>
      <c r="J351" s="90" t="s">
        <v>26</v>
      </c>
      <c r="K351" s="90"/>
      <c r="L351" s="90">
        <v>86</v>
      </c>
      <c r="M351" s="90">
        <v>85</v>
      </c>
      <c r="N351" s="90"/>
      <c r="O351" s="90"/>
      <c r="P351" s="93">
        <v>0.53</v>
      </c>
      <c r="Q351" s="93">
        <v>0</v>
      </c>
      <c r="R351" s="91">
        <v>0.91100000000000003</v>
      </c>
      <c r="S351" s="91">
        <v>0.75799845012731104</v>
      </c>
    </row>
    <row r="352" spans="1:19" x14ac:dyDescent="0.2">
      <c r="A352" s="90" t="s">
        <v>762</v>
      </c>
      <c r="B352" s="90" t="s">
        <v>183</v>
      </c>
      <c r="C352" s="90" t="s">
        <v>202</v>
      </c>
      <c r="D352" s="90"/>
      <c r="E352" s="90" t="s">
        <v>17</v>
      </c>
      <c r="F352" s="90" t="s">
        <v>25</v>
      </c>
      <c r="G352" s="90" t="s">
        <v>406</v>
      </c>
      <c r="H352" s="90" t="s">
        <v>39</v>
      </c>
      <c r="I352" s="90"/>
      <c r="J352" s="90"/>
      <c r="K352" s="90"/>
      <c r="L352" s="90">
        <v>65</v>
      </c>
      <c r="M352" s="90">
        <v>45</v>
      </c>
      <c r="N352" s="90"/>
      <c r="O352" s="90"/>
      <c r="P352" s="91">
        <v>0.754</v>
      </c>
      <c r="Q352" s="91">
        <v>7.2999999999999995E-2</v>
      </c>
      <c r="R352" s="91">
        <v>0.90900000000000003</v>
      </c>
      <c r="S352" s="91">
        <v>0.91708181113694198</v>
      </c>
    </row>
    <row r="353" spans="1:19" x14ac:dyDescent="0.2">
      <c r="A353" s="90" t="s">
        <v>589</v>
      </c>
      <c r="B353" s="90" t="s">
        <v>225</v>
      </c>
      <c r="C353" s="90" t="s">
        <v>590</v>
      </c>
      <c r="D353" s="90"/>
      <c r="E353" s="90" t="s">
        <v>17</v>
      </c>
      <c r="F353" s="90"/>
      <c r="G353" s="90" t="s">
        <v>406</v>
      </c>
      <c r="H353" s="90"/>
      <c r="I353" s="90"/>
      <c r="J353" s="90"/>
      <c r="K353" s="90"/>
      <c r="L353" s="90">
        <v>400</v>
      </c>
      <c r="M353" s="90">
        <v>100</v>
      </c>
      <c r="N353" s="90"/>
      <c r="O353" s="90"/>
      <c r="P353" s="91">
        <v>0.121</v>
      </c>
      <c r="Q353" s="91">
        <v>0.56999999999999995</v>
      </c>
      <c r="R353" s="91">
        <v>5.6000000000000001E-2</v>
      </c>
      <c r="S353" s="91">
        <v>0.37351931805601601</v>
      </c>
    </row>
    <row r="354" spans="1:19" x14ac:dyDescent="0.2">
      <c r="A354" s="90" t="s">
        <v>403</v>
      </c>
      <c r="B354" s="90" t="s">
        <v>225</v>
      </c>
      <c r="C354" s="90" t="s">
        <v>226</v>
      </c>
      <c r="D354" s="90"/>
      <c r="E354" s="90" t="s">
        <v>17</v>
      </c>
      <c r="F354" s="90" t="s">
        <v>25</v>
      </c>
      <c r="G354" s="90"/>
      <c r="H354" s="90"/>
      <c r="I354" s="90"/>
      <c r="J354" s="90" t="s">
        <v>26</v>
      </c>
      <c r="K354" s="90"/>
      <c r="L354" s="90">
        <v>48</v>
      </c>
      <c r="M354" s="90">
        <v>38</v>
      </c>
      <c r="N354" s="90"/>
      <c r="O354" s="90"/>
      <c r="P354" s="91">
        <v>0.442</v>
      </c>
      <c r="Q354" s="91">
        <v>0.79900000000000004</v>
      </c>
      <c r="R354" s="91">
        <v>0.308</v>
      </c>
      <c r="S354" s="91">
        <v>0.38248643861397102</v>
      </c>
    </row>
    <row r="355" spans="1:19" x14ac:dyDescent="0.2">
      <c r="A355" s="90" t="s">
        <v>224</v>
      </c>
      <c r="B355" s="90" t="s">
        <v>225</v>
      </c>
      <c r="C355" s="90" t="s">
        <v>226</v>
      </c>
      <c r="D355" s="90"/>
      <c r="E355" s="90" t="s">
        <v>17</v>
      </c>
      <c r="F355" s="90"/>
      <c r="G355" s="90"/>
      <c r="H355" s="90"/>
      <c r="I355" s="90"/>
      <c r="J355" s="90" t="s">
        <v>26</v>
      </c>
      <c r="K355" s="90"/>
      <c r="L355" s="90">
        <v>49</v>
      </c>
      <c r="M355" s="90">
        <v>28</v>
      </c>
      <c r="N355" s="90"/>
      <c r="O355" s="90"/>
      <c r="P355" s="91">
        <v>0.442</v>
      </c>
      <c r="Q355" s="91">
        <v>0.79900000000000004</v>
      </c>
      <c r="R355" s="91">
        <v>0.308</v>
      </c>
      <c r="S355" s="91">
        <v>0.38248643861397102</v>
      </c>
    </row>
    <row r="356" spans="1:19" x14ac:dyDescent="0.2">
      <c r="A356" s="90" t="s">
        <v>541</v>
      </c>
      <c r="B356" s="90" t="s">
        <v>225</v>
      </c>
      <c r="C356" s="92" t="s">
        <v>542</v>
      </c>
      <c r="D356" s="92"/>
      <c r="E356" s="90" t="s">
        <v>17</v>
      </c>
      <c r="F356" s="90" t="s">
        <v>25</v>
      </c>
      <c r="G356" s="90"/>
      <c r="H356" s="90"/>
      <c r="I356" s="90"/>
      <c r="J356" s="90" t="s">
        <v>26</v>
      </c>
      <c r="K356" s="90"/>
      <c r="L356" s="90">
        <v>100</v>
      </c>
      <c r="M356" s="90">
        <v>100</v>
      </c>
      <c r="N356" s="90"/>
      <c r="O356" s="90"/>
      <c r="P356" s="93">
        <v>0.3</v>
      </c>
      <c r="Q356" s="93">
        <v>0.68700000000000006</v>
      </c>
      <c r="R356" s="91">
        <v>0.32</v>
      </c>
      <c r="S356" s="91">
        <v>0.17945311635115599</v>
      </c>
    </row>
    <row r="357" spans="1:19" x14ac:dyDescent="0.2">
      <c r="A357" s="90" t="s">
        <v>501</v>
      </c>
      <c r="B357" s="90" t="s">
        <v>225</v>
      </c>
      <c r="C357" s="90" t="s">
        <v>502</v>
      </c>
      <c r="D357" s="90"/>
      <c r="E357" s="90" t="s">
        <v>17</v>
      </c>
      <c r="F357" s="90" t="s">
        <v>25</v>
      </c>
      <c r="G357" s="90" t="s">
        <v>406</v>
      </c>
      <c r="H357" s="90" t="s">
        <v>39</v>
      </c>
      <c r="I357" s="90"/>
      <c r="J357" s="90"/>
      <c r="K357" s="90"/>
      <c r="L357" s="90">
        <v>54</v>
      </c>
      <c r="M357" s="90">
        <v>53</v>
      </c>
      <c r="N357" s="90"/>
      <c r="O357" s="90"/>
      <c r="P357" s="91">
        <v>0.56000000000000005</v>
      </c>
      <c r="Q357" s="91">
        <v>0.77500000000000002</v>
      </c>
      <c r="R357" s="91">
        <v>0.157</v>
      </c>
      <c r="S357" s="91">
        <v>0.36067751577548901</v>
      </c>
    </row>
  </sheetData>
  <autoFilter ref="A1:S1" xr:uid="{00000000-0009-0000-0000-000000000000}">
    <sortState xmlns:xlrd2="http://schemas.microsoft.com/office/spreadsheetml/2017/richdata2" ref="A2:S466">
      <sortCondition sortBy="cellColor" ref="L1" dxfId="5"/>
    </sortState>
  </autoFilter>
  <phoneticPr fontId="10" type="noConversion"/>
  <conditionalFormatting sqref="A1:A1048576">
    <cfRule type="duplicateValues" dxfId="4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3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51" sqref="C451"/>
    </sheetView>
  </sheetViews>
  <sheetFormatPr baseColWidth="10" defaultColWidth="8.83203125" defaultRowHeight="15" x14ac:dyDescent="0.2"/>
  <cols>
    <col min="1" max="1" width="33.1640625" style="7" customWidth="1"/>
    <col min="2" max="2" width="19.6640625" customWidth="1"/>
    <col min="3" max="3" width="16.6640625" style="73" customWidth="1"/>
    <col min="4" max="4" width="36.6640625" style="73" customWidth="1"/>
    <col min="5" max="5" width="21.5" style="5" customWidth="1"/>
    <col min="6" max="6" width="29.6640625" hidden="1" customWidth="1"/>
    <col min="7" max="11" width="20.6640625" style="5" customWidth="1"/>
    <col min="12" max="13" width="11.5" style="5" customWidth="1"/>
    <col min="14" max="14" width="11.1640625" style="5" hidden="1" customWidth="1"/>
    <col min="15" max="15" width="0.83203125" style="5" hidden="1" customWidth="1"/>
    <col min="16" max="18" width="17.33203125" style="5" customWidth="1"/>
    <col min="19" max="19" width="17.1640625" style="5" customWidth="1"/>
  </cols>
  <sheetData>
    <row r="1" spans="1:19" s="12" customFormat="1" ht="111" customHeight="1" x14ac:dyDescent="0.2">
      <c r="A1" s="69" t="s">
        <v>0</v>
      </c>
      <c r="B1" s="70" t="s">
        <v>1</v>
      </c>
      <c r="C1" s="71" t="s">
        <v>2</v>
      </c>
      <c r="D1" s="72" t="s">
        <v>3</v>
      </c>
      <c r="E1" s="8" t="s">
        <v>4</v>
      </c>
      <c r="F1" s="70" t="s">
        <v>4</v>
      </c>
      <c r="G1" s="8" t="s">
        <v>406</v>
      </c>
      <c r="H1" s="8" t="s">
        <v>39</v>
      </c>
      <c r="I1" s="8" t="s">
        <v>236</v>
      </c>
      <c r="J1" s="8" t="s">
        <v>26</v>
      </c>
      <c r="K1" s="8" t="s">
        <v>1438</v>
      </c>
      <c r="L1" s="8" t="s">
        <v>6</v>
      </c>
      <c r="M1" s="8" t="s">
        <v>1439</v>
      </c>
      <c r="N1" s="8" t="s">
        <v>8</v>
      </c>
      <c r="O1" s="8" t="s">
        <v>9</v>
      </c>
      <c r="P1" s="11" t="s">
        <v>10</v>
      </c>
      <c r="Q1" s="11" t="s">
        <v>11</v>
      </c>
      <c r="R1" s="11" t="s">
        <v>12</v>
      </c>
      <c r="S1" s="11" t="s">
        <v>13</v>
      </c>
    </row>
    <row r="2" spans="1:19" x14ac:dyDescent="0.2">
      <c r="A2" s="7" t="s">
        <v>778</v>
      </c>
      <c r="B2" t="s">
        <v>242</v>
      </c>
      <c r="C2" t="s">
        <v>243</v>
      </c>
      <c r="D2"/>
      <c r="E2" s="5" t="s">
        <v>17</v>
      </c>
      <c r="G2" s="5" t="s">
        <v>406</v>
      </c>
      <c r="L2" s="5">
        <v>230</v>
      </c>
      <c r="M2" s="5">
        <v>46</v>
      </c>
      <c r="P2" s="13">
        <v>0.78300000000000003</v>
      </c>
      <c r="Q2" s="13">
        <v>0.80700000000000005</v>
      </c>
      <c r="R2" s="13">
        <v>9.5000000000000001E-2</v>
      </c>
      <c r="S2" s="17">
        <v>7.6607992914867695E-2</v>
      </c>
    </row>
    <row r="3" spans="1:19" x14ac:dyDescent="0.2">
      <c r="A3" s="7" t="s">
        <v>317</v>
      </c>
      <c r="B3" t="s">
        <v>242</v>
      </c>
      <c r="C3" s="73" t="s">
        <v>243</v>
      </c>
      <c r="E3" s="5" t="s">
        <v>17</v>
      </c>
      <c r="F3" s="39" t="s">
        <v>25</v>
      </c>
      <c r="G3" s="5" t="s">
        <v>406</v>
      </c>
      <c r="K3" s="5" t="s">
        <v>373</v>
      </c>
      <c r="L3" s="5">
        <v>128</v>
      </c>
      <c r="M3" s="5">
        <v>128</v>
      </c>
      <c r="P3" s="15">
        <v>0.78</v>
      </c>
      <c r="Q3" s="15">
        <v>0.80700000000000005</v>
      </c>
      <c r="R3" s="13">
        <v>9.5000000000000001E-2</v>
      </c>
      <c r="S3" s="13">
        <v>7.6607992914867695E-2</v>
      </c>
    </row>
    <row r="4" spans="1:19" x14ac:dyDescent="0.2">
      <c r="A4" s="7" t="s">
        <v>241</v>
      </c>
      <c r="B4" t="s">
        <v>242</v>
      </c>
      <c r="C4" s="73" t="s">
        <v>243</v>
      </c>
      <c r="E4" s="5" t="s">
        <v>17</v>
      </c>
      <c r="F4" s="39" t="s">
        <v>25</v>
      </c>
      <c r="G4" s="5" t="s">
        <v>406</v>
      </c>
      <c r="L4" s="67">
        <v>198</v>
      </c>
      <c r="M4" s="67"/>
      <c r="P4" s="15">
        <v>0.78</v>
      </c>
      <c r="Q4" s="15">
        <v>0.80700000000000005</v>
      </c>
      <c r="R4" s="13">
        <v>9.5000000000000001E-2</v>
      </c>
      <c r="S4" s="13">
        <v>7.6607992914867695E-2</v>
      </c>
    </row>
    <row r="5" spans="1:19" x14ac:dyDescent="0.2">
      <c r="A5" s="7" t="s">
        <v>375</v>
      </c>
      <c r="B5" t="s">
        <v>15</v>
      </c>
      <c r="C5" t="s">
        <v>210</v>
      </c>
      <c r="D5"/>
      <c r="E5" s="5" t="s">
        <v>17</v>
      </c>
      <c r="G5" s="5" t="s">
        <v>406</v>
      </c>
      <c r="L5" s="5">
        <v>14</v>
      </c>
      <c r="M5" s="5">
        <v>2</v>
      </c>
      <c r="P5" s="13">
        <v>0.42399999999999999</v>
      </c>
      <c r="Q5" s="13">
        <v>0.22700000000000001</v>
      </c>
      <c r="R5" s="13">
        <v>0.64500000000000002</v>
      </c>
      <c r="S5" s="17">
        <v>0.87346396545997995</v>
      </c>
    </row>
    <row r="6" spans="1:19" x14ac:dyDescent="0.2">
      <c r="A6" s="7" t="s">
        <v>380</v>
      </c>
      <c r="B6" t="s">
        <v>15</v>
      </c>
      <c r="C6" t="s">
        <v>134</v>
      </c>
      <c r="D6"/>
      <c r="E6" s="5" t="s">
        <v>17</v>
      </c>
      <c r="G6" s="5" t="s">
        <v>406</v>
      </c>
      <c r="L6" s="5">
        <v>4</v>
      </c>
      <c r="M6" s="5">
        <v>1</v>
      </c>
      <c r="P6" s="13">
        <v>0.40300000000000002</v>
      </c>
      <c r="Q6" s="13">
        <v>0.17899999999999999</v>
      </c>
      <c r="R6" s="13">
        <v>0.19600000000000001</v>
      </c>
      <c r="S6" s="17">
        <v>0.77261153548101402</v>
      </c>
    </row>
    <row r="7" spans="1:19" x14ac:dyDescent="0.2">
      <c r="A7" s="7" t="s">
        <v>381</v>
      </c>
      <c r="B7" t="s">
        <v>15</v>
      </c>
      <c r="C7" t="s">
        <v>134</v>
      </c>
      <c r="D7"/>
      <c r="E7" s="5" t="s">
        <v>17</v>
      </c>
      <c r="G7" s="5" t="s">
        <v>406</v>
      </c>
      <c r="L7" s="5">
        <v>22</v>
      </c>
      <c r="M7" s="5">
        <v>2</v>
      </c>
      <c r="P7" s="13">
        <v>0.40300000000000002</v>
      </c>
      <c r="Q7" s="13">
        <v>0.17899999999999999</v>
      </c>
      <c r="R7" s="13">
        <v>0.19600000000000001</v>
      </c>
      <c r="S7" s="17">
        <v>0.77261153548101402</v>
      </c>
    </row>
    <row r="8" spans="1:19" x14ac:dyDescent="0.2">
      <c r="A8" s="7" t="s">
        <v>382</v>
      </c>
      <c r="B8" t="s">
        <v>15</v>
      </c>
      <c r="C8" t="s">
        <v>134</v>
      </c>
      <c r="D8"/>
      <c r="E8" s="5" t="s">
        <v>17</v>
      </c>
      <c r="G8" s="5" t="s">
        <v>406</v>
      </c>
      <c r="L8" s="5">
        <v>4</v>
      </c>
      <c r="M8" s="5">
        <v>1</v>
      </c>
      <c r="P8" s="13">
        <v>0.40300000000000002</v>
      </c>
      <c r="Q8" s="13">
        <v>0.17899999999999999</v>
      </c>
      <c r="R8" s="13">
        <v>0.19600000000000001</v>
      </c>
      <c r="S8" s="17">
        <v>0.77261153548101402</v>
      </c>
    </row>
    <row r="9" spans="1:19" x14ac:dyDescent="0.2">
      <c r="A9" s="7" t="s">
        <v>386</v>
      </c>
      <c r="B9" t="s">
        <v>15</v>
      </c>
      <c r="C9" t="s">
        <v>387</v>
      </c>
      <c r="D9"/>
      <c r="E9" s="5" t="s">
        <v>17</v>
      </c>
      <c r="G9" s="5" t="s">
        <v>406</v>
      </c>
      <c r="L9" s="5">
        <v>12</v>
      </c>
      <c r="M9" s="5">
        <v>2</v>
      </c>
      <c r="P9" s="13">
        <v>0.95</v>
      </c>
      <c r="Q9" s="13">
        <v>5.6000000000000001E-2</v>
      </c>
      <c r="R9" s="13">
        <v>0.81299999999999994</v>
      </c>
      <c r="S9" s="17">
        <v>0.95217535702424405</v>
      </c>
    </row>
    <row r="10" spans="1:19" x14ac:dyDescent="0.2">
      <c r="A10" s="7" t="s">
        <v>412</v>
      </c>
      <c r="B10" t="s">
        <v>15</v>
      </c>
      <c r="C10" t="s">
        <v>413</v>
      </c>
      <c r="D10"/>
      <c r="E10" s="5" t="s">
        <v>17</v>
      </c>
      <c r="G10" s="5" t="s">
        <v>406</v>
      </c>
      <c r="L10" s="5">
        <v>232</v>
      </c>
      <c r="M10" s="5">
        <v>229</v>
      </c>
      <c r="P10" s="13">
        <v>0.46</v>
      </c>
      <c r="Q10" s="13">
        <v>8.5999999999999993E-2</v>
      </c>
      <c r="R10" s="13">
        <v>0.94099999999999995</v>
      </c>
      <c r="S10" s="17">
        <v>0.86361120336543695</v>
      </c>
    </row>
    <row r="11" spans="1:19" x14ac:dyDescent="0.2">
      <c r="A11" s="7" t="s">
        <v>248</v>
      </c>
      <c r="B11" t="s">
        <v>15</v>
      </c>
      <c r="C11" s="73" t="s">
        <v>50</v>
      </c>
      <c r="E11" s="5" t="s">
        <v>17</v>
      </c>
      <c r="G11" s="5" t="s">
        <v>406</v>
      </c>
      <c r="L11" s="5">
        <v>46</v>
      </c>
      <c r="M11" s="5">
        <v>45</v>
      </c>
      <c r="P11" s="15">
        <v>0.77</v>
      </c>
      <c r="Q11" s="15">
        <v>0.214</v>
      </c>
      <c r="R11" s="13">
        <v>0.98399999999999999</v>
      </c>
      <c r="S11" s="13">
        <v>0.79264917524631895</v>
      </c>
    </row>
    <row r="12" spans="1:19" x14ac:dyDescent="0.2">
      <c r="A12" s="7" t="s">
        <v>428</v>
      </c>
      <c r="B12" t="s">
        <v>15</v>
      </c>
      <c r="C12" s="73" t="s">
        <v>76</v>
      </c>
      <c r="E12" s="5" t="s">
        <v>17</v>
      </c>
      <c r="F12" t="s">
        <v>25</v>
      </c>
      <c r="G12" s="5" t="s">
        <v>406</v>
      </c>
      <c r="H12" s="5" t="s">
        <v>39</v>
      </c>
      <c r="L12" s="5">
        <v>29</v>
      </c>
      <c r="M12" s="5">
        <v>28</v>
      </c>
      <c r="N12" s="5">
        <v>28</v>
      </c>
      <c r="P12" s="15">
        <v>0.64</v>
      </c>
      <c r="Q12" s="15">
        <v>0.41699999999999998</v>
      </c>
      <c r="R12" s="13">
        <v>0.35699999999999998</v>
      </c>
      <c r="S12" s="17">
        <v>0.75611646186206105</v>
      </c>
    </row>
    <row r="13" spans="1:19" x14ac:dyDescent="0.2">
      <c r="A13" s="7" t="s">
        <v>332</v>
      </c>
      <c r="B13" t="s">
        <v>15</v>
      </c>
      <c r="C13" s="73" t="s">
        <v>333</v>
      </c>
      <c r="E13" s="5" t="s">
        <v>17</v>
      </c>
      <c r="G13" s="5" t="s">
        <v>406</v>
      </c>
      <c r="L13" s="77">
        <v>15</v>
      </c>
      <c r="M13" s="5">
        <v>15</v>
      </c>
      <c r="P13" s="15">
        <v>0.79</v>
      </c>
      <c r="Q13" s="15">
        <v>6.8000000000000005E-2</v>
      </c>
      <c r="R13" s="13">
        <v>0.75600000000000001</v>
      </c>
      <c r="S13" s="13">
        <v>0.80681943983172799</v>
      </c>
    </row>
    <row r="14" spans="1:19" x14ac:dyDescent="0.2">
      <c r="A14" s="7" t="s">
        <v>429</v>
      </c>
      <c r="B14" t="s">
        <v>15</v>
      </c>
      <c r="C14" s="73" t="s">
        <v>333</v>
      </c>
      <c r="E14" s="5" t="s">
        <v>17</v>
      </c>
      <c r="G14" s="5" t="s">
        <v>406</v>
      </c>
      <c r="L14" s="5">
        <v>21</v>
      </c>
      <c r="M14" s="5">
        <v>21</v>
      </c>
      <c r="P14" s="15">
        <v>0.79</v>
      </c>
      <c r="Q14" s="15">
        <v>6.8000000000000005E-2</v>
      </c>
      <c r="R14" s="13">
        <v>0.75600000000000001</v>
      </c>
      <c r="S14" s="17">
        <v>0.80681943983172799</v>
      </c>
    </row>
    <row r="15" spans="1:19" x14ac:dyDescent="0.2">
      <c r="A15" s="7" t="s">
        <v>454</v>
      </c>
      <c r="B15" t="s">
        <v>15</v>
      </c>
      <c r="C15" s="73" t="s">
        <v>72</v>
      </c>
      <c r="E15" s="5" t="s">
        <v>17</v>
      </c>
      <c r="F15" s="39" t="s">
        <v>25</v>
      </c>
      <c r="G15" s="5" t="s">
        <v>406</v>
      </c>
      <c r="L15" s="5">
        <v>46</v>
      </c>
      <c r="M15" s="5">
        <v>45</v>
      </c>
      <c r="P15" s="15">
        <v>0.09</v>
      </c>
      <c r="Q15" s="15">
        <v>0.33800000000000002</v>
      </c>
      <c r="R15" s="13">
        <v>0.59</v>
      </c>
      <c r="S15" s="17">
        <v>0.70386361120336505</v>
      </c>
    </row>
    <row r="16" spans="1:19" x14ac:dyDescent="0.2">
      <c r="A16" s="7" t="s">
        <v>459</v>
      </c>
      <c r="B16" t="s">
        <v>15</v>
      </c>
      <c r="C16" t="s">
        <v>50</v>
      </c>
      <c r="D16"/>
      <c r="E16" s="5" t="s">
        <v>17</v>
      </c>
      <c r="F16" s="39" t="s">
        <v>25</v>
      </c>
      <c r="G16" s="5" t="s">
        <v>406</v>
      </c>
      <c r="L16" s="5">
        <v>32</v>
      </c>
      <c r="M16" s="5">
        <v>7</v>
      </c>
      <c r="P16" s="13">
        <v>0.76700000000000002</v>
      </c>
      <c r="Q16" s="13">
        <v>0.214</v>
      </c>
      <c r="R16" s="13">
        <v>0.98399999999999999</v>
      </c>
      <c r="S16" s="17">
        <v>0.79264917524631895</v>
      </c>
    </row>
    <row r="17" spans="1:19" x14ac:dyDescent="0.2">
      <c r="A17" s="7" t="s">
        <v>468</v>
      </c>
      <c r="B17" t="s">
        <v>15</v>
      </c>
      <c r="C17" t="s">
        <v>469</v>
      </c>
      <c r="D17"/>
      <c r="E17" s="5" t="s">
        <v>17</v>
      </c>
      <c r="G17" s="5" t="s">
        <v>406</v>
      </c>
      <c r="L17" s="5">
        <v>40</v>
      </c>
      <c r="M17" s="5">
        <v>40</v>
      </c>
      <c r="P17" s="13">
        <v>0.86199999999999999</v>
      </c>
      <c r="Q17" s="13">
        <v>0.38300000000000001</v>
      </c>
      <c r="R17" s="13">
        <v>0.48799999999999999</v>
      </c>
      <c r="S17" s="17">
        <v>0.79962360234694996</v>
      </c>
    </row>
    <row r="18" spans="1:19" x14ac:dyDescent="0.2">
      <c r="A18" s="7" t="s">
        <v>476</v>
      </c>
      <c r="B18" t="s">
        <v>15</v>
      </c>
      <c r="C18" t="s">
        <v>477</v>
      </c>
      <c r="D18"/>
      <c r="E18" s="5" t="s">
        <v>17</v>
      </c>
      <c r="G18" s="5" t="s">
        <v>406</v>
      </c>
      <c r="L18" s="5">
        <v>12</v>
      </c>
      <c r="M18" s="5">
        <v>12</v>
      </c>
      <c r="P18" s="13">
        <v>0.16900000000000001</v>
      </c>
      <c r="Q18" s="13">
        <v>0.29699999999999999</v>
      </c>
      <c r="R18" s="13">
        <v>0.93700000000000006</v>
      </c>
      <c r="S18" s="17">
        <v>0.90623270231373798</v>
      </c>
    </row>
    <row r="19" spans="1:19" x14ac:dyDescent="0.2">
      <c r="A19" s="7" t="s">
        <v>305</v>
      </c>
      <c r="B19" t="s">
        <v>15</v>
      </c>
      <c r="C19" s="73" t="s">
        <v>306</v>
      </c>
      <c r="D19" s="73" t="s">
        <v>307</v>
      </c>
      <c r="E19" s="5" t="s">
        <v>17</v>
      </c>
      <c r="F19" s="39" t="s">
        <v>25</v>
      </c>
      <c r="G19" s="5" t="s">
        <v>406</v>
      </c>
      <c r="L19" s="5">
        <v>64</v>
      </c>
      <c r="M19" s="5">
        <v>63</v>
      </c>
      <c r="P19" s="15">
        <v>0.17</v>
      </c>
      <c r="Q19" s="15">
        <v>0.254</v>
      </c>
      <c r="R19" s="13">
        <v>0.86199999999999999</v>
      </c>
      <c r="S19" s="13">
        <v>0.84888741281966096</v>
      </c>
    </row>
    <row r="20" spans="1:19" x14ac:dyDescent="0.2">
      <c r="A20" s="7" t="s">
        <v>218</v>
      </c>
      <c r="B20" t="s">
        <v>15</v>
      </c>
      <c r="C20" s="73" t="s">
        <v>219</v>
      </c>
      <c r="E20" s="5" t="s">
        <v>17</v>
      </c>
      <c r="F20" s="39" t="s">
        <v>25</v>
      </c>
      <c r="G20" s="5" t="s">
        <v>406</v>
      </c>
      <c r="L20" s="5">
        <v>49</v>
      </c>
      <c r="M20" s="5">
        <v>48</v>
      </c>
      <c r="P20" s="15">
        <v>0.97</v>
      </c>
      <c r="Q20" s="15">
        <v>8.3000000000000004E-2</v>
      </c>
      <c r="R20" s="13">
        <v>0.99399999999999999</v>
      </c>
      <c r="S20" s="13">
        <v>0.86183992029226097</v>
      </c>
    </row>
    <row r="21" spans="1:19" x14ac:dyDescent="0.2">
      <c r="A21" s="7" t="s">
        <v>133</v>
      </c>
      <c r="B21" t="s">
        <v>15</v>
      </c>
      <c r="C21" s="73" t="s">
        <v>134</v>
      </c>
      <c r="E21" s="5" t="s">
        <v>17</v>
      </c>
      <c r="F21" s="39" t="s">
        <v>25</v>
      </c>
      <c r="G21" s="5" t="s">
        <v>406</v>
      </c>
      <c r="L21" s="5">
        <v>52</v>
      </c>
      <c r="M21" s="5">
        <v>51</v>
      </c>
      <c r="P21" s="15">
        <v>0.4</v>
      </c>
      <c r="Q21" s="15">
        <v>0.17899999999999999</v>
      </c>
      <c r="R21" s="13">
        <v>0.19600000000000001</v>
      </c>
      <c r="S21" s="13">
        <v>0.77261153548101402</v>
      </c>
    </row>
    <row r="22" spans="1:19" x14ac:dyDescent="0.2">
      <c r="A22" s="7" t="s">
        <v>253</v>
      </c>
      <c r="B22" t="s">
        <v>15</v>
      </c>
      <c r="C22" s="73" t="s">
        <v>118</v>
      </c>
      <c r="E22" s="5" t="s">
        <v>17</v>
      </c>
      <c r="F22" s="39" t="s">
        <v>25</v>
      </c>
      <c r="G22" s="5" t="s">
        <v>406</v>
      </c>
      <c r="L22" s="5">
        <v>20</v>
      </c>
      <c r="M22" s="5">
        <v>19</v>
      </c>
      <c r="P22" s="15">
        <v>0.8</v>
      </c>
      <c r="Q22" s="15">
        <v>8.2000000000000003E-2</v>
      </c>
      <c r="R22" s="13">
        <v>0.73799999999999999</v>
      </c>
      <c r="S22" s="13">
        <v>0.89649064541126899</v>
      </c>
    </row>
    <row r="23" spans="1:19" x14ac:dyDescent="0.2">
      <c r="A23" s="7" t="s">
        <v>244</v>
      </c>
      <c r="B23" t="s">
        <v>15</v>
      </c>
      <c r="C23" t="s">
        <v>16</v>
      </c>
      <c r="D23"/>
      <c r="E23" s="5" t="s">
        <v>17</v>
      </c>
      <c r="G23" s="5" t="s">
        <v>406</v>
      </c>
      <c r="L23" s="5">
        <v>293</v>
      </c>
      <c r="M23" s="5">
        <v>293</v>
      </c>
      <c r="P23" s="13">
        <v>0.47099999999999997</v>
      </c>
      <c r="Q23" s="13">
        <v>1.7000000000000001E-2</v>
      </c>
      <c r="R23" s="13">
        <v>1</v>
      </c>
      <c r="S23" s="13">
        <v>0.84147016495073601</v>
      </c>
    </row>
    <row r="24" spans="1:19" x14ac:dyDescent="0.2">
      <c r="A24" s="7" t="s">
        <v>285</v>
      </c>
      <c r="B24" t="s">
        <v>15</v>
      </c>
      <c r="C24" t="s">
        <v>16</v>
      </c>
      <c r="D24"/>
      <c r="E24" s="5" t="s">
        <v>17</v>
      </c>
      <c r="G24" s="5" t="s">
        <v>406</v>
      </c>
      <c r="L24" s="5">
        <v>112</v>
      </c>
      <c r="M24" s="5">
        <v>111</v>
      </c>
      <c r="P24" s="13">
        <v>0.47099999999999997</v>
      </c>
      <c r="Q24" s="13">
        <v>1.7000000000000001E-2</v>
      </c>
      <c r="R24" s="13">
        <v>1</v>
      </c>
      <c r="S24" s="13">
        <v>0.84147016495073601</v>
      </c>
    </row>
    <row r="25" spans="1:19" x14ac:dyDescent="0.2">
      <c r="A25" s="7" t="s">
        <v>14</v>
      </c>
      <c r="B25" t="s">
        <v>15</v>
      </c>
      <c r="C25" t="s">
        <v>16</v>
      </c>
      <c r="D25"/>
      <c r="E25" s="5" t="s">
        <v>17</v>
      </c>
      <c r="G25" s="5" t="s">
        <v>406</v>
      </c>
      <c r="L25" s="5">
        <v>76</v>
      </c>
      <c r="M25" s="5">
        <v>76</v>
      </c>
      <c r="P25" s="13">
        <v>0.47099999999999997</v>
      </c>
      <c r="Q25" s="13">
        <v>1.7000000000000001E-2</v>
      </c>
      <c r="R25" s="13">
        <v>1</v>
      </c>
      <c r="S25" s="13">
        <v>0.84147016495073601</v>
      </c>
    </row>
    <row r="26" spans="1:19" x14ac:dyDescent="0.2">
      <c r="A26" s="7" t="s">
        <v>207</v>
      </c>
      <c r="B26" t="s">
        <v>15</v>
      </c>
      <c r="C26" t="s">
        <v>16</v>
      </c>
      <c r="D26"/>
      <c r="E26" s="5" t="s">
        <v>17</v>
      </c>
      <c r="G26" s="5" t="s">
        <v>406</v>
      </c>
      <c r="L26" s="5">
        <v>36</v>
      </c>
      <c r="M26" s="5">
        <v>36</v>
      </c>
      <c r="P26" s="13">
        <v>0.47099999999999997</v>
      </c>
      <c r="Q26" s="13">
        <v>1.7000000000000001E-2</v>
      </c>
      <c r="R26" s="13">
        <v>1</v>
      </c>
      <c r="S26" s="13">
        <v>0.84147016495073601</v>
      </c>
    </row>
    <row r="27" spans="1:19" x14ac:dyDescent="0.2">
      <c r="A27" s="7" t="s">
        <v>209</v>
      </c>
      <c r="B27" t="s">
        <v>15</v>
      </c>
      <c r="C27" t="s">
        <v>210</v>
      </c>
      <c r="D27"/>
      <c r="E27" s="5" t="s">
        <v>17</v>
      </c>
      <c r="G27" s="5" t="s">
        <v>406</v>
      </c>
      <c r="L27" s="5">
        <v>20</v>
      </c>
      <c r="M27" s="5">
        <v>2</v>
      </c>
      <c r="P27" s="13">
        <v>0.42399999999999999</v>
      </c>
      <c r="Q27" s="13">
        <v>0.22700000000000001</v>
      </c>
      <c r="R27" s="13">
        <v>0.64500000000000002</v>
      </c>
      <c r="S27" s="13">
        <v>0.87346396545997995</v>
      </c>
    </row>
    <row r="28" spans="1:19" x14ac:dyDescent="0.2">
      <c r="A28" s="7" t="s">
        <v>320</v>
      </c>
      <c r="B28" t="s">
        <v>15</v>
      </c>
      <c r="C28" s="73" t="s">
        <v>118</v>
      </c>
      <c r="E28" s="5" t="s">
        <v>17</v>
      </c>
      <c r="F28" s="39" t="s">
        <v>25</v>
      </c>
      <c r="G28" s="5" t="s">
        <v>406</v>
      </c>
      <c r="L28" s="5">
        <v>63</v>
      </c>
      <c r="M28" s="5">
        <v>62</v>
      </c>
      <c r="P28" s="15">
        <v>0.8</v>
      </c>
      <c r="Q28" s="15">
        <v>8.2000000000000003E-2</v>
      </c>
      <c r="R28" s="13">
        <v>0.73799999999999999</v>
      </c>
      <c r="S28" s="13">
        <v>0.89649064541126899</v>
      </c>
    </row>
    <row r="29" spans="1:19" x14ac:dyDescent="0.2">
      <c r="A29" s="7" t="s">
        <v>239</v>
      </c>
      <c r="B29" t="s">
        <v>15</v>
      </c>
      <c r="C29" t="s">
        <v>28</v>
      </c>
      <c r="D29"/>
      <c r="E29" s="5" t="s">
        <v>17</v>
      </c>
      <c r="G29" s="5" t="s">
        <v>406</v>
      </c>
      <c r="L29" s="5">
        <v>44</v>
      </c>
      <c r="M29" s="5">
        <v>9</v>
      </c>
      <c r="P29" s="13">
        <v>0.76200000000000001</v>
      </c>
      <c r="Q29" s="13">
        <v>0.01</v>
      </c>
      <c r="R29" s="13">
        <v>0.95799999999999996</v>
      </c>
      <c r="S29" s="13">
        <v>0.82896047824642904</v>
      </c>
    </row>
    <row r="30" spans="1:19" x14ac:dyDescent="0.2">
      <c r="A30" s="7" t="s">
        <v>499</v>
      </c>
      <c r="B30" t="s">
        <v>15</v>
      </c>
      <c r="C30" t="s">
        <v>500</v>
      </c>
      <c r="D30"/>
      <c r="E30" s="5" t="s">
        <v>17</v>
      </c>
      <c r="G30" s="5" t="s">
        <v>406</v>
      </c>
      <c r="L30" s="5">
        <v>30</v>
      </c>
      <c r="M30" s="5">
        <v>2</v>
      </c>
      <c r="P30" s="13">
        <v>0.79100000000000004</v>
      </c>
      <c r="Q30" s="13">
        <v>0.35299999999999998</v>
      </c>
      <c r="R30" s="13">
        <v>0.60599999999999998</v>
      </c>
      <c r="S30" s="17">
        <v>0.73452894940772695</v>
      </c>
    </row>
    <row r="31" spans="1:19" x14ac:dyDescent="0.2">
      <c r="A31" s="7" t="s">
        <v>528</v>
      </c>
      <c r="B31" t="s">
        <v>15</v>
      </c>
      <c r="C31" s="73" t="s">
        <v>466</v>
      </c>
      <c r="E31" s="5" t="s">
        <v>17</v>
      </c>
      <c r="F31" s="39" t="s">
        <v>25</v>
      </c>
      <c r="G31" s="5" t="s">
        <v>406</v>
      </c>
      <c r="L31" s="5">
        <v>58</v>
      </c>
      <c r="M31" s="5">
        <v>58</v>
      </c>
      <c r="P31" s="15">
        <v>0.9</v>
      </c>
      <c r="Q31" s="15">
        <v>0.41199999999999998</v>
      </c>
      <c r="R31" s="13">
        <v>0.29399999999999998</v>
      </c>
      <c r="S31" s="17">
        <v>0.57267795859625803</v>
      </c>
    </row>
    <row r="32" spans="1:19" x14ac:dyDescent="0.2">
      <c r="A32" s="7" t="s">
        <v>539</v>
      </c>
      <c r="B32" t="s">
        <v>15</v>
      </c>
      <c r="C32" s="73" t="s">
        <v>387</v>
      </c>
      <c r="E32" s="5" t="s">
        <v>17</v>
      </c>
      <c r="F32" s="39" t="s">
        <v>25</v>
      </c>
      <c r="G32" s="5" t="s">
        <v>406</v>
      </c>
      <c r="L32" s="5">
        <v>392</v>
      </c>
      <c r="M32" s="5">
        <v>392</v>
      </c>
      <c r="P32" s="15">
        <v>0.95</v>
      </c>
      <c r="Q32" s="15">
        <v>5.6000000000000001E-2</v>
      </c>
      <c r="R32" s="13">
        <v>0.81299999999999994</v>
      </c>
      <c r="S32" s="17">
        <v>0.95217535702424405</v>
      </c>
    </row>
    <row r="33" spans="1:19" x14ac:dyDescent="0.2">
      <c r="A33" s="7" t="s">
        <v>543</v>
      </c>
      <c r="B33" t="s">
        <v>15</v>
      </c>
      <c r="C33" s="73" t="s">
        <v>387</v>
      </c>
      <c r="E33" s="5" t="s">
        <v>17</v>
      </c>
      <c r="F33" s="39" t="s">
        <v>25</v>
      </c>
      <c r="G33" s="5" t="s">
        <v>406</v>
      </c>
      <c r="L33" s="5">
        <v>176</v>
      </c>
      <c r="M33" s="5">
        <v>174</v>
      </c>
      <c r="P33" s="15">
        <v>0.95</v>
      </c>
      <c r="Q33" s="15">
        <v>5.6000000000000001E-2</v>
      </c>
      <c r="R33" s="13">
        <v>0.81299999999999994</v>
      </c>
      <c r="S33" s="17">
        <v>0.95217535702424405</v>
      </c>
    </row>
    <row r="34" spans="1:19" x14ac:dyDescent="0.2">
      <c r="A34" s="7" t="s">
        <v>545</v>
      </c>
      <c r="B34" t="s">
        <v>15</v>
      </c>
      <c r="C34" s="73" t="s">
        <v>546</v>
      </c>
      <c r="E34" s="5" t="s">
        <v>17</v>
      </c>
      <c r="F34" s="39" t="s">
        <v>25</v>
      </c>
      <c r="G34" s="5" t="s">
        <v>406</v>
      </c>
      <c r="L34" s="5">
        <v>112</v>
      </c>
      <c r="M34" s="5">
        <v>112</v>
      </c>
      <c r="P34" s="15">
        <v>0.57999999999999996</v>
      </c>
      <c r="Q34" s="15">
        <v>0.11700000000000001</v>
      </c>
      <c r="R34" s="13">
        <v>0.88900000000000001</v>
      </c>
      <c r="S34" s="17">
        <v>0.824642975755562</v>
      </c>
    </row>
    <row r="35" spans="1:19" x14ac:dyDescent="0.2">
      <c r="A35" s="7" t="s">
        <v>560</v>
      </c>
      <c r="B35" t="s">
        <v>15</v>
      </c>
      <c r="C35" t="s">
        <v>210</v>
      </c>
      <c r="D35"/>
      <c r="E35" s="5" t="s">
        <v>17</v>
      </c>
      <c r="G35" s="5" t="s">
        <v>406</v>
      </c>
      <c r="L35" s="5">
        <v>72</v>
      </c>
      <c r="M35" s="5">
        <v>71</v>
      </c>
      <c r="P35" s="13">
        <v>0.42399999999999999</v>
      </c>
      <c r="Q35" s="13">
        <v>0.22700000000000001</v>
      </c>
      <c r="R35" s="13">
        <v>0.64500000000000002</v>
      </c>
      <c r="S35" s="17">
        <v>0.87346396545997995</v>
      </c>
    </row>
    <row r="36" spans="1:19" x14ac:dyDescent="0.2">
      <c r="A36" s="7" t="s">
        <v>561</v>
      </c>
      <c r="B36" t="s">
        <v>15</v>
      </c>
      <c r="C36" t="s">
        <v>210</v>
      </c>
      <c r="D36"/>
      <c r="E36" s="5" t="s">
        <v>17</v>
      </c>
      <c r="G36" s="5" t="s">
        <v>406</v>
      </c>
      <c r="L36" s="5">
        <v>74</v>
      </c>
      <c r="M36" s="5">
        <v>73</v>
      </c>
      <c r="P36" s="13">
        <v>0.42399999999999999</v>
      </c>
      <c r="Q36" s="13">
        <v>0.22700000000000001</v>
      </c>
      <c r="R36" s="13">
        <v>0.64500000000000002</v>
      </c>
      <c r="S36" s="17">
        <v>0.87346396545997995</v>
      </c>
    </row>
    <row r="37" spans="1:19" x14ac:dyDescent="0.2">
      <c r="A37" s="7" t="s">
        <v>1434</v>
      </c>
      <c r="B37" t="s">
        <v>15</v>
      </c>
      <c r="C37" s="73" t="s">
        <v>28</v>
      </c>
      <c r="E37" s="5" t="s">
        <v>17</v>
      </c>
      <c r="F37" s="39" t="s">
        <v>25</v>
      </c>
      <c r="G37" s="5" t="s">
        <v>406</v>
      </c>
      <c r="L37" s="5">
        <v>127</v>
      </c>
      <c r="M37" s="5">
        <v>127</v>
      </c>
      <c r="P37" s="15">
        <v>0.76</v>
      </c>
      <c r="Q37" s="15">
        <v>0.01</v>
      </c>
      <c r="R37" s="13">
        <v>0.95799999999999996</v>
      </c>
      <c r="S37" s="17">
        <v>0.82896047824642904</v>
      </c>
    </row>
    <row r="38" spans="1:19" x14ac:dyDescent="0.2">
      <c r="A38" s="7" t="s">
        <v>632</v>
      </c>
      <c r="B38" t="s">
        <v>15</v>
      </c>
      <c r="C38" t="s">
        <v>118</v>
      </c>
      <c r="D38"/>
      <c r="E38" s="5" t="s">
        <v>17</v>
      </c>
      <c r="F38" s="39" t="s">
        <v>25</v>
      </c>
      <c r="G38" s="5" t="s">
        <v>406</v>
      </c>
      <c r="L38" s="5">
        <v>91</v>
      </c>
      <c r="M38" s="5">
        <v>90</v>
      </c>
      <c r="P38" s="13">
        <v>0.79700000000000004</v>
      </c>
      <c r="Q38" s="13">
        <v>8.2000000000000003E-2</v>
      </c>
      <c r="R38" s="13">
        <v>0.73799999999999999</v>
      </c>
      <c r="S38" s="17">
        <v>0.89649064541126899</v>
      </c>
    </row>
    <row r="39" spans="1:19" x14ac:dyDescent="0.2">
      <c r="A39" s="7" t="s">
        <v>658</v>
      </c>
      <c r="B39" t="s">
        <v>15</v>
      </c>
      <c r="C39" s="73" t="s">
        <v>546</v>
      </c>
      <c r="E39" s="5" t="s">
        <v>17</v>
      </c>
      <c r="F39" s="39" t="s">
        <v>25</v>
      </c>
      <c r="G39" s="5" t="s">
        <v>406</v>
      </c>
      <c r="L39" s="5">
        <v>37</v>
      </c>
      <c r="M39" s="5">
        <v>36</v>
      </c>
      <c r="P39" s="15">
        <v>0.57999999999999996</v>
      </c>
      <c r="Q39" s="15">
        <v>0.11700000000000001</v>
      </c>
      <c r="R39" s="13">
        <v>0.88900000000000001</v>
      </c>
      <c r="S39" s="17">
        <v>0.824642975755562</v>
      </c>
    </row>
    <row r="40" spans="1:19" x14ac:dyDescent="0.2">
      <c r="A40" s="7" t="s">
        <v>659</v>
      </c>
      <c r="B40" t="s">
        <v>15</v>
      </c>
      <c r="C40" s="73" t="s">
        <v>660</v>
      </c>
      <c r="E40" s="5" t="s">
        <v>17</v>
      </c>
      <c r="F40" s="39" t="s">
        <v>25</v>
      </c>
      <c r="G40" s="5" t="s">
        <v>406</v>
      </c>
      <c r="L40" s="5">
        <v>26</v>
      </c>
      <c r="M40" s="5">
        <v>25</v>
      </c>
      <c r="P40" s="15">
        <v>0.65</v>
      </c>
      <c r="Q40" s="15">
        <v>0.123</v>
      </c>
      <c r="R40" s="13">
        <v>0.81599999999999995</v>
      </c>
      <c r="S40" s="17">
        <v>0.95195394664009703</v>
      </c>
    </row>
    <row r="41" spans="1:19" x14ac:dyDescent="0.2">
      <c r="A41" s="7" t="s">
        <v>677</v>
      </c>
      <c r="B41" t="s">
        <v>15</v>
      </c>
      <c r="C41" s="7">
        <v>87404</v>
      </c>
      <c r="D41" t="s">
        <v>678</v>
      </c>
      <c r="E41" s="5" t="s">
        <v>17</v>
      </c>
      <c r="G41" s="5" t="s">
        <v>406</v>
      </c>
      <c r="L41" s="5">
        <v>16</v>
      </c>
      <c r="M41" s="5">
        <v>16</v>
      </c>
      <c r="P41" s="17">
        <v>0.79200000000000004</v>
      </c>
      <c r="Q41" s="17">
        <v>6.8000000000000005E-2</v>
      </c>
      <c r="R41" s="17">
        <v>0.75600000000000001</v>
      </c>
      <c r="S41" s="17">
        <v>0.80681943983172799</v>
      </c>
    </row>
    <row r="42" spans="1:19" x14ac:dyDescent="0.2">
      <c r="A42" s="7" t="s">
        <v>681</v>
      </c>
      <c r="B42" t="s">
        <v>15</v>
      </c>
      <c r="C42" s="73" t="s">
        <v>471</v>
      </c>
      <c r="E42" s="5" t="s">
        <v>17</v>
      </c>
      <c r="F42" s="39" t="s">
        <v>25</v>
      </c>
      <c r="G42" s="5" t="s">
        <v>406</v>
      </c>
      <c r="L42" s="5">
        <v>16</v>
      </c>
      <c r="M42" s="5">
        <v>16</v>
      </c>
      <c r="P42" s="15">
        <v>0.94</v>
      </c>
      <c r="Q42" s="15">
        <v>4.8000000000000001E-2</v>
      </c>
      <c r="R42" s="13">
        <v>0.98899999999999999</v>
      </c>
      <c r="S42" s="17">
        <v>0.88874128196612401</v>
      </c>
    </row>
    <row r="43" spans="1:19" x14ac:dyDescent="0.2">
      <c r="A43" s="7" t="s">
        <v>690</v>
      </c>
      <c r="B43" t="s">
        <v>15</v>
      </c>
      <c r="C43" t="s">
        <v>134</v>
      </c>
      <c r="D43"/>
      <c r="E43" s="5" t="s">
        <v>17</v>
      </c>
      <c r="F43" t="s">
        <v>691</v>
      </c>
      <c r="G43" s="5" t="s">
        <v>406</v>
      </c>
      <c r="L43" s="5">
        <v>276</v>
      </c>
      <c r="M43" s="5">
        <v>276</v>
      </c>
      <c r="P43" s="13">
        <v>0.40300000000000002</v>
      </c>
      <c r="Q43" s="13">
        <v>0.17899999999999999</v>
      </c>
      <c r="R43" s="13">
        <v>0.19600000000000001</v>
      </c>
      <c r="S43" s="17">
        <v>0.77261153548101402</v>
      </c>
    </row>
    <row r="44" spans="1:19" x14ac:dyDescent="0.2">
      <c r="A44" s="7" t="s">
        <v>740</v>
      </c>
      <c r="B44" t="s">
        <v>15</v>
      </c>
      <c r="C44" s="73" t="s">
        <v>134</v>
      </c>
      <c r="E44" s="5" t="s">
        <v>17</v>
      </c>
      <c r="F44" s="39" t="s">
        <v>25</v>
      </c>
      <c r="G44" s="5" t="s">
        <v>406</v>
      </c>
      <c r="L44" s="5">
        <v>60</v>
      </c>
      <c r="M44" s="5">
        <v>59</v>
      </c>
      <c r="P44" s="15">
        <v>0.4</v>
      </c>
      <c r="Q44" s="15">
        <v>0.17899999999999999</v>
      </c>
      <c r="R44" s="13">
        <v>0.19600000000000001</v>
      </c>
      <c r="S44" s="17">
        <v>0.77261153548101402</v>
      </c>
    </row>
    <row r="45" spans="1:19" x14ac:dyDescent="0.2">
      <c r="A45" s="7" t="s">
        <v>745</v>
      </c>
      <c r="B45" t="s">
        <v>15</v>
      </c>
      <c r="C45" t="s">
        <v>333</v>
      </c>
      <c r="D45"/>
      <c r="E45" s="5" t="s">
        <v>17</v>
      </c>
      <c r="G45" s="5" t="s">
        <v>406</v>
      </c>
      <c r="L45" s="5">
        <v>92</v>
      </c>
      <c r="M45" s="5">
        <v>91</v>
      </c>
      <c r="P45" s="13">
        <v>0.79200000000000004</v>
      </c>
      <c r="Q45" s="13">
        <v>6.8000000000000005E-2</v>
      </c>
      <c r="R45" s="13">
        <v>0.75600000000000001</v>
      </c>
      <c r="S45" s="17">
        <v>0.80681943983172799</v>
      </c>
    </row>
    <row r="46" spans="1:19" x14ac:dyDescent="0.2">
      <c r="A46" s="7" t="s">
        <v>760</v>
      </c>
      <c r="B46" t="s">
        <v>15</v>
      </c>
      <c r="C46" t="s">
        <v>28</v>
      </c>
      <c r="D46"/>
      <c r="E46" s="5" t="s">
        <v>17</v>
      </c>
      <c r="G46" s="5" t="s">
        <v>406</v>
      </c>
      <c r="L46" s="5">
        <v>65</v>
      </c>
      <c r="M46" s="5">
        <v>64</v>
      </c>
      <c r="P46" s="13">
        <v>0.76200000000000001</v>
      </c>
      <c r="Q46" s="13">
        <v>0.01</v>
      </c>
      <c r="R46" s="13">
        <v>0.95799999999999996</v>
      </c>
      <c r="S46" s="17">
        <v>0.82896047824642904</v>
      </c>
    </row>
    <row r="47" spans="1:19" x14ac:dyDescent="0.2">
      <c r="A47" s="7" t="s">
        <v>460</v>
      </c>
      <c r="B47" t="s">
        <v>15</v>
      </c>
      <c r="C47" s="73" t="s">
        <v>50</v>
      </c>
      <c r="E47" s="5" t="s">
        <v>17</v>
      </c>
      <c r="F47" s="39" t="s">
        <v>25</v>
      </c>
      <c r="G47" s="5" t="s">
        <v>406</v>
      </c>
      <c r="L47" s="78">
        <v>33</v>
      </c>
      <c r="M47" s="67"/>
      <c r="P47" s="15">
        <v>0.77</v>
      </c>
      <c r="Q47" s="15">
        <v>0.214</v>
      </c>
      <c r="R47" s="13">
        <v>0.98399999999999999</v>
      </c>
      <c r="S47" s="17">
        <v>0.79264917524631895</v>
      </c>
    </row>
    <row r="48" spans="1:19" x14ac:dyDescent="0.2">
      <c r="A48" s="7" t="s">
        <v>467</v>
      </c>
      <c r="B48" t="s">
        <v>15</v>
      </c>
      <c r="C48" s="73" t="s">
        <v>76</v>
      </c>
      <c r="E48" s="5" t="s">
        <v>17</v>
      </c>
      <c r="F48" s="39" t="s">
        <v>25</v>
      </c>
      <c r="G48" s="5" t="s">
        <v>406</v>
      </c>
      <c r="L48" s="67">
        <v>9</v>
      </c>
      <c r="M48" s="67"/>
      <c r="P48" s="15">
        <v>0.64</v>
      </c>
      <c r="Q48" s="15">
        <v>0.41699999999999998</v>
      </c>
      <c r="R48" s="13">
        <v>0.35699999999999998</v>
      </c>
      <c r="S48" s="17">
        <v>0.75611646186206105</v>
      </c>
    </row>
    <row r="49" spans="1:19" x14ac:dyDescent="0.2">
      <c r="A49" s="7" t="s">
        <v>101</v>
      </c>
      <c r="B49" t="s">
        <v>15</v>
      </c>
      <c r="C49" s="73" t="s">
        <v>100</v>
      </c>
      <c r="E49" s="5" t="s">
        <v>17</v>
      </c>
      <c r="F49" s="39" t="s">
        <v>25</v>
      </c>
      <c r="G49" s="5" t="s">
        <v>406</v>
      </c>
      <c r="L49" s="67">
        <v>50</v>
      </c>
      <c r="M49" s="67"/>
      <c r="P49" s="15">
        <v>0.53</v>
      </c>
      <c r="Q49" s="15">
        <v>0.19900000000000001</v>
      </c>
      <c r="R49" s="13">
        <v>0.89</v>
      </c>
      <c r="S49" s="13">
        <v>0.92073508247536795</v>
      </c>
    </row>
    <row r="50" spans="1:19" x14ac:dyDescent="0.2">
      <c r="A50" s="7" t="s">
        <v>71</v>
      </c>
      <c r="B50" t="s">
        <v>15</v>
      </c>
      <c r="C50" s="73" t="s">
        <v>72</v>
      </c>
      <c r="E50" s="5" t="s">
        <v>17</v>
      </c>
      <c r="F50" s="39" t="s">
        <v>25</v>
      </c>
      <c r="G50" s="5" t="s">
        <v>406</v>
      </c>
      <c r="L50" s="67">
        <v>53</v>
      </c>
      <c r="M50" s="67"/>
      <c r="P50" s="15">
        <v>0.09</v>
      </c>
      <c r="Q50" s="15">
        <v>0.33800000000000002</v>
      </c>
      <c r="R50" s="13">
        <v>0.59</v>
      </c>
      <c r="S50" s="13">
        <v>0.70386361120336505</v>
      </c>
    </row>
    <row r="51" spans="1:19" x14ac:dyDescent="0.2">
      <c r="A51" s="7" t="s">
        <v>227</v>
      </c>
      <c r="B51" t="s">
        <v>15</v>
      </c>
      <c r="C51" s="73" t="s">
        <v>228</v>
      </c>
      <c r="E51" s="5" t="s">
        <v>17</v>
      </c>
      <c r="F51" s="39" t="s">
        <v>25</v>
      </c>
      <c r="G51" s="5" t="s">
        <v>406</v>
      </c>
      <c r="L51" s="68"/>
      <c r="M51" s="67"/>
      <c r="P51" s="15">
        <v>0.45</v>
      </c>
      <c r="Q51" s="15">
        <v>0.254</v>
      </c>
      <c r="R51" s="13">
        <v>0.91300000000000003</v>
      </c>
      <c r="S51" s="13">
        <v>0.88508801062769804</v>
      </c>
    </row>
    <row r="52" spans="1:19" x14ac:dyDescent="0.2">
      <c r="A52" s="7" t="s">
        <v>265</v>
      </c>
      <c r="B52" t="s">
        <v>15</v>
      </c>
      <c r="C52" s="73" t="s">
        <v>16</v>
      </c>
      <c r="E52" s="5" t="s">
        <v>17</v>
      </c>
      <c r="F52" s="39" t="s">
        <v>25</v>
      </c>
      <c r="G52" s="5" t="s">
        <v>406</v>
      </c>
      <c r="L52" s="67">
        <v>192</v>
      </c>
      <c r="M52" s="67"/>
      <c r="P52" s="15">
        <v>0.47</v>
      </c>
      <c r="Q52" s="15">
        <v>1.7000000000000001E-2</v>
      </c>
      <c r="R52" s="13">
        <v>1</v>
      </c>
      <c r="S52" s="13">
        <v>0.84147016495073601</v>
      </c>
    </row>
    <row r="53" spans="1:19" x14ac:dyDescent="0.2">
      <c r="A53" s="7" t="s">
        <v>266</v>
      </c>
      <c r="B53" t="s">
        <v>15</v>
      </c>
      <c r="C53" s="73" t="s">
        <v>16</v>
      </c>
      <c r="E53" s="5" t="s">
        <v>17</v>
      </c>
      <c r="F53" s="39" t="s">
        <v>25</v>
      </c>
      <c r="G53" s="5" t="s">
        <v>406</v>
      </c>
      <c r="L53" s="67">
        <v>99</v>
      </c>
      <c r="M53" s="67"/>
      <c r="P53" s="15">
        <v>0.47</v>
      </c>
      <c r="Q53" s="15">
        <v>1.7000000000000001E-2</v>
      </c>
      <c r="R53" s="13">
        <v>1</v>
      </c>
      <c r="S53" s="13">
        <v>0.84147016495073601</v>
      </c>
    </row>
    <row r="54" spans="1:19" x14ac:dyDescent="0.2">
      <c r="A54" s="7" t="s">
        <v>326</v>
      </c>
      <c r="B54" t="s">
        <v>15</v>
      </c>
      <c r="C54" s="73" t="s">
        <v>16</v>
      </c>
      <c r="E54" s="5" t="s">
        <v>17</v>
      </c>
      <c r="F54" s="39" t="s">
        <v>25</v>
      </c>
      <c r="G54" s="5" t="s">
        <v>406</v>
      </c>
      <c r="L54" s="67">
        <v>76</v>
      </c>
      <c r="M54" s="67"/>
      <c r="P54" s="15">
        <v>0.47</v>
      </c>
      <c r="Q54" s="15">
        <v>1.7000000000000001E-2</v>
      </c>
      <c r="R54" s="13">
        <v>1</v>
      </c>
      <c r="S54" s="13">
        <v>0.84147016495073601</v>
      </c>
    </row>
    <row r="55" spans="1:19" x14ac:dyDescent="0.2">
      <c r="A55" s="7" t="s">
        <v>340</v>
      </c>
      <c r="B55" t="s">
        <v>15</v>
      </c>
      <c r="C55" s="73" t="s">
        <v>16</v>
      </c>
      <c r="E55" s="5" t="s">
        <v>17</v>
      </c>
      <c r="F55" s="39" t="s">
        <v>25</v>
      </c>
      <c r="G55" s="5" t="s">
        <v>406</v>
      </c>
      <c r="L55" s="67">
        <v>36</v>
      </c>
      <c r="M55" s="67"/>
      <c r="P55" s="15">
        <v>0.47</v>
      </c>
      <c r="Q55" s="15">
        <v>1.7000000000000001E-2</v>
      </c>
      <c r="R55" s="13">
        <v>1</v>
      </c>
      <c r="S55" s="13">
        <v>0.84147016495073601</v>
      </c>
    </row>
    <row r="56" spans="1:19" x14ac:dyDescent="0.2">
      <c r="A56" s="7" t="s">
        <v>358</v>
      </c>
      <c r="B56" t="s">
        <v>15</v>
      </c>
      <c r="C56" s="73" t="s">
        <v>210</v>
      </c>
      <c r="E56" s="5" t="s">
        <v>17</v>
      </c>
      <c r="F56" s="39" t="s">
        <v>25</v>
      </c>
      <c r="G56" s="5" t="s">
        <v>406</v>
      </c>
      <c r="L56" s="67">
        <v>71</v>
      </c>
      <c r="M56" s="67"/>
      <c r="P56" s="15">
        <v>0.42</v>
      </c>
      <c r="Q56" s="15">
        <v>0.22700000000000001</v>
      </c>
      <c r="R56" s="13">
        <v>0.64500000000000002</v>
      </c>
      <c r="S56" s="13">
        <v>0.87346396545997995</v>
      </c>
    </row>
    <row r="57" spans="1:19" x14ac:dyDescent="0.2">
      <c r="A57" s="7" t="s">
        <v>215</v>
      </c>
      <c r="B57" t="s">
        <v>15</v>
      </c>
      <c r="C57" s="73" t="s">
        <v>210</v>
      </c>
      <c r="E57" s="5" t="s">
        <v>17</v>
      </c>
      <c r="F57" s="39" t="s">
        <v>25</v>
      </c>
      <c r="G57" s="5" t="s">
        <v>406</v>
      </c>
      <c r="L57" s="67">
        <v>73</v>
      </c>
      <c r="M57" s="67"/>
      <c r="P57" s="15">
        <v>0.42</v>
      </c>
      <c r="Q57" s="15">
        <v>0.22700000000000001</v>
      </c>
      <c r="R57" s="13">
        <v>0.64500000000000002</v>
      </c>
      <c r="S57" s="13">
        <v>0.87346396545997995</v>
      </c>
    </row>
    <row r="58" spans="1:19" x14ac:dyDescent="0.2">
      <c r="A58" s="7" t="s">
        <v>318</v>
      </c>
      <c r="B58" t="s">
        <v>15</v>
      </c>
      <c r="C58" s="73" t="s">
        <v>228</v>
      </c>
      <c r="E58" s="5" t="s">
        <v>17</v>
      </c>
      <c r="F58" s="39" t="s">
        <v>25</v>
      </c>
      <c r="G58" s="5" t="s">
        <v>406</v>
      </c>
      <c r="L58" s="67">
        <v>101</v>
      </c>
      <c r="M58" s="67"/>
      <c r="P58" s="15">
        <v>0.45</v>
      </c>
      <c r="Q58" s="15">
        <v>0.254</v>
      </c>
      <c r="R58" s="13">
        <v>0.91300000000000003</v>
      </c>
      <c r="S58" s="13">
        <v>0.88508801062769804</v>
      </c>
    </row>
    <row r="59" spans="1:19" x14ac:dyDescent="0.2">
      <c r="A59" s="7" t="s">
        <v>651</v>
      </c>
      <c r="B59" t="s">
        <v>15</v>
      </c>
      <c r="C59" s="73" t="s">
        <v>333</v>
      </c>
      <c r="E59" s="5" t="s">
        <v>17</v>
      </c>
      <c r="F59" s="39" t="s">
        <v>25</v>
      </c>
      <c r="G59" s="5" t="s">
        <v>406</v>
      </c>
      <c r="L59" s="67">
        <v>91</v>
      </c>
      <c r="M59" s="67"/>
      <c r="P59" s="15">
        <v>0.79</v>
      </c>
      <c r="Q59" s="15">
        <v>6.8000000000000005E-2</v>
      </c>
      <c r="R59" s="13">
        <v>0.75600000000000001</v>
      </c>
      <c r="S59" s="17">
        <v>0.80681943983172799</v>
      </c>
    </row>
    <row r="60" spans="1:19" x14ac:dyDescent="0.2">
      <c r="A60" s="7" t="s">
        <v>765</v>
      </c>
      <c r="B60" t="s">
        <v>15</v>
      </c>
      <c r="C60" s="76" t="s">
        <v>766</v>
      </c>
      <c r="D60" s="76"/>
      <c r="E60" s="5" t="s">
        <v>17</v>
      </c>
      <c r="F60" s="39" t="s">
        <v>25</v>
      </c>
      <c r="G60" s="5" t="s">
        <v>406</v>
      </c>
      <c r="L60" s="67">
        <v>11</v>
      </c>
      <c r="M60" s="67"/>
      <c r="P60" s="15">
        <v>0.27</v>
      </c>
      <c r="Q60" s="15">
        <v>0.34699999999999998</v>
      </c>
      <c r="R60" s="13">
        <v>0.84399999999999997</v>
      </c>
      <c r="S60" s="17">
        <v>0.967452673530388</v>
      </c>
    </row>
    <row r="61" spans="1:19" x14ac:dyDescent="0.2">
      <c r="A61" s="7" t="s">
        <v>291</v>
      </c>
      <c r="B61" t="s">
        <v>15</v>
      </c>
      <c r="C61" t="s">
        <v>292</v>
      </c>
      <c r="D61"/>
      <c r="E61" s="5" t="s">
        <v>17</v>
      </c>
      <c r="J61" s="5" t="s">
        <v>26</v>
      </c>
      <c r="L61" s="5">
        <v>11</v>
      </c>
      <c r="M61" s="5">
        <v>4</v>
      </c>
      <c r="P61" s="13">
        <v>0.44700000000000001</v>
      </c>
      <c r="Q61" s="13">
        <v>0.183</v>
      </c>
      <c r="R61" s="13">
        <v>0.78500000000000003</v>
      </c>
      <c r="S61" s="13">
        <v>0.75412376840473805</v>
      </c>
    </row>
    <row r="62" spans="1:19" x14ac:dyDescent="0.2">
      <c r="A62" s="7" t="s">
        <v>374</v>
      </c>
      <c r="B62" t="s">
        <v>15</v>
      </c>
      <c r="C62" t="s">
        <v>59</v>
      </c>
      <c r="D62"/>
      <c r="E62" s="5" t="s">
        <v>17</v>
      </c>
      <c r="J62" s="5" t="s">
        <v>26</v>
      </c>
      <c r="L62" s="5">
        <v>9</v>
      </c>
      <c r="M62" s="5">
        <v>3</v>
      </c>
      <c r="P62" s="13">
        <v>0.438</v>
      </c>
      <c r="Q62" s="13">
        <v>0.44800000000000001</v>
      </c>
      <c r="R62" s="13">
        <v>0.57799999999999996</v>
      </c>
      <c r="S62" s="17">
        <v>0.93169489649064496</v>
      </c>
    </row>
    <row r="63" spans="1:19" x14ac:dyDescent="0.2">
      <c r="A63" s="7" t="s">
        <v>376</v>
      </c>
      <c r="B63" t="s">
        <v>15</v>
      </c>
      <c r="C63" t="s">
        <v>210</v>
      </c>
      <c r="D63"/>
      <c r="E63" s="5" t="s">
        <v>17</v>
      </c>
      <c r="J63" s="5" t="s">
        <v>26</v>
      </c>
      <c r="L63" s="5">
        <v>4</v>
      </c>
      <c r="M63" s="5">
        <v>1</v>
      </c>
      <c r="P63" s="13">
        <v>0.42399999999999999</v>
      </c>
      <c r="Q63" s="13">
        <v>0.22700000000000001</v>
      </c>
      <c r="R63" s="13">
        <v>0.64500000000000002</v>
      </c>
      <c r="S63" s="17">
        <v>0.87346396545997995</v>
      </c>
    </row>
    <row r="64" spans="1:19" x14ac:dyDescent="0.2">
      <c r="A64" s="7" t="s">
        <v>379</v>
      </c>
      <c r="B64" t="s">
        <v>15</v>
      </c>
      <c r="C64" t="s">
        <v>100</v>
      </c>
      <c r="D64"/>
      <c r="E64" s="5" t="s">
        <v>17</v>
      </c>
      <c r="J64" s="5" t="s">
        <v>26</v>
      </c>
      <c r="L64" s="5">
        <v>6</v>
      </c>
      <c r="M64" s="5">
        <v>2</v>
      </c>
      <c r="P64" s="13">
        <v>0.53</v>
      </c>
      <c r="Q64" s="13">
        <v>0.19900000000000001</v>
      </c>
      <c r="R64" s="13">
        <v>0.89</v>
      </c>
      <c r="S64" s="17">
        <v>0.92073508247536795</v>
      </c>
    </row>
    <row r="65" spans="1:19" x14ac:dyDescent="0.2">
      <c r="A65" s="7" t="s">
        <v>392</v>
      </c>
      <c r="B65" t="s">
        <v>15</v>
      </c>
      <c r="C65" t="s">
        <v>393</v>
      </c>
      <c r="D65"/>
      <c r="E65" s="5" t="s">
        <v>17</v>
      </c>
      <c r="J65" s="5" t="s">
        <v>26</v>
      </c>
      <c r="L65" s="5">
        <v>123</v>
      </c>
      <c r="M65" s="5">
        <v>31</v>
      </c>
      <c r="P65" s="13">
        <v>0.79300000000000004</v>
      </c>
      <c r="Q65" s="13">
        <v>2.1999999999999999E-2</v>
      </c>
      <c r="R65" s="13">
        <v>0.46200000000000002</v>
      </c>
      <c r="S65" s="17">
        <v>0.92627034207904302</v>
      </c>
    </row>
    <row r="66" spans="1:19" x14ac:dyDescent="0.2">
      <c r="A66" s="7" t="s">
        <v>409</v>
      </c>
      <c r="B66" t="s">
        <v>15</v>
      </c>
      <c r="C66" t="s">
        <v>134</v>
      </c>
      <c r="D66"/>
      <c r="E66" s="5" t="s">
        <v>17</v>
      </c>
      <c r="J66" s="5" t="s">
        <v>26</v>
      </c>
      <c r="L66" s="5">
        <v>75</v>
      </c>
      <c r="M66" s="5">
        <v>75</v>
      </c>
      <c r="P66" s="13">
        <v>0.40300000000000002</v>
      </c>
      <c r="Q66" s="13">
        <v>0.17899999999999999</v>
      </c>
      <c r="R66" s="13">
        <v>0.19600000000000001</v>
      </c>
      <c r="S66" s="17">
        <v>0.77261153548101402</v>
      </c>
    </row>
    <row r="67" spans="1:19" x14ac:dyDescent="0.2">
      <c r="A67" s="7" t="s">
        <v>312</v>
      </c>
      <c r="B67" t="s">
        <v>15</v>
      </c>
      <c r="C67" t="s">
        <v>313</v>
      </c>
      <c r="D67"/>
      <c r="E67" s="5" t="s">
        <v>17</v>
      </c>
      <c r="J67" s="5" t="s">
        <v>26</v>
      </c>
      <c r="L67" s="5">
        <v>8</v>
      </c>
      <c r="M67" s="5">
        <v>2</v>
      </c>
      <c r="P67" s="13">
        <v>0.52500000000000002</v>
      </c>
      <c r="Q67" s="13">
        <v>0.26</v>
      </c>
      <c r="R67" s="13">
        <v>0.92500000000000004</v>
      </c>
      <c r="S67" s="13">
        <v>0.86969998892947997</v>
      </c>
    </row>
    <row r="68" spans="1:19" x14ac:dyDescent="0.2">
      <c r="A68" s="7" t="s">
        <v>436</v>
      </c>
      <c r="B68" t="s">
        <v>15</v>
      </c>
      <c r="C68" t="s">
        <v>437</v>
      </c>
      <c r="D68"/>
      <c r="E68" s="5" t="s">
        <v>17</v>
      </c>
      <c r="F68" s="39" t="s">
        <v>25</v>
      </c>
      <c r="J68" s="5" t="s">
        <v>26</v>
      </c>
      <c r="L68" s="5">
        <v>179</v>
      </c>
      <c r="M68" s="5">
        <v>178</v>
      </c>
      <c r="P68" s="13">
        <v>0.308</v>
      </c>
      <c r="Q68" s="13">
        <v>0.54600000000000004</v>
      </c>
      <c r="R68" s="13">
        <v>0.26200000000000001</v>
      </c>
      <c r="S68" s="17">
        <v>0.86383261374958498</v>
      </c>
    </row>
    <row r="69" spans="1:19" x14ac:dyDescent="0.2">
      <c r="A69" s="7" t="s">
        <v>117</v>
      </c>
      <c r="B69" t="s">
        <v>15</v>
      </c>
      <c r="C69" t="s">
        <v>118</v>
      </c>
      <c r="D69"/>
      <c r="E69" s="5" t="s">
        <v>17</v>
      </c>
      <c r="J69" s="5" t="s">
        <v>26</v>
      </c>
      <c r="L69" s="5">
        <v>17</v>
      </c>
      <c r="M69" s="5">
        <v>6</v>
      </c>
      <c r="P69" s="13">
        <v>0.79700000000000004</v>
      </c>
      <c r="Q69" s="13">
        <v>8.2000000000000003E-2</v>
      </c>
      <c r="R69" s="13">
        <v>0.73799999999999999</v>
      </c>
      <c r="S69" s="13">
        <v>0.89649064541126899</v>
      </c>
    </row>
    <row r="70" spans="1:19" x14ac:dyDescent="0.2">
      <c r="A70" s="7" t="s">
        <v>129</v>
      </c>
      <c r="B70" t="s">
        <v>15</v>
      </c>
      <c r="C70" t="s">
        <v>130</v>
      </c>
      <c r="D70"/>
      <c r="E70" s="5" t="s">
        <v>17</v>
      </c>
      <c r="J70" s="5" t="s">
        <v>26</v>
      </c>
      <c r="L70" s="5">
        <v>259</v>
      </c>
      <c r="M70" s="5">
        <v>130</v>
      </c>
      <c r="P70" s="13">
        <v>0.52900000000000003</v>
      </c>
      <c r="Q70" s="13">
        <v>0.625</v>
      </c>
      <c r="R70" s="13">
        <v>0.106</v>
      </c>
      <c r="S70" s="13">
        <v>0.30266799512897102</v>
      </c>
    </row>
    <row r="71" spans="1:19" x14ac:dyDescent="0.2">
      <c r="A71" s="7" t="s">
        <v>284</v>
      </c>
      <c r="B71" t="s">
        <v>15</v>
      </c>
      <c r="C71" t="s">
        <v>50</v>
      </c>
      <c r="D71"/>
      <c r="E71" s="5" t="s">
        <v>17</v>
      </c>
      <c r="J71" s="5" t="s">
        <v>26</v>
      </c>
      <c r="L71" s="5">
        <v>24</v>
      </c>
      <c r="M71" s="5">
        <v>8</v>
      </c>
      <c r="P71" s="13">
        <v>0.76700000000000002</v>
      </c>
      <c r="Q71" s="13">
        <v>0.214</v>
      </c>
      <c r="R71" s="13">
        <v>0.98399999999999999</v>
      </c>
      <c r="S71" s="13">
        <v>0.79264917524631895</v>
      </c>
    </row>
    <row r="72" spans="1:19" x14ac:dyDescent="0.2">
      <c r="A72" s="7" t="s">
        <v>352</v>
      </c>
      <c r="B72" t="s">
        <v>15</v>
      </c>
      <c r="C72" t="s">
        <v>100</v>
      </c>
      <c r="D72"/>
      <c r="E72" s="5" t="s">
        <v>17</v>
      </c>
      <c r="J72" s="5" t="s">
        <v>26</v>
      </c>
      <c r="L72" s="5">
        <v>196</v>
      </c>
      <c r="M72" s="5">
        <v>49</v>
      </c>
      <c r="P72" s="13">
        <v>0.53</v>
      </c>
      <c r="Q72" s="13">
        <v>0.19900000000000001</v>
      </c>
      <c r="R72" s="13">
        <v>0.89</v>
      </c>
      <c r="S72" s="13">
        <v>0.92073508247536795</v>
      </c>
    </row>
    <row r="73" spans="1:19" x14ac:dyDescent="0.2">
      <c r="A73" s="7" t="s">
        <v>337</v>
      </c>
      <c r="B73" t="s">
        <v>15</v>
      </c>
      <c r="C73" t="s">
        <v>292</v>
      </c>
      <c r="D73"/>
      <c r="E73" s="5" t="s">
        <v>17</v>
      </c>
      <c r="J73" s="5" t="s">
        <v>26</v>
      </c>
      <c r="L73" s="5">
        <v>81</v>
      </c>
      <c r="M73" s="5">
        <v>80</v>
      </c>
      <c r="P73" s="13">
        <v>0.44700000000000001</v>
      </c>
      <c r="Q73" s="13">
        <v>0.183</v>
      </c>
      <c r="R73" s="13">
        <v>0.78500000000000003</v>
      </c>
      <c r="S73" s="13">
        <v>0.75412376840473805</v>
      </c>
    </row>
    <row r="74" spans="1:19" x14ac:dyDescent="0.2">
      <c r="A74" s="7" t="s">
        <v>49</v>
      </c>
      <c r="B74" t="s">
        <v>15</v>
      </c>
      <c r="C74" s="73" t="s">
        <v>50</v>
      </c>
      <c r="E74" s="5" t="s">
        <v>17</v>
      </c>
      <c r="F74" s="39" t="s">
        <v>25</v>
      </c>
      <c r="J74" s="5" t="s">
        <v>26</v>
      </c>
      <c r="L74" s="5">
        <v>40</v>
      </c>
      <c r="M74" s="5">
        <v>10</v>
      </c>
      <c r="P74" s="15">
        <v>0.77</v>
      </c>
      <c r="Q74" s="15">
        <v>0.214</v>
      </c>
      <c r="R74" s="13">
        <v>0.98399999999999999</v>
      </c>
      <c r="S74" s="13">
        <v>0.79264917524631895</v>
      </c>
    </row>
    <row r="75" spans="1:19" x14ac:dyDescent="0.2">
      <c r="A75" s="7" t="s">
        <v>27</v>
      </c>
      <c r="B75" t="s">
        <v>15</v>
      </c>
      <c r="C75" t="s">
        <v>28</v>
      </c>
      <c r="D75"/>
      <c r="E75" s="5" t="s">
        <v>17</v>
      </c>
      <c r="J75" s="5" t="s">
        <v>26</v>
      </c>
      <c r="L75" s="5">
        <v>179</v>
      </c>
      <c r="M75" s="5">
        <v>125</v>
      </c>
      <c r="P75" s="13">
        <v>0.76200000000000001</v>
      </c>
      <c r="Q75" s="13">
        <v>0.01</v>
      </c>
      <c r="R75" s="13">
        <v>0.95799999999999996</v>
      </c>
      <c r="S75" s="13">
        <v>0.82896047824642904</v>
      </c>
    </row>
    <row r="76" spans="1:19" x14ac:dyDescent="0.2">
      <c r="A76" s="7" t="s">
        <v>276</v>
      </c>
      <c r="B76" t="s">
        <v>15</v>
      </c>
      <c r="C76" t="s">
        <v>219</v>
      </c>
      <c r="D76"/>
      <c r="E76" s="5" t="s">
        <v>17</v>
      </c>
      <c r="J76" s="5" t="s">
        <v>26</v>
      </c>
      <c r="L76" s="5">
        <v>80</v>
      </c>
      <c r="M76" s="5">
        <v>32</v>
      </c>
      <c r="P76" s="13">
        <v>0.97099999999999997</v>
      </c>
      <c r="Q76" s="13">
        <v>8.3000000000000004E-2</v>
      </c>
      <c r="R76" s="13">
        <v>0.99399999999999999</v>
      </c>
      <c r="S76" s="13">
        <v>0.86183992029226097</v>
      </c>
    </row>
    <row r="77" spans="1:19" x14ac:dyDescent="0.2">
      <c r="A77" s="7" t="s">
        <v>525</v>
      </c>
      <c r="B77" t="s">
        <v>15</v>
      </c>
      <c r="C77" t="s">
        <v>526</v>
      </c>
      <c r="D77"/>
      <c r="E77" s="5" t="s">
        <v>17</v>
      </c>
      <c r="J77" s="5" t="s">
        <v>26</v>
      </c>
      <c r="L77" s="5">
        <v>117</v>
      </c>
      <c r="M77" s="5">
        <v>27</v>
      </c>
      <c r="P77" s="13">
        <v>0.47499999999999998</v>
      </c>
      <c r="Q77" s="13">
        <v>0.77700000000000002</v>
      </c>
      <c r="R77" s="13">
        <v>0.42299999999999999</v>
      </c>
      <c r="S77" s="17">
        <v>0.31606332336986598</v>
      </c>
    </row>
    <row r="78" spans="1:19" x14ac:dyDescent="0.2">
      <c r="A78" s="7" t="s">
        <v>605</v>
      </c>
      <c r="B78" t="s">
        <v>15</v>
      </c>
      <c r="C78" t="s">
        <v>606</v>
      </c>
      <c r="D78"/>
      <c r="E78" s="5" t="s">
        <v>17</v>
      </c>
      <c r="J78" s="5" t="s">
        <v>26</v>
      </c>
      <c r="L78" s="5">
        <v>100</v>
      </c>
      <c r="M78" s="5">
        <v>25</v>
      </c>
      <c r="P78" s="13">
        <v>0.85899999999999999</v>
      </c>
      <c r="Q78" s="13">
        <v>8.5999999999999993E-2</v>
      </c>
      <c r="R78" s="13">
        <v>0.223</v>
      </c>
      <c r="S78" s="17">
        <v>0.86062216317945295</v>
      </c>
    </row>
    <row r="79" spans="1:19" x14ac:dyDescent="0.2">
      <c r="A79" s="7" t="s">
        <v>647</v>
      </c>
      <c r="B79" t="s">
        <v>15</v>
      </c>
      <c r="C79" s="73" t="s">
        <v>160</v>
      </c>
      <c r="E79" s="5" t="s">
        <v>17</v>
      </c>
      <c r="F79" s="39" t="s">
        <v>25</v>
      </c>
      <c r="J79" s="5" t="s">
        <v>26</v>
      </c>
      <c r="L79" s="5">
        <v>132</v>
      </c>
      <c r="M79" s="5">
        <v>132</v>
      </c>
      <c r="P79" s="15">
        <v>1</v>
      </c>
      <c r="Q79" s="15">
        <v>0.214</v>
      </c>
      <c r="R79" s="13">
        <v>0.92900000000000005</v>
      </c>
      <c r="S79" s="17">
        <v>0.71283073176131895</v>
      </c>
    </row>
    <row r="80" spans="1:19" x14ac:dyDescent="0.2">
      <c r="A80" s="7" t="s">
        <v>657</v>
      </c>
      <c r="B80" t="s">
        <v>15</v>
      </c>
      <c r="C80" t="s">
        <v>50</v>
      </c>
      <c r="D80"/>
      <c r="E80" s="5" t="s">
        <v>17</v>
      </c>
      <c r="J80" s="5" t="s">
        <v>26</v>
      </c>
      <c r="L80" s="5">
        <v>34</v>
      </c>
      <c r="M80" s="5">
        <v>33</v>
      </c>
      <c r="P80" s="13">
        <v>0.76700000000000002</v>
      </c>
      <c r="Q80" s="13">
        <v>0.214</v>
      </c>
      <c r="R80" s="13">
        <v>0.98399999999999999</v>
      </c>
      <c r="S80" s="17">
        <v>0.79264917524631895</v>
      </c>
    </row>
    <row r="81" spans="1:23" x14ac:dyDescent="0.2">
      <c r="A81" s="7" t="s">
        <v>707</v>
      </c>
      <c r="B81" t="s">
        <v>15</v>
      </c>
      <c r="C81" s="73" t="s">
        <v>72</v>
      </c>
      <c r="E81" s="5" t="s">
        <v>17</v>
      </c>
      <c r="F81" s="39" t="s">
        <v>25</v>
      </c>
      <c r="J81" s="5" t="s">
        <v>26</v>
      </c>
      <c r="L81" s="5">
        <v>60</v>
      </c>
      <c r="M81" s="5">
        <v>59</v>
      </c>
      <c r="P81" s="15">
        <v>0.09</v>
      </c>
      <c r="Q81" s="15">
        <v>0.33800000000000002</v>
      </c>
      <c r="R81" s="13">
        <v>0.59</v>
      </c>
      <c r="S81" s="17">
        <v>0.70386361120336505</v>
      </c>
    </row>
    <row r="82" spans="1:23" x14ac:dyDescent="0.2">
      <c r="A82" s="7" t="s">
        <v>720</v>
      </c>
      <c r="B82" t="s">
        <v>15</v>
      </c>
      <c r="C82" s="73" t="s">
        <v>160</v>
      </c>
      <c r="E82" s="5" t="s">
        <v>17</v>
      </c>
      <c r="F82" t="s">
        <v>25</v>
      </c>
      <c r="J82" s="5" t="s">
        <v>26</v>
      </c>
      <c r="L82" s="5">
        <v>135</v>
      </c>
      <c r="M82" s="5">
        <v>47</v>
      </c>
      <c r="P82" s="15">
        <v>1</v>
      </c>
      <c r="Q82" s="15">
        <v>0.214</v>
      </c>
      <c r="R82" s="13">
        <v>0.92900000000000005</v>
      </c>
      <c r="S82" s="17">
        <v>0.71283073176131895</v>
      </c>
    </row>
    <row r="83" spans="1:23" x14ac:dyDescent="0.2">
      <c r="A83" s="7" t="s">
        <v>723</v>
      </c>
      <c r="B83" t="s">
        <v>15</v>
      </c>
      <c r="C83" t="s">
        <v>606</v>
      </c>
      <c r="D83"/>
      <c r="E83" s="5" t="s">
        <v>17</v>
      </c>
      <c r="J83" s="5" t="s">
        <v>26</v>
      </c>
      <c r="L83" s="5">
        <v>18</v>
      </c>
      <c r="M83" s="5">
        <v>6</v>
      </c>
      <c r="P83" s="13">
        <v>0.85899999999999999</v>
      </c>
      <c r="Q83" s="13">
        <v>8.5999999999999993E-2</v>
      </c>
      <c r="R83" s="13">
        <v>0.223</v>
      </c>
      <c r="S83" s="17">
        <v>0.86062216317945295</v>
      </c>
    </row>
    <row r="84" spans="1:23" x14ac:dyDescent="0.2">
      <c r="A84" s="7" t="s">
        <v>736</v>
      </c>
      <c r="B84" t="s">
        <v>15</v>
      </c>
      <c r="C84" t="s">
        <v>134</v>
      </c>
      <c r="D84"/>
      <c r="E84" s="5" t="s">
        <v>17</v>
      </c>
      <c r="F84" t="s">
        <v>25</v>
      </c>
      <c r="J84" s="5" t="s">
        <v>26</v>
      </c>
      <c r="L84" s="5">
        <v>100</v>
      </c>
      <c r="M84" s="5">
        <v>99</v>
      </c>
      <c r="P84" s="13">
        <v>0.40300000000000002</v>
      </c>
      <c r="Q84" s="13">
        <v>0.17899999999999999</v>
      </c>
      <c r="R84" s="13">
        <v>0.19600000000000001</v>
      </c>
      <c r="S84" s="17">
        <v>0.77261153548101402</v>
      </c>
    </row>
    <row r="85" spans="1:23" x14ac:dyDescent="0.2">
      <c r="A85" s="7" t="s">
        <v>741</v>
      </c>
      <c r="B85" t="s">
        <v>15</v>
      </c>
      <c r="C85" t="s">
        <v>100</v>
      </c>
      <c r="D85"/>
      <c r="E85" s="5" t="s">
        <v>17</v>
      </c>
      <c r="J85" s="5" t="s">
        <v>26</v>
      </c>
      <c r="L85" s="5">
        <v>82</v>
      </c>
      <c r="M85" s="5">
        <v>21</v>
      </c>
      <c r="P85" s="13">
        <v>0.53</v>
      </c>
      <c r="Q85" s="13">
        <v>0.19900000000000001</v>
      </c>
      <c r="R85" s="13">
        <v>0.89</v>
      </c>
      <c r="S85" s="17">
        <v>0.92073508247536795</v>
      </c>
    </row>
    <row r="86" spans="1:23" x14ac:dyDescent="0.2">
      <c r="A86" s="7" t="s">
        <v>470</v>
      </c>
      <c r="B86" t="s">
        <v>15</v>
      </c>
      <c r="C86" s="73" t="s">
        <v>471</v>
      </c>
      <c r="E86" s="5" t="s">
        <v>17</v>
      </c>
      <c r="F86" s="39" t="s">
        <v>25</v>
      </c>
      <c r="H86" s="5" t="s">
        <v>39</v>
      </c>
      <c r="L86" s="5">
        <v>23</v>
      </c>
      <c r="M86" s="5">
        <v>22</v>
      </c>
      <c r="P86" s="15">
        <v>0.94</v>
      </c>
      <c r="Q86" s="15">
        <v>4.8000000000000001E-2</v>
      </c>
      <c r="R86" s="13">
        <v>0.98899999999999999</v>
      </c>
      <c r="S86" s="17">
        <v>0.88874128196612401</v>
      </c>
    </row>
    <row r="87" spans="1:23" x14ac:dyDescent="0.2">
      <c r="A87" s="7" t="s">
        <v>475</v>
      </c>
      <c r="B87" t="s">
        <v>15</v>
      </c>
      <c r="C87" t="s">
        <v>118</v>
      </c>
      <c r="D87"/>
      <c r="E87" s="5" t="s">
        <v>17</v>
      </c>
      <c r="H87" s="5" t="s">
        <v>39</v>
      </c>
      <c r="L87" s="5">
        <v>4</v>
      </c>
      <c r="M87" s="5">
        <v>4</v>
      </c>
      <c r="P87" s="13">
        <v>0.79700000000000004</v>
      </c>
      <c r="Q87" s="13">
        <v>8.2000000000000003E-2</v>
      </c>
      <c r="R87" s="13">
        <v>0.73799999999999999</v>
      </c>
      <c r="S87" s="17">
        <v>0.89649064541126899</v>
      </c>
      <c r="W87" s="18"/>
    </row>
    <row r="88" spans="1:23" x14ac:dyDescent="0.2">
      <c r="A88" s="7" t="s">
        <v>321</v>
      </c>
      <c r="B88" t="s">
        <v>15</v>
      </c>
      <c r="C88" s="73" t="s">
        <v>322</v>
      </c>
      <c r="E88" s="5" t="s">
        <v>17</v>
      </c>
      <c r="F88" t="s">
        <v>25</v>
      </c>
      <c r="H88" s="5" t="s">
        <v>39</v>
      </c>
      <c r="K88" s="5" t="s">
        <v>373</v>
      </c>
      <c r="L88" s="68" t="s">
        <v>323</v>
      </c>
      <c r="M88" s="67"/>
      <c r="P88" s="17">
        <v>0.379</v>
      </c>
      <c r="Q88" s="17">
        <v>0.45500000000000002</v>
      </c>
      <c r="R88" s="17">
        <v>0.94699999999999995</v>
      </c>
      <c r="S88" s="13">
        <v>0.76220524742610396</v>
      </c>
    </row>
    <row r="89" spans="1:23" x14ac:dyDescent="0.2">
      <c r="A89" s="7" t="s">
        <v>75</v>
      </c>
      <c r="B89" t="s">
        <v>15</v>
      </c>
      <c r="C89" s="73" t="s">
        <v>76</v>
      </c>
      <c r="E89" s="5" t="s">
        <v>17</v>
      </c>
      <c r="F89" s="39" t="s">
        <v>25</v>
      </c>
      <c r="G89" s="5" t="s">
        <v>406</v>
      </c>
      <c r="H89" s="5" t="s">
        <v>39</v>
      </c>
      <c r="L89" s="5">
        <v>60</v>
      </c>
      <c r="M89" s="5">
        <v>59</v>
      </c>
      <c r="P89" s="15">
        <v>0.64</v>
      </c>
      <c r="Q89" s="15">
        <v>0.41699999999999998</v>
      </c>
      <c r="R89" s="13">
        <v>0.35699999999999998</v>
      </c>
      <c r="S89" s="13">
        <v>0.75611646186206105</v>
      </c>
    </row>
    <row r="90" spans="1:23" x14ac:dyDescent="0.2">
      <c r="A90" s="7" t="s">
        <v>99</v>
      </c>
      <c r="B90" t="s">
        <v>15</v>
      </c>
      <c r="C90" s="73" t="s">
        <v>100</v>
      </c>
      <c r="E90" s="5" t="s">
        <v>17</v>
      </c>
      <c r="F90" t="s">
        <v>25</v>
      </c>
      <c r="H90" s="5" t="s">
        <v>39</v>
      </c>
      <c r="L90" s="5">
        <v>25</v>
      </c>
      <c r="M90" s="5">
        <v>24</v>
      </c>
      <c r="P90" s="15">
        <v>0.53</v>
      </c>
      <c r="Q90" s="15">
        <v>0.19900000000000001</v>
      </c>
      <c r="R90" s="13">
        <v>0.89</v>
      </c>
      <c r="S90" s="13">
        <v>0.92073508247536795</v>
      </c>
    </row>
    <row r="91" spans="1:23" x14ac:dyDescent="0.2">
      <c r="A91" s="7" t="s">
        <v>270</v>
      </c>
      <c r="B91" t="s">
        <v>15</v>
      </c>
      <c r="C91" t="s">
        <v>271</v>
      </c>
      <c r="D91"/>
      <c r="E91" s="5" t="s">
        <v>17</v>
      </c>
      <c r="H91" s="5" t="s">
        <v>105</v>
      </c>
      <c r="L91" s="5">
        <v>49</v>
      </c>
      <c r="M91" s="5">
        <v>48</v>
      </c>
      <c r="P91" s="13">
        <v>0.47899999999999998</v>
      </c>
      <c r="Q91" s="13">
        <v>7.9000000000000001E-2</v>
      </c>
      <c r="R91" s="13">
        <v>0.90500000000000003</v>
      </c>
      <c r="S91" s="13">
        <v>0.830510350935458</v>
      </c>
    </row>
    <row r="92" spans="1:23" x14ac:dyDescent="0.2">
      <c r="A92" s="7" t="s">
        <v>263</v>
      </c>
      <c r="B92" t="s">
        <v>15</v>
      </c>
      <c r="C92" s="73" t="s">
        <v>264</v>
      </c>
      <c r="E92" s="5" t="s">
        <v>17</v>
      </c>
      <c r="F92" t="s">
        <v>25</v>
      </c>
      <c r="H92" s="5" t="s">
        <v>39</v>
      </c>
      <c r="L92" s="67">
        <v>69</v>
      </c>
      <c r="M92" s="67"/>
      <c r="P92" s="15">
        <v>0.16</v>
      </c>
      <c r="Q92" s="15">
        <v>0.68</v>
      </c>
      <c r="R92" s="13">
        <v>0.76300000000000001</v>
      </c>
      <c r="S92" s="13">
        <v>0.76010184877670695</v>
      </c>
    </row>
    <row r="93" spans="1:23" x14ac:dyDescent="0.2">
      <c r="A93" s="7" t="s">
        <v>216</v>
      </c>
      <c r="B93" t="s">
        <v>15</v>
      </c>
      <c r="C93" t="s">
        <v>217</v>
      </c>
      <c r="D93"/>
      <c r="E93" s="5" t="s">
        <v>17</v>
      </c>
      <c r="H93" s="5" t="s">
        <v>39</v>
      </c>
      <c r="L93" s="5">
        <v>8</v>
      </c>
      <c r="M93" s="5">
        <v>8</v>
      </c>
      <c r="P93" s="13">
        <v>0.33300000000000002</v>
      </c>
      <c r="Q93" s="13">
        <v>0.495</v>
      </c>
      <c r="R93" s="13">
        <v>0.60899999999999999</v>
      </c>
      <c r="S93" s="13">
        <v>0.72965792095649196</v>
      </c>
    </row>
    <row r="94" spans="1:23" x14ac:dyDescent="0.2">
      <c r="A94" s="7" t="s">
        <v>112</v>
      </c>
      <c r="B94" t="s">
        <v>15</v>
      </c>
      <c r="C94" s="73" t="s">
        <v>113</v>
      </c>
      <c r="E94" s="5" t="s">
        <v>17</v>
      </c>
      <c r="G94" s="5" t="s">
        <v>406</v>
      </c>
      <c r="H94" s="5" t="s">
        <v>39</v>
      </c>
      <c r="L94" s="68"/>
      <c r="M94" s="67"/>
      <c r="P94" s="15">
        <v>0.53</v>
      </c>
      <c r="Q94" s="15">
        <v>4.4999999999999998E-2</v>
      </c>
      <c r="R94" s="13">
        <v>0.89800000000000002</v>
      </c>
      <c r="S94" s="13">
        <v>0.91652828517657403</v>
      </c>
    </row>
    <row r="95" spans="1:23" x14ac:dyDescent="0.2">
      <c r="A95" s="7" t="s">
        <v>592</v>
      </c>
      <c r="B95" t="s">
        <v>15</v>
      </c>
      <c r="C95" s="73" t="s">
        <v>72</v>
      </c>
      <c r="E95" s="5" t="s">
        <v>17</v>
      </c>
      <c r="F95" t="s">
        <v>25</v>
      </c>
      <c r="G95" s="5" t="s">
        <v>406</v>
      </c>
      <c r="H95" s="5" t="s">
        <v>39</v>
      </c>
      <c r="L95" s="67">
        <v>69</v>
      </c>
      <c r="M95" s="67"/>
      <c r="P95" s="15">
        <v>0.09</v>
      </c>
      <c r="Q95" s="15">
        <v>0.33800000000000002</v>
      </c>
      <c r="R95" s="13">
        <v>0.59</v>
      </c>
      <c r="S95" s="17">
        <v>0.70386361120336505</v>
      </c>
    </row>
    <row r="96" spans="1:23" x14ac:dyDescent="0.2">
      <c r="A96" s="7" t="s">
        <v>455</v>
      </c>
      <c r="B96" t="s">
        <v>15</v>
      </c>
      <c r="C96" s="73" t="s">
        <v>264</v>
      </c>
      <c r="E96" s="5" t="s">
        <v>17</v>
      </c>
      <c r="F96" t="s">
        <v>25</v>
      </c>
      <c r="G96" s="5" t="s">
        <v>406</v>
      </c>
      <c r="H96" s="5" t="s">
        <v>39</v>
      </c>
      <c r="I96" s="5" t="s">
        <v>236</v>
      </c>
      <c r="L96" s="67">
        <v>70</v>
      </c>
      <c r="M96" s="67">
        <v>49</v>
      </c>
      <c r="P96" s="15">
        <v>0.16</v>
      </c>
      <c r="Q96" s="15">
        <v>0.68</v>
      </c>
      <c r="R96" s="13">
        <v>0.76300000000000001</v>
      </c>
      <c r="S96" s="17">
        <v>0.76010184877670695</v>
      </c>
    </row>
    <row r="97" spans="1:19" x14ac:dyDescent="0.2">
      <c r="A97" s="7" t="s">
        <v>388</v>
      </c>
      <c r="B97" t="s">
        <v>64</v>
      </c>
      <c r="C97" t="s">
        <v>389</v>
      </c>
      <c r="D97"/>
      <c r="E97" s="5" t="s">
        <v>17</v>
      </c>
      <c r="G97" s="5" t="s">
        <v>406</v>
      </c>
      <c r="L97" s="5">
        <v>16</v>
      </c>
      <c r="M97" s="5">
        <v>16</v>
      </c>
      <c r="P97" s="13">
        <v>0.53300000000000003</v>
      </c>
      <c r="Q97" s="13">
        <v>0.63600000000000001</v>
      </c>
      <c r="R97" s="13">
        <v>1.4999999999999999E-2</v>
      </c>
      <c r="S97" s="17">
        <v>0.405402413373187</v>
      </c>
    </row>
    <row r="98" spans="1:19" x14ac:dyDescent="0.2">
      <c r="A98" s="7" t="s">
        <v>439</v>
      </c>
      <c r="B98" t="s">
        <v>64</v>
      </c>
      <c r="C98" s="73" t="s">
        <v>440</v>
      </c>
      <c r="E98" s="5" t="s">
        <v>17</v>
      </c>
      <c r="F98" s="39" t="s">
        <v>25</v>
      </c>
      <c r="G98" s="5" t="s">
        <v>406</v>
      </c>
      <c r="L98" s="67">
        <v>115</v>
      </c>
      <c r="M98" s="67">
        <v>114</v>
      </c>
      <c r="P98" s="15">
        <v>0.22</v>
      </c>
      <c r="Q98" s="15">
        <v>0.65400000000000003</v>
      </c>
      <c r="R98" s="13">
        <v>0.44700000000000001</v>
      </c>
      <c r="S98" s="17">
        <v>0.53072069080039797</v>
      </c>
    </row>
    <row r="99" spans="1:19" x14ac:dyDescent="0.2">
      <c r="A99" s="7" t="s">
        <v>258</v>
      </c>
      <c r="B99" t="s">
        <v>64</v>
      </c>
      <c r="C99" t="s">
        <v>65</v>
      </c>
      <c r="D99"/>
      <c r="E99" s="5" t="s">
        <v>17</v>
      </c>
      <c r="G99" s="5" t="s">
        <v>406</v>
      </c>
      <c r="L99" s="5">
        <v>94</v>
      </c>
      <c r="M99" s="5">
        <v>49</v>
      </c>
      <c r="P99" s="13">
        <v>0.86499999999999999</v>
      </c>
      <c r="Q99" s="13">
        <v>0.32800000000000001</v>
      </c>
      <c r="R99" s="13">
        <v>0.88300000000000001</v>
      </c>
      <c r="S99" s="13">
        <v>0.618731318498837</v>
      </c>
    </row>
    <row r="100" spans="1:19" x14ac:dyDescent="0.2">
      <c r="A100" s="7" t="s">
        <v>461</v>
      </c>
      <c r="B100" t="s">
        <v>64</v>
      </c>
      <c r="C100" t="s">
        <v>462</v>
      </c>
      <c r="D100"/>
      <c r="E100" s="5" t="s">
        <v>17</v>
      </c>
      <c r="G100" s="5" t="s">
        <v>406</v>
      </c>
      <c r="L100" s="5">
        <v>206</v>
      </c>
      <c r="M100" s="5">
        <v>21</v>
      </c>
      <c r="P100" s="13">
        <v>0.21099999999999999</v>
      </c>
      <c r="Q100" s="13">
        <v>0.379</v>
      </c>
      <c r="R100" s="13">
        <v>0.17799999999999999</v>
      </c>
      <c r="S100" s="17">
        <v>0.54644082807483596</v>
      </c>
    </row>
    <row r="101" spans="1:19" x14ac:dyDescent="0.2">
      <c r="A101" s="7" t="s">
        <v>63</v>
      </c>
      <c r="B101" t="s">
        <v>64</v>
      </c>
      <c r="C101" s="73" t="s">
        <v>65</v>
      </c>
      <c r="E101" s="5" t="s">
        <v>17</v>
      </c>
      <c r="F101" s="39" t="s">
        <v>25</v>
      </c>
      <c r="G101" s="5" t="s">
        <v>406</v>
      </c>
      <c r="L101" s="5">
        <v>92</v>
      </c>
      <c r="M101" s="5">
        <v>91</v>
      </c>
      <c r="P101" s="13" t="s">
        <v>66</v>
      </c>
      <c r="Q101" s="15">
        <v>0.32800000000000001</v>
      </c>
      <c r="R101" s="13">
        <v>0.88300000000000001</v>
      </c>
      <c r="S101" s="13">
        <v>0.618731318498837</v>
      </c>
    </row>
    <row r="102" spans="1:19" x14ac:dyDescent="0.2">
      <c r="A102" s="7" t="s">
        <v>652</v>
      </c>
      <c r="B102" t="s">
        <v>64</v>
      </c>
      <c r="C102" t="s">
        <v>65</v>
      </c>
      <c r="D102"/>
      <c r="E102" s="5" t="s">
        <v>17</v>
      </c>
      <c r="G102" s="5" t="s">
        <v>406</v>
      </c>
      <c r="L102" s="5">
        <v>9</v>
      </c>
      <c r="M102" s="5">
        <v>9</v>
      </c>
      <c r="P102" s="13">
        <v>0.86499999999999999</v>
      </c>
      <c r="Q102" s="13">
        <v>0.32800000000000001</v>
      </c>
      <c r="R102" s="13">
        <v>0.88300000000000001</v>
      </c>
      <c r="S102" s="17">
        <v>0.618731318498837</v>
      </c>
    </row>
    <row r="103" spans="1:19" x14ac:dyDescent="0.2">
      <c r="A103" s="7" t="s">
        <v>671</v>
      </c>
      <c r="B103" t="s">
        <v>64</v>
      </c>
      <c r="C103" t="s">
        <v>462</v>
      </c>
      <c r="D103"/>
      <c r="E103" s="5" t="s">
        <v>17</v>
      </c>
      <c r="G103" s="5" t="s">
        <v>406</v>
      </c>
      <c r="L103" s="5">
        <v>48</v>
      </c>
      <c r="M103" s="5">
        <v>5</v>
      </c>
      <c r="P103" s="13">
        <v>0.21099999999999999</v>
      </c>
      <c r="Q103" s="13">
        <v>0.379</v>
      </c>
      <c r="R103" s="13">
        <v>0.17799999999999999</v>
      </c>
      <c r="S103" s="17">
        <v>0.54644082807483596</v>
      </c>
    </row>
    <row r="104" spans="1:19" x14ac:dyDescent="0.2">
      <c r="A104" s="7" t="s">
        <v>695</v>
      </c>
      <c r="B104" t="s">
        <v>64</v>
      </c>
      <c r="C104" t="s">
        <v>445</v>
      </c>
      <c r="D104"/>
      <c r="E104" s="5" t="s">
        <v>17</v>
      </c>
      <c r="G104" s="5" t="s">
        <v>406</v>
      </c>
      <c r="L104" s="5">
        <v>260</v>
      </c>
      <c r="M104" s="5">
        <v>26</v>
      </c>
      <c r="P104" s="13">
        <v>0.31</v>
      </c>
      <c r="Q104" s="13">
        <v>0.95499999999999996</v>
      </c>
      <c r="R104" s="13">
        <v>8.0000000000000002E-3</v>
      </c>
      <c r="S104" s="17">
        <v>0.32879442045831903</v>
      </c>
    </row>
    <row r="105" spans="1:19" x14ac:dyDescent="0.2">
      <c r="A105" s="7" t="s">
        <v>701</v>
      </c>
      <c r="B105" t="s">
        <v>64</v>
      </c>
      <c r="C105" t="s">
        <v>389</v>
      </c>
      <c r="D105"/>
      <c r="E105" s="5" t="s">
        <v>17</v>
      </c>
      <c r="G105" s="5" t="s">
        <v>406</v>
      </c>
      <c r="L105" s="5">
        <v>122</v>
      </c>
      <c r="M105" s="5">
        <v>12</v>
      </c>
      <c r="P105" s="13">
        <v>0.53300000000000003</v>
      </c>
      <c r="Q105" s="13">
        <v>0.63600000000000001</v>
      </c>
      <c r="R105" s="13">
        <v>1.4999999999999999E-2</v>
      </c>
      <c r="S105" s="17">
        <v>0.405402413373187</v>
      </c>
    </row>
    <row r="106" spans="1:19" x14ac:dyDescent="0.2">
      <c r="A106" s="7" t="s">
        <v>757</v>
      </c>
      <c r="B106" t="s">
        <v>64</v>
      </c>
      <c r="C106" t="s">
        <v>65</v>
      </c>
      <c r="D106"/>
      <c r="E106" s="5" t="s">
        <v>17</v>
      </c>
      <c r="F106" s="39" t="s">
        <v>25</v>
      </c>
      <c r="G106" s="5" t="s">
        <v>406</v>
      </c>
      <c r="L106" s="5">
        <v>47</v>
      </c>
      <c r="M106" s="5">
        <v>47</v>
      </c>
      <c r="P106" s="13">
        <v>0.86499999999999999</v>
      </c>
      <c r="Q106" s="13">
        <v>0.32800000000000001</v>
      </c>
      <c r="R106" s="13">
        <v>0.88300000000000001</v>
      </c>
      <c r="S106" s="17">
        <v>0.618731318498837</v>
      </c>
    </row>
    <row r="107" spans="1:19" x14ac:dyDescent="0.2">
      <c r="A107" s="7" t="s">
        <v>444</v>
      </c>
      <c r="B107" t="s">
        <v>64</v>
      </c>
      <c r="C107" t="s">
        <v>445</v>
      </c>
      <c r="D107"/>
      <c r="E107" s="5" t="s">
        <v>17</v>
      </c>
      <c r="J107" s="5" t="s">
        <v>26</v>
      </c>
      <c r="L107" s="5">
        <v>93</v>
      </c>
      <c r="M107" s="5">
        <v>93</v>
      </c>
      <c r="P107" s="13">
        <v>0.31</v>
      </c>
      <c r="Q107" s="13">
        <v>0.95499999999999996</v>
      </c>
      <c r="R107" s="13">
        <v>8.0000000000000002E-3</v>
      </c>
      <c r="S107" s="17">
        <v>0.32879442045831903</v>
      </c>
    </row>
    <row r="108" spans="1:19" x14ac:dyDescent="0.2">
      <c r="A108" s="7" t="s">
        <v>448</v>
      </c>
      <c r="B108" t="s">
        <v>64</v>
      </c>
      <c r="C108" t="s">
        <v>449</v>
      </c>
      <c r="D108"/>
      <c r="E108" s="5" t="s">
        <v>17</v>
      </c>
      <c r="J108" s="5" t="s">
        <v>26</v>
      </c>
      <c r="L108" s="5">
        <v>30</v>
      </c>
      <c r="M108" s="5">
        <v>30</v>
      </c>
      <c r="P108" s="13">
        <v>0.47899999999999998</v>
      </c>
      <c r="Q108" s="13">
        <v>0.29499999999999998</v>
      </c>
      <c r="R108" s="13">
        <v>0.50900000000000001</v>
      </c>
      <c r="S108" s="17">
        <v>0.65227499169711001</v>
      </c>
    </row>
    <row r="109" spans="1:19" x14ac:dyDescent="0.2">
      <c r="A109" s="7" t="s">
        <v>743</v>
      </c>
      <c r="B109" t="s">
        <v>64</v>
      </c>
      <c r="C109" s="73" t="s">
        <v>744</v>
      </c>
      <c r="E109" s="5" t="s">
        <v>17</v>
      </c>
      <c r="F109" s="39" t="s">
        <v>25</v>
      </c>
      <c r="J109" s="5" t="s">
        <v>26</v>
      </c>
      <c r="L109" s="5">
        <v>105</v>
      </c>
      <c r="M109" s="5">
        <v>105</v>
      </c>
      <c r="P109" s="15">
        <v>0.56000000000000005</v>
      </c>
      <c r="Q109" s="15">
        <v>0.58799999999999997</v>
      </c>
      <c r="R109" s="13">
        <v>0.33600000000000002</v>
      </c>
      <c r="S109" s="17">
        <v>0.65327133842577201</v>
      </c>
    </row>
    <row r="110" spans="1:19" x14ac:dyDescent="0.2">
      <c r="A110" s="7" t="s">
        <v>767</v>
      </c>
      <c r="B110" t="s">
        <v>64</v>
      </c>
      <c r="C110" t="s">
        <v>449</v>
      </c>
      <c r="D110"/>
      <c r="E110" s="5" t="s">
        <v>17</v>
      </c>
      <c r="J110" s="5" t="s">
        <v>26</v>
      </c>
      <c r="L110" s="5">
        <v>28</v>
      </c>
      <c r="M110" s="5">
        <v>28</v>
      </c>
      <c r="P110" s="13">
        <v>0.47899999999999998</v>
      </c>
      <c r="Q110" s="13">
        <v>0.29499999999999998</v>
      </c>
      <c r="R110" s="13">
        <v>0.50900000000000001</v>
      </c>
      <c r="S110" s="17">
        <v>0.65227499169711001</v>
      </c>
    </row>
    <row r="111" spans="1:19" x14ac:dyDescent="0.2">
      <c r="A111" s="7" t="s">
        <v>121</v>
      </c>
      <c r="B111" t="s">
        <v>58</v>
      </c>
      <c r="C111" t="s">
        <v>122</v>
      </c>
      <c r="D111"/>
      <c r="E111" s="5" t="s">
        <v>17</v>
      </c>
      <c r="G111" s="5" t="s">
        <v>406</v>
      </c>
      <c r="L111" s="5">
        <v>3</v>
      </c>
      <c r="M111" s="5">
        <v>3</v>
      </c>
      <c r="P111" s="13">
        <v>0.33300000000000002</v>
      </c>
      <c r="Q111" s="13">
        <v>0.5</v>
      </c>
      <c r="R111" s="13">
        <v>0.75</v>
      </c>
      <c r="S111" s="13">
        <v>0.81124764751466805</v>
      </c>
    </row>
    <row r="112" spans="1:19" x14ac:dyDescent="0.2">
      <c r="A112" s="7" t="s">
        <v>142</v>
      </c>
      <c r="B112" t="s">
        <v>58</v>
      </c>
      <c r="C112" s="73" t="s">
        <v>143</v>
      </c>
      <c r="E112" s="5" t="s">
        <v>17</v>
      </c>
      <c r="F112" s="39" t="s">
        <v>25</v>
      </c>
      <c r="G112" s="5" t="s">
        <v>406</v>
      </c>
      <c r="L112" s="5">
        <v>70</v>
      </c>
      <c r="M112" s="5">
        <v>70</v>
      </c>
      <c r="P112" s="15">
        <v>0.78</v>
      </c>
      <c r="Q112" s="15">
        <v>0.85699999999999998</v>
      </c>
      <c r="R112" s="13">
        <v>0.14299999999999999</v>
      </c>
      <c r="S112" s="13">
        <v>0.72545112365769904</v>
      </c>
    </row>
    <row r="113" spans="1:19" x14ac:dyDescent="0.2">
      <c r="A113" s="7" t="s">
        <v>159</v>
      </c>
      <c r="B113" t="s">
        <v>58</v>
      </c>
      <c r="C113" s="73" t="s">
        <v>160</v>
      </c>
      <c r="E113" s="5" t="s">
        <v>17</v>
      </c>
      <c r="F113" s="39" t="s">
        <v>25</v>
      </c>
      <c r="G113" s="5" t="s">
        <v>406</v>
      </c>
      <c r="L113" s="5">
        <v>110</v>
      </c>
      <c r="M113" s="5">
        <v>109</v>
      </c>
      <c r="P113" s="15">
        <v>1</v>
      </c>
      <c r="Q113" s="15">
        <v>0.214</v>
      </c>
      <c r="R113" s="13">
        <v>0.92900000000000005</v>
      </c>
      <c r="S113" s="13">
        <v>0.71283073176131895</v>
      </c>
    </row>
    <row r="114" spans="1:19" x14ac:dyDescent="0.2">
      <c r="A114" s="7" t="s">
        <v>533</v>
      </c>
      <c r="B114" t="s">
        <v>58</v>
      </c>
      <c r="C114" s="73" t="s">
        <v>264</v>
      </c>
      <c r="E114" s="5" t="s">
        <v>17</v>
      </c>
      <c r="F114" s="39" t="s">
        <v>25</v>
      </c>
      <c r="G114" s="5" t="s">
        <v>406</v>
      </c>
      <c r="L114" s="5">
        <v>70</v>
      </c>
      <c r="M114" s="5">
        <v>70</v>
      </c>
      <c r="P114" s="15">
        <v>0.16</v>
      </c>
      <c r="Q114" s="15">
        <v>0.68</v>
      </c>
      <c r="R114" s="13">
        <v>0.76300000000000001</v>
      </c>
      <c r="S114" s="17">
        <v>0.76010184877670695</v>
      </c>
    </row>
    <row r="115" spans="1:19" x14ac:dyDescent="0.2">
      <c r="A115" s="7" t="s">
        <v>577</v>
      </c>
      <c r="B115" t="s">
        <v>58</v>
      </c>
      <c r="C115" t="s">
        <v>151</v>
      </c>
      <c r="D115"/>
      <c r="E115" s="5" t="s">
        <v>17</v>
      </c>
      <c r="G115" s="5" t="s">
        <v>406</v>
      </c>
      <c r="L115" s="5">
        <v>38</v>
      </c>
      <c r="M115" s="5">
        <v>38</v>
      </c>
      <c r="P115" s="13">
        <v>0.57099999999999995</v>
      </c>
      <c r="Q115" s="13">
        <v>0.2</v>
      </c>
      <c r="R115" s="13">
        <v>0.4</v>
      </c>
      <c r="S115" s="17">
        <v>0.90966456326801703</v>
      </c>
    </row>
    <row r="116" spans="1:19" x14ac:dyDescent="0.2">
      <c r="A116" s="7" t="s">
        <v>752</v>
      </c>
      <c r="B116" t="s">
        <v>58</v>
      </c>
      <c r="C116" s="73" t="s">
        <v>151</v>
      </c>
      <c r="E116" s="5" t="s">
        <v>17</v>
      </c>
      <c r="F116" s="39" t="s">
        <v>25</v>
      </c>
      <c r="G116" s="5" t="s">
        <v>406</v>
      </c>
      <c r="L116" s="5">
        <v>186</v>
      </c>
      <c r="M116" s="5">
        <v>186</v>
      </c>
      <c r="P116" s="15">
        <v>0.56999999999999995</v>
      </c>
      <c r="Q116" s="15">
        <v>0.2</v>
      </c>
      <c r="R116" s="13">
        <v>0.4</v>
      </c>
      <c r="S116" s="17">
        <v>0.90966456326801703</v>
      </c>
    </row>
    <row r="117" spans="1:19" x14ac:dyDescent="0.2">
      <c r="A117" s="7" t="s">
        <v>301</v>
      </c>
      <c r="B117" t="s">
        <v>58</v>
      </c>
      <c r="C117" t="s">
        <v>151</v>
      </c>
      <c r="D117"/>
      <c r="E117" s="5" t="s">
        <v>17</v>
      </c>
      <c r="J117" s="5" t="s">
        <v>26</v>
      </c>
      <c r="L117" s="5">
        <v>100</v>
      </c>
      <c r="M117" s="5">
        <v>98</v>
      </c>
      <c r="P117" s="13">
        <v>0.57099999999999995</v>
      </c>
      <c r="Q117" s="13">
        <v>0.2</v>
      </c>
      <c r="R117" s="13">
        <v>0.4</v>
      </c>
      <c r="S117" s="13">
        <v>0.90966456326801703</v>
      </c>
    </row>
    <row r="118" spans="1:19" x14ac:dyDescent="0.2">
      <c r="A118" s="7" t="s">
        <v>57</v>
      </c>
      <c r="B118" t="s">
        <v>58</v>
      </c>
      <c r="C118" s="73" t="s">
        <v>59</v>
      </c>
      <c r="E118" s="5" t="s">
        <v>17</v>
      </c>
      <c r="F118" s="39" t="s">
        <v>25</v>
      </c>
      <c r="J118" s="5" t="s">
        <v>26</v>
      </c>
      <c r="L118" s="5">
        <v>150</v>
      </c>
      <c r="M118" s="5">
        <v>150</v>
      </c>
      <c r="P118" s="15">
        <v>0.44</v>
      </c>
      <c r="Q118" s="15">
        <v>0.44800000000000001</v>
      </c>
      <c r="R118" s="13">
        <v>0.57799999999999996</v>
      </c>
      <c r="S118" s="13">
        <v>0.93169489649064496</v>
      </c>
    </row>
    <row r="119" spans="1:19" x14ac:dyDescent="0.2">
      <c r="A119" s="7" t="s">
        <v>150</v>
      </c>
      <c r="B119" t="s">
        <v>58</v>
      </c>
      <c r="C119" s="73" t="s">
        <v>151</v>
      </c>
      <c r="E119" s="5" t="s">
        <v>17</v>
      </c>
      <c r="F119" s="39" t="s">
        <v>25</v>
      </c>
      <c r="J119" s="5" t="s">
        <v>26</v>
      </c>
      <c r="L119" s="5">
        <v>59</v>
      </c>
      <c r="M119" s="5">
        <v>58</v>
      </c>
      <c r="P119" s="15">
        <v>0.56999999999999995</v>
      </c>
      <c r="Q119" s="15">
        <v>0.2</v>
      </c>
      <c r="R119" s="13">
        <v>0.4</v>
      </c>
      <c r="S119" s="13">
        <v>0.90966456326801703</v>
      </c>
    </row>
    <row r="120" spans=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F120" t="s">
        <v>25</v>
      </c>
      <c r="J120" s="5" t="s">
        <v>26</v>
      </c>
      <c r="L120" s="68"/>
      <c r="M120" s="67"/>
      <c r="P120" s="15">
        <v>0.6</v>
      </c>
      <c r="Q120" s="15">
        <v>0.625</v>
      </c>
      <c r="R120" s="13">
        <v>0</v>
      </c>
      <c r="S120" s="17">
        <v>0.452230709620281</v>
      </c>
    </row>
    <row r="121" spans="1:19" x14ac:dyDescent="0.2">
      <c r="A121" s="7" t="s">
        <v>422</v>
      </c>
      <c r="B121" t="s">
        <v>58</v>
      </c>
      <c r="C121" s="73" t="s">
        <v>122</v>
      </c>
      <c r="E121" s="5" t="s">
        <v>17</v>
      </c>
      <c r="F121" t="s">
        <v>25</v>
      </c>
      <c r="H121" s="5" t="s">
        <v>39</v>
      </c>
      <c r="L121" s="5">
        <v>58</v>
      </c>
      <c r="M121" s="5">
        <v>57</v>
      </c>
      <c r="P121" s="15">
        <v>0.33</v>
      </c>
      <c r="Q121" s="15">
        <v>0.5</v>
      </c>
      <c r="R121" s="13">
        <v>0.75</v>
      </c>
      <c r="S121" s="17">
        <v>0.81124764751466805</v>
      </c>
    </row>
    <row r="122" spans="1:19" x14ac:dyDescent="0.2">
      <c r="A122" s="7" t="s">
        <v>638</v>
      </c>
      <c r="B122" t="s">
        <v>639</v>
      </c>
      <c r="C122" t="s">
        <v>434</v>
      </c>
      <c r="D122"/>
      <c r="E122" s="5" t="s">
        <v>17</v>
      </c>
      <c r="J122" s="5" t="s">
        <v>26</v>
      </c>
      <c r="L122" s="5">
        <v>100</v>
      </c>
      <c r="M122" s="5">
        <v>99</v>
      </c>
      <c r="P122" s="13">
        <v>0.66700000000000004</v>
      </c>
      <c r="Q122" s="13">
        <v>0.79700000000000004</v>
      </c>
      <c r="R122" s="13">
        <v>0.497</v>
      </c>
      <c r="S122" s="17">
        <v>4.7935348167829003E-2</v>
      </c>
    </row>
    <row r="123" spans="1:19" x14ac:dyDescent="0.2">
      <c r="A123" s="7" t="s">
        <v>362</v>
      </c>
      <c r="B123" t="s">
        <v>20</v>
      </c>
      <c r="C123" t="s">
        <v>363</v>
      </c>
      <c r="D123"/>
      <c r="E123" s="5" t="s">
        <v>17</v>
      </c>
      <c r="G123" s="5" t="s">
        <v>406</v>
      </c>
      <c r="L123" s="5">
        <v>250</v>
      </c>
      <c r="M123" s="5">
        <v>250</v>
      </c>
      <c r="P123" s="13">
        <v>0.47199999999999998</v>
      </c>
      <c r="Q123" s="13">
        <v>0.51600000000000001</v>
      </c>
      <c r="R123" s="13">
        <v>0.73699999999999999</v>
      </c>
      <c r="S123" s="13">
        <v>0.63411934019705496</v>
      </c>
    </row>
    <row r="124" spans="1:19" x14ac:dyDescent="0.2">
      <c r="A124" s="7" t="s">
        <v>77</v>
      </c>
      <c r="B124" t="s">
        <v>20</v>
      </c>
      <c r="C124" t="s">
        <v>78</v>
      </c>
      <c r="D124"/>
      <c r="E124" s="5" t="s">
        <v>17</v>
      </c>
      <c r="G124" s="5" t="s">
        <v>406</v>
      </c>
      <c r="L124" s="5">
        <v>72</v>
      </c>
      <c r="M124" s="5">
        <v>14</v>
      </c>
      <c r="P124" s="13">
        <v>0.495</v>
      </c>
      <c r="Q124" s="13">
        <v>3.2000000000000001E-2</v>
      </c>
      <c r="R124" s="13">
        <v>0.88900000000000001</v>
      </c>
      <c r="S124" s="13">
        <v>0.69157533488320599</v>
      </c>
    </row>
    <row r="125" spans="1:19" x14ac:dyDescent="0.2">
      <c r="A125" s="7" t="s">
        <v>19</v>
      </c>
      <c r="B125" t="s">
        <v>20</v>
      </c>
      <c r="C125" t="s">
        <v>21</v>
      </c>
      <c r="D125"/>
      <c r="E125" s="5" t="s">
        <v>17</v>
      </c>
      <c r="G125" s="5" t="s">
        <v>406</v>
      </c>
      <c r="L125" s="5">
        <v>96</v>
      </c>
      <c r="M125" s="5">
        <v>96</v>
      </c>
      <c r="P125" s="13">
        <v>0.371</v>
      </c>
      <c r="Q125" s="13">
        <v>0.71899999999999997</v>
      </c>
      <c r="R125" s="13">
        <v>0.3</v>
      </c>
      <c r="S125" s="13">
        <v>8.6460755009409904E-2</v>
      </c>
    </row>
    <row r="126" spans="1:19" x14ac:dyDescent="0.2">
      <c r="A126" s="7" t="s">
        <v>343</v>
      </c>
      <c r="B126" t="s">
        <v>20</v>
      </c>
      <c r="C126" t="s">
        <v>155</v>
      </c>
      <c r="D126"/>
      <c r="E126" s="5" t="s">
        <v>17</v>
      </c>
      <c r="G126" s="5" t="s">
        <v>406</v>
      </c>
      <c r="L126" s="5">
        <v>9</v>
      </c>
      <c r="M126" s="5">
        <v>1</v>
      </c>
      <c r="P126" s="13">
        <v>0.55700000000000005</v>
      </c>
      <c r="Q126" s="13">
        <v>0.25800000000000001</v>
      </c>
      <c r="R126" s="13">
        <v>0.43</v>
      </c>
      <c r="S126" s="13">
        <v>0.55297243440717303</v>
      </c>
    </row>
    <row r="127" spans="1:19" x14ac:dyDescent="0.2">
      <c r="A127" s="7" t="s">
        <v>154</v>
      </c>
      <c r="B127" t="s">
        <v>20</v>
      </c>
      <c r="C127" t="s">
        <v>155</v>
      </c>
      <c r="D127"/>
      <c r="E127" s="5" t="s">
        <v>17</v>
      </c>
      <c r="G127" s="5" t="s">
        <v>406</v>
      </c>
      <c r="L127" s="5">
        <v>9</v>
      </c>
      <c r="M127" s="5">
        <v>9</v>
      </c>
      <c r="P127" s="13">
        <v>0.55700000000000005</v>
      </c>
      <c r="Q127" s="13">
        <v>0.25800000000000001</v>
      </c>
      <c r="R127" s="13">
        <v>0.43</v>
      </c>
      <c r="S127" s="13">
        <v>0.55297243440717303</v>
      </c>
    </row>
    <row r="128" spans="1:19" x14ac:dyDescent="0.2">
      <c r="A128" s="7" t="s">
        <v>165</v>
      </c>
      <c r="B128" t="s">
        <v>20</v>
      </c>
      <c r="C128" t="s">
        <v>166</v>
      </c>
      <c r="D128"/>
      <c r="E128" s="5" t="s">
        <v>17</v>
      </c>
      <c r="G128" s="5" t="s">
        <v>406</v>
      </c>
      <c r="L128" s="5">
        <v>62</v>
      </c>
      <c r="M128" s="5">
        <v>15</v>
      </c>
      <c r="P128" s="13">
        <v>0.20699999999999999</v>
      </c>
      <c r="Q128" s="13">
        <v>0.12</v>
      </c>
      <c r="R128" s="13">
        <v>0.252</v>
      </c>
      <c r="S128" s="13">
        <v>0.53802723347725001</v>
      </c>
    </row>
    <row r="129" spans="1:19" x14ac:dyDescent="0.2">
      <c r="A129" s="7" t="s">
        <v>534</v>
      </c>
      <c r="B129" t="s">
        <v>20</v>
      </c>
      <c r="C129" t="s">
        <v>535</v>
      </c>
      <c r="D129"/>
      <c r="E129" s="5" t="s">
        <v>17</v>
      </c>
      <c r="G129" s="5" t="s">
        <v>406</v>
      </c>
      <c r="L129" s="5">
        <v>60</v>
      </c>
      <c r="M129" s="5">
        <v>59</v>
      </c>
      <c r="P129" s="13">
        <v>3.4000000000000002E-2</v>
      </c>
      <c r="Q129" s="13">
        <v>0.92900000000000005</v>
      </c>
      <c r="R129" s="13">
        <v>0.22</v>
      </c>
      <c r="S129" s="17">
        <v>0.27720580095206399</v>
      </c>
    </row>
    <row r="130" spans="1:19" x14ac:dyDescent="0.2">
      <c r="A130" s="7" t="s">
        <v>556</v>
      </c>
      <c r="B130" t="s">
        <v>20</v>
      </c>
      <c r="C130" t="s">
        <v>78</v>
      </c>
      <c r="D130"/>
      <c r="E130" s="5" t="s">
        <v>17</v>
      </c>
      <c r="G130" s="5" t="s">
        <v>406</v>
      </c>
      <c r="L130" s="5">
        <v>22</v>
      </c>
      <c r="M130" s="5">
        <v>4</v>
      </c>
      <c r="P130" s="13">
        <v>0.495</v>
      </c>
      <c r="Q130" s="13">
        <v>3.2000000000000001E-2</v>
      </c>
      <c r="R130" s="13">
        <v>0.88900000000000001</v>
      </c>
      <c r="S130" s="17">
        <v>0.69157533488320599</v>
      </c>
    </row>
    <row r="131" spans="1:19" x14ac:dyDescent="0.2">
      <c r="A131" s="7" t="s">
        <v>648</v>
      </c>
      <c r="B131" t="s">
        <v>20</v>
      </c>
      <c r="C131" t="s">
        <v>649</v>
      </c>
      <c r="D131"/>
      <c r="E131" s="5" t="s">
        <v>17</v>
      </c>
      <c r="G131" s="5" t="s">
        <v>406</v>
      </c>
      <c r="L131" s="5">
        <v>46</v>
      </c>
      <c r="M131" s="5">
        <v>10</v>
      </c>
      <c r="P131" s="13">
        <v>0.115</v>
      </c>
      <c r="Q131" s="13">
        <v>0.57899999999999996</v>
      </c>
      <c r="R131" s="13">
        <v>0.29499999999999998</v>
      </c>
      <c r="S131" s="17">
        <v>0.49153105280637599</v>
      </c>
    </row>
    <row r="132" spans="1:19" x14ac:dyDescent="0.2">
      <c r="A132" s="7" t="s">
        <v>650</v>
      </c>
      <c r="B132" t="s">
        <v>20</v>
      </c>
      <c r="C132" t="s">
        <v>649</v>
      </c>
      <c r="D132"/>
      <c r="E132" s="5" t="s">
        <v>17</v>
      </c>
      <c r="G132" s="5" t="s">
        <v>406</v>
      </c>
      <c r="L132" s="5">
        <v>24</v>
      </c>
      <c r="M132" s="5">
        <v>5</v>
      </c>
      <c r="P132" s="13">
        <v>0.115</v>
      </c>
      <c r="Q132" s="13">
        <v>0.57899999999999996</v>
      </c>
      <c r="R132" s="13">
        <v>0.29499999999999998</v>
      </c>
      <c r="S132" s="17">
        <v>0.49153105280637599</v>
      </c>
    </row>
    <row r="133" spans="1:19" x14ac:dyDescent="0.2">
      <c r="A133" s="7" t="s">
        <v>753</v>
      </c>
      <c r="B133" t="s">
        <v>20</v>
      </c>
      <c r="C133" t="s">
        <v>78</v>
      </c>
      <c r="D133"/>
      <c r="E133" s="5" t="s">
        <v>17</v>
      </c>
      <c r="G133" s="5" t="s">
        <v>406</v>
      </c>
      <c r="L133" s="5">
        <v>22</v>
      </c>
      <c r="M133" s="5">
        <v>5</v>
      </c>
      <c r="P133" s="13">
        <v>0.495</v>
      </c>
      <c r="Q133" s="13">
        <v>3.2000000000000001E-2</v>
      </c>
      <c r="R133" s="13">
        <v>0.88900000000000001</v>
      </c>
      <c r="S133" s="17">
        <v>0.69157533488320599</v>
      </c>
    </row>
    <row r="134" spans="1:19" x14ac:dyDescent="0.2">
      <c r="A134" s="7" t="s">
        <v>472</v>
      </c>
      <c r="B134" t="s">
        <v>20</v>
      </c>
      <c r="C134" t="s">
        <v>155</v>
      </c>
      <c r="D134"/>
      <c r="E134" s="5" t="s">
        <v>17</v>
      </c>
      <c r="J134" s="5" t="s">
        <v>26</v>
      </c>
      <c r="L134" s="5">
        <v>75</v>
      </c>
      <c r="M134" s="5">
        <v>74</v>
      </c>
      <c r="P134" s="13">
        <v>0.55700000000000005</v>
      </c>
      <c r="Q134" s="13">
        <v>0.25800000000000001</v>
      </c>
      <c r="R134" s="13">
        <v>0.43</v>
      </c>
      <c r="S134" s="17">
        <v>0.55297243440717303</v>
      </c>
    </row>
    <row r="135" spans="1:19" x14ac:dyDescent="0.2">
      <c r="A135" s="7" t="s">
        <v>653</v>
      </c>
      <c r="B135" t="s">
        <v>20</v>
      </c>
      <c r="C135" s="73" t="s">
        <v>1351</v>
      </c>
      <c r="E135" s="5" t="s">
        <v>17</v>
      </c>
      <c r="F135" s="39" t="s">
        <v>25</v>
      </c>
      <c r="J135" s="5" t="s">
        <v>26</v>
      </c>
      <c r="L135" s="5">
        <v>36</v>
      </c>
      <c r="M135" s="5">
        <v>36</v>
      </c>
      <c r="P135" s="15">
        <v>0.51</v>
      </c>
      <c r="Q135" s="15">
        <v>0.48449999999999999</v>
      </c>
      <c r="R135" s="13">
        <v>0.22450000000000001</v>
      </c>
      <c r="S135" s="17">
        <v>0.57112808590722897</v>
      </c>
    </row>
    <row r="136" spans="1:19" x14ac:dyDescent="0.2">
      <c r="A136" s="7" t="s">
        <v>698</v>
      </c>
      <c r="B136" t="s">
        <v>20</v>
      </c>
      <c r="C136" t="s">
        <v>78</v>
      </c>
      <c r="D136"/>
      <c r="E136" s="5" t="s">
        <v>17</v>
      </c>
      <c r="F136" s="39" t="s">
        <v>25</v>
      </c>
      <c r="J136" s="5" t="s">
        <v>26</v>
      </c>
      <c r="L136" s="5">
        <v>268</v>
      </c>
      <c r="M136" s="5">
        <v>268</v>
      </c>
      <c r="P136" s="13">
        <v>0.495</v>
      </c>
      <c r="Q136" s="13">
        <v>3.2000000000000001E-2</v>
      </c>
      <c r="R136" s="13">
        <v>0.88900000000000001</v>
      </c>
      <c r="S136" s="17">
        <v>0.69157533488320599</v>
      </c>
    </row>
    <row r="137" spans="1:19" x14ac:dyDescent="0.2">
      <c r="A137" s="7" t="s">
        <v>299</v>
      </c>
      <c r="B137" t="s">
        <v>20</v>
      </c>
      <c r="C137" s="73" t="s">
        <v>300</v>
      </c>
      <c r="E137" s="5" t="s">
        <v>17</v>
      </c>
      <c r="F137" t="s">
        <v>25</v>
      </c>
      <c r="H137" s="5" t="s">
        <v>39</v>
      </c>
      <c r="I137" s="5" t="s">
        <v>236</v>
      </c>
      <c r="L137" s="68">
        <v>10</v>
      </c>
      <c r="M137" s="67"/>
      <c r="P137" s="15">
        <v>0.33</v>
      </c>
      <c r="Q137" s="15">
        <v>0.61499999999999999</v>
      </c>
      <c r="R137" s="13">
        <v>0.4</v>
      </c>
      <c r="S137" s="13">
        <v>0.236244879884866</v>
      </c>
    </row>
    <row r="138" spans="1:19" x14ac:dyDescent="0.2">
      <c r="A138" s="7" t="s">
        <v>568</v>
      </c>
      <c r="B138" t="s">
        <v>55</v>
      </c>
      <c r="C138" t="s">
        <v>569</v>
      </c>
      <c r="D138"/>
      <c r="E138" s="5" t="s">
        <v>17</v>
      </c>
      <c r="G138" s="5" t="s">
        <v>406</v>
      </c>
      <c r="L138" s="5">
        <v>8</v>
      </c>
      <c r="M138" s="5">
        <v>8</v>
      </c>
      <c r="P138" s="13">
        <v>0.95699999999999996</v>
      </c>
      <c r="Q138" s="13">
        <v>0.33300000000000002</v>
      </c>
      <c r="R138" s="13">
        <v>0.95199999999999996</v>
      </c>
      <c r="S138" s="17">
        <v>0.61131407062991205</v>
      </c>
    </row>
    <row r="139" spans="1:19" x14ac:dyDescent="0.2">
      <c r="A139" s="7" t="s">
        <v>667</v>
      </c>
      <c r="B139" t="s">
        <v>55</v>
      </c>
      <c r="C139" t="s">
        <v>569</v>
      </c>
      <c r="D139"/>
      <c r="E139" s="5" t="s">
        <v>17</v>
      </c>
      <c r="G139" s="5" t="s">
        <v>406</v>
      </c>
      <c r="L139" s="5">
        <v>5</v>
      </c>
      <c r="M139" s="5">
        <v>5</v>
      </c>
      <c r="P139" s="13">
        <v>0.95699999999999996</v>
      </c>
      <c r="Q139" s="13">
        <v>0.33300000000000002</v>
      </c>
      <c r="R139" s="13">
        <v>0.95199999999999996</v>
      </c>
      <c r="S139" s="17">
        <v>0.61131407062991205</v>
      </c>
    </row>
    <row r="140" spans="1:19" x14ac:dyDescent="0.2">
      <c r="A140" s="7" t="s">
        <v>672</v>
      </c>
      <c r="B140" t="s">
        <v>55</v>
      </c>
      <c r="C140" t="s">
        <v>56</v>
      </c>
      <c r="D140"/>
      <c r="E140" s="5" t="s">
        <v>17</v>
      </c>
      <c r="F140" s="39" t="s">
        <v>25</v>
      </c>
      <c r="G140" s="5" t="s">
        <v>406</v>
      </c>
      <c r="L140" s="5">
        <v>170</v>
      </c>
      <c r="M140" s="5">
        <v>170</v>
      </c>
      <c r="P140" s="13">
        <v>0.82099999999999995</v>
      </c>
      <c r="Q140" s="13">
        <v>0.34599999999999997</v>
      </c>
      <c r="R140" s="13">
        <v>0.115</v>
      </c>
      <c r="S140" s="17">
        <v>0.62482010406288002</v>
      </c>
    </row>
    <row r="141" spans="1:19" x14ac:dyDescent="0.2">
      <c r="A141" s="7" t="s">
        <v>260</v>
      </c>
      <c r="B141" t="s">
        <v>55</v>
      </c>
      <c r="C141" t="s">
        <v>56</v>
      </c>
      <c r="D141"/>
      <c r="E141" s="5" t="s">
        <v>17</v>
      </c>
      <c r="J141" s="5" t="s">
        <v>26</v>
      </c>
      <c r="L141" s="5">
        <v>124</v>
      </c>
      <c r="M141" s="5">
        <v>31</v>
      </c>
      <c r="P141" s="13">
        <v>0.82099999999999995</v>
      </c>
      <c r="Q141" s="13">
        <v>0.34599999999999997</v>
      </c>
      <c r="R141" s="13">
        <v>0.115</v>
      </c>
      <c r="S141" s="13">
        <v>0.62482010406288002</v>
      </c>
    </row>
    <row r="142" spans="1:19" x14ac:dyDescent="0.2">
      <c r="A142" s="7" t="s">
        <v>54</v>
      </c>
      <c r="B142" t="s">
        <v>55</v>
      </c>
      <c r="C142" t="s">
        <v>56</v>
      </c>
      <c r="D142"/>
      <c r="E142" s="5" t="s">
        <v>17</v>
      </c>
      <c r="J142" s="5" t="s">
        <v>26</v>
      </c>
      <c r="L142" s="5">
        <v>110</v>
      </c>
      <c r="M142" s="5">
        <v>11</v>
      </c>
      <c r="P142" s="13">
        <v>0.82099999999999995</v>
      </c>
      <c r="Q142" s="13">
        <v>0.34599999999999997</v>
      </c>
      <c r="R142" s="13">
        <v>0.115</v>
      </c>
      <c r="S142" s="13">
        <v>0.62482010406288002</v>
      </c>
    </row>
    <row r="143" spans="1:19" x14ac:dyDescent="0.2">
      <c r="A143" s="7" t="s">
        <v>116</v>
      </c>
      <c r="B143" t="s">
        <v>55</v>
      </c>
      <c r="C143" s="73" t="s">
        <v>56</v>
      </c>
      <c r="E143" s="5" t="s">
        <v>17</v>
      </c>
      <c r="F143" s="39" t="s">
        <v>25</v>
      </c>
      <c r="J143" s="5" t="s">
        <v>26</v>
      </c>
      <c r="L143" s="5">
        <v>75</v>
      </c>
      <c r="M143" s="5">
        <v>74</v>
      </c>
      <c r="P143" s="15">
        <v>0.82</v>
      </c>
      <c r="Q143" s="15">
        <v>0.34599999999999997</v>
      </c>
      <c r="R143" s="13">
        <v>0.115</v>
      </c>
      <c r="S143" s="13">
        <v>0.62482010406288002</v>
      </c>
    </row>
    <row r="144" spans="1:19" x14ac:dyDescent="0.2">
      <c r="A144" s="7" t="s">
        <v>564</v>
      </c>
      <c r="B144" t="s">
        <v>565</v>
      </c>
      <c r="C144" t="s">
        <v>566</v>
      </c>
      <c r="D144"/>
      <c r="E144" s="5" t="s">
        <v>17</v>
      </c>
      <c r="G144" s="5" t="s">
        <v>406</v>
      </c>
      <c r="L144" s="5">
        <v>24</v>
      </c>
      <c r="M144" s="5">
        <v>24</v>
      </c>
      <c r="P144" s="13">
        <v>0.13200000000000001</v>
      </c>
      <c r="Q144" s="13">
        <v>0.49199999999999999</v>
      </c>
      <c r="R144" s="13">
        <v>9.1999999999999998E-2</v>
      </c>
      <c r="S144" s="17">
        <v>0.26170707406177302</v>
      </c>
    </row>
    <row r="145" spans="1:19" x14ac:dyDescent="0.2">
      <c r="A145" s="7" t="s">
        <v>529</v>
      </c>
      <c r="B145" t="s">
        <v>530</v>
      </c>
      <c r="C145" s="73" t="s">
        <v>531</v>
      </c>
      <c r="E145" s="5" t="s">
        <v>17</v>
      </c>
      <c r="F145" s="39" t="s">
        <v>25</v>
      </c>
      <c r="G145" s="5" t="s">
        <v>406</v>
      </c>
      <c r="L145" s="68"/>
      <c r="M145" s="67"/>
      <c r="P145" s="15">
        <v>0.22</v>
      </c>
      <c r="Q145" s="15">
        <v>0.93200000000000005</v>
      </c>
      <c r="R145" s="13">
        <v>0.153</v>
      </c>
      <c r="S145" s="17">
        <v>0.10760544669545</v>
      </c>
    </row>
    <row r="146" spans="1:19" x14ac:dyDescent="0.2">
      <c r="A146" s="7" t="s">
        <v>251</v>
      </c>
      <c r="B146" t="s">
        <v>145</v>
      </c>
      <c r="C146" s="7">
        <v>99227</v>
      </c>
      <c r="D146" s="75"/>
      <c r="E146" s="5" t="s">
        <v>17</v>
      </c>
      <c r="G146" s="5" t="s">
        <v>406</v>
      </c>
      <c r="L146" s="5">
        <v>7</v>
      </c>
      <c r="M146" s="5">
        <v>7</v>
      </c>
      <c r="P146" s="17">
        <v>0.91</v>
      </c>
      <c r="Q146" s="17">
        <v>0.376</v>
      </c>
      <c r="R146" s="17">
        <v>0.505</v>
      </c>
      <c r="S146" s="13">
        <v>0.72058009520646504</v>
      </c>
    </row>
    <row r="147" spans="1:19" x14ac:dyDescent="0.2">
      <c r="A147" s="7" t="s">
        <v>562</v>
      </c>
      <c r="B147" t="s">
        <v>145</v>
      </c>
      <c r="C147" s="73" t="s">
        <v>563</v>
      </c>
      <c r="E147" s="5" t="s">
        <v>17</v>
      </c>
      <c r="F147" s="39" t="s">
        <v>25</v>
      </c>
      <c r="G147" s="5" t="s">
        <v>406</v>
      </c>
      <c r="L147" s="67"/>
      <c r="M147" s="67">
        <v>8</v>
      </c>
      <c r="P147" s="15">
        <v>0.91</v>
      </c>
      <c r="Q147" s="15">
        <v>0.376</v>
      </c>
      <c r="R147" s="13">
        <v>0.505</v>
      </c>
      <c r="S147" s="17">
        <v>0.72058009520646504</v>
      </c>
    </row>
    <row r="148" spans="1:19" x14ac:dyDescent="0.2">
      <c r="A148" s="7" t="s">
        <v>367</v>
      </c>
      <c r="B148" t="s">
        <v>145</v>
      </c>
      <c r="C148" s="73" t="s">
        <v>368</v>
      </c>
      <c r="E148" s="5" t="s">
        <v>17</v>
      </c>
      <c r="F148" t="s">
        <v>25</v>
      </c>
      <c r="J148" s="5" t="s">
        <v>26</v>
      </c>
      <c r="L148" s="67">
        <v>154</v>
      </c>
      <c r="M148" s="67"/>
      <c r="P148" s="15">
        <v>0.99</v>
      </c>
      <c r="Q148" s="15">
        <v>0.42699999999999999</v>
      </c>
      <c r="R148" s="13">
        <v>0.35899999999999999</v>
      </c>
      <c r="S148" s="13">
        <v>0.46285840805933698</v>
      </c>
    </row>
    <row r="149" spans="1:19" x14ac:dyDescent="0.2">
      <c r="A149" s="7" t="s">
        <v>144</v>
      </c>
      <c r="B149" t="s">
        <v>145</v>
      </c>
      <c r="C149" t="s">
        <v>146</v>
      </c>
      <c r="D149"/>
      <c r="E149" s="5" t="s">
        <v>17</v>
      </c>
      <c r="J149" s="5" t="s">
        <v>26</v>
      </c>
      <c r="L149" s="5">
        <v>71</v>
      </c>
      <c r="M149" s="5">
        <v>69</v>
      </c>
      <c r="P149" s="13">
        <v>0.94299999999999995</v>
      </c>
      <c r="Q149" s="13">
        <v>0.57699999999999996</v>
      </c>
      <c r="R149" s="13">
        <v>0.51900000000000002</v>
      </c>
      <c r="S149" s="13">
        <v>0.54433742942543994</v>
      </c>
    </row>
    <row r="150" spans="1:19" x14ac:dyDescent="0.2">
      <c r="A150" s="7" t="s">
        <v>685</v>
      </c>
      <c r="B150" t="s">
        <v>145</v>
      </c>
      <c r="C150" t="s">
        <v>686</v>
      </c>
      <c r="D150"/>
      <c r="E150" s="5" t="s">
        <v>17</v>
      </c>
      <c r="J150" s="5" t="s">
        <v>26</v>
      </c>
      <c r="L150" s="5">
        <v>156</v>
      </c>
      <c r="M150" s="5">
        <v>154</v>
      </c>
      <c r="P150" s="13">
        <v>0.879</v>
      </c>
      <c r="Q150" s="13">
        <v>0.77100000000000002</v>
      </c>
      <c r="R150" s="13">
        <v>0.4</v>
      </c>
      <c r="S150" s="17">
        <v>0.399535038193291</v>
      </c>
    </row>
    <row r="151" spans="1:19" x14ac:dyDescent="0.2">
      <c r="A151" s="7" t="s">
        <v>402</v>
      </c>
      <c r="B151" t="s">
        <v>103</v>
      </c>
      <c r="C151" t="s">
        <v>104</v>
      </c>
      <c r="D151"/>
      <c r="E151" s="5" t="s">
        <v>17</v>
      </c>
      <c r="G151" s="5" t="s">
        <v>406</v>
      </c>
      <c r="L151" s="5">
        <v>16</v>
      </c>
      <c r="M151" s="5">
        <v>16</v>
      </c>
      <c r="P151" s="13">
        <v>0.69899999999999995</v>
      </c>
      <c r="Q151" s="13">
        <v>7.0999999999999994E-2</v>
      </c>
      <c r="R151" s="13">
        <v>0.94699999999999995</v>
      </c>
      <c r="S151" s="17">
        <v>0.90844680615520801</v>
      </c>
    </row>
    <row r="152" spans="1:19" x14ac:dyDescent="0.2">
      <c r="A152" s="7" t="s">
        <v>482</v>
      </c>
      <c r="B152" t="s">
        <v>103</v>
      </c>
      <c r="C152" t="s">
        <v>132</v>
      </c>
      <c r="D152"/>
      <c r="E152" s="5" t="s">
        <v>17</v>
      </c>
      <c r="G152" s="5" t="s">
        <v>406</v>
      </c>
      <c r="L152" s="5">
        <v>24</v>
      </c>
      <c r="M152" s="5">
        <v>24</v>
      </c>
      <c r="P152" s="13">
        <v>0.63500000000000001</v>
      </c>
      <c r="Q152" s="13">
        <v>0.26800000000000002</v>
      </c>
      <c r="R152" s="13">
        <v>0.86</v>
      </c>
      <c r="S152" s="17">
        <v>0.85099081146905697</v>
      </c>
    </row>
    <row r="153" spans="1:19" x14ac:dyDescent="0.2">
      <c r="A153" s="7" t="s">
        <v>492</v>
      </c>
      <c r="B153" t="s">
        <v>103</v>
      </c>
      <c r="C153" t="s">
        <v>162</v>
      </c>
      <c r="D153"/>
      <c r="E153" s="5" t="s">
        <v>17</v>
      </c>
      <c r="F153" s="39" t="s">
        <v>25</v>
      </c>
      <c r="G153" s="5" t="s">
        <v>406</v>
      </c>
      <c r="L153" s="5">
        <v>55</v>
      </c>
      <c r="M153" s="5">
        <v>55</v>
      </c>
      <c r="P153" s="13">
        <v>0.69799999999999995</v>
      </c>
      <c r="Q153" s="13">
        <v>0.28999999999999998</v>
      </c>
      <c r="R153" s="13">
        <v>0.60299999999999998</v>
      </c>
      <c r="S153" s="17">
        <v>0.73475035979187397</v>
      </c>
    </row>
    <row r="154" spans="1:19" x14ac:dyDescent="0.2">
      <c r="A154" s="7" t="s">
        <v>293</v>
      </c>
      <c r="B154" t="s">
        <v>103</v>
      </c>
      <c r="C154" t="s">
        <v>294</v>
      </c>
      <c r="D154"/>
      <c r="E154" s="5" t="s">
        <v>17</v>
      </c>
      <c r="F154" s="39" t="s">
        <v>25</v>
      </c>
      <c r="G154" s="5" t="s">
        <v>406</v>
      </c>
      <c r="L154" s="5">
        <v>108</v>
      </c>
      <c r="M154" s="5">
        <v>108</v>
      </c>
      <c r="P154" s="13">
        <v>0.746</v>
      </c>
      <c r="Q154" s="13">
        <v>0.152</v>
      </c>
      <c r="R154" s="13">
        <v>0.88200000000000001</v>
      </c>
      <c r="S154" s="13">
        <v>0.84722683493855799</v>
      </c>
    </row>
    <row r="155" spans="1:19" x14ac:dyDescent="0.2">
      <c r="A155" s="7" t="s">
        <v>131</v>
      </c>
      <c r="B155" t="s">
        <v>103</v>
      </c>
      <c r="C155" s="73" t="s">
        <v>132</v>
      </c>
      <c r="E155" s="5" t="s">
        <v>17</v>
      </c>
      <c r="F155" s="39" t="s">
        <v>25</v>
      </c>
      <c r="G155" s="5" t="s">
        <v>406</v>
      </c>
      <c r="L155" s="5">
        <v>27</v>
      </c>
      <c r="M155" s="5">
        <v>27</v>
      </c>
      <c r="P155" s="15">
        <v>0.64</v>
      </c>
      <c r="Q155" s="15">
        <v>0.26800000000000002</v>
      </c>
      <c r="R155" s="13">
        <v>0.86</v>
      </c>
      <c r="S155" s="13">
        <v>0.85099081146905697</v>
      </c>
    </row>
    <row r="156" spans="1:19" x14ac:dyDescent="0.2">
      <c r="A156" s="7" t="s">
        <v>339</v>
      </c>
      <c r="B156" t="s">
        <v>103</v>
      </c>
      <c r="C156" t="s">
        <v>294</v>
      </c>
      <c r="D156"/>
      <c r="E156" s="5" t="s">
        <v>17</v>
      </c>
      <c r="G156" s="5" t="s">
        <v>406</v>
      </c>
      <c r="L156" s="5">
        <v>15</v>
      </c>
      <c r="M156" s="5">
        <v>11</v>
      </c>
      <c r="P156" s="13">
        <v>0.746</v>
      </c>
      <c r="Q156" s="13">
        <v>0.152</v>
      </c>
      <c r="R156" s="13">
        <v>0.88200000000000001</v>
      </c>
      <c r="S156" s="13">
        <v>0.84722683493855799</v>
      </c>
    </row>
    <row r="157" spans="1:19" x14ac:dyDescent="0.2">
      <c r="A157" s="7" t="s">
        <v>161</v>
      </c>
      <c r="B157" t="s">
        <v>103</v>
      </c>
      <c r="C157" s="73" t="s">
        <v>162</v>
      </c>
      <c r="E157" s="5" t="s">
        <v>17</v>
      </c>
      <c r="F157" s="39" t="s">
        <v>25</v>
      </c>
      <c r="G157" s="5" t="s">
        <v>406</v>
      </c>
      <c r="L157" s="5">
        <v>137</v>
      </c>
      <c r="M157" s="5">
        <v>136</v>
      </c>
      <c r="P157" s="15">
        <v>0.7</v>
      </c>
      <c r="Q157" s="15">
        <v>0.28999999999999998</v>
      </c>
      <c r="R157" s="13">
        <v>0.60299999999999998</v>
      </c>
      <c r="S157" s="13">
        <v>0.73475035979187397</v>
      </c>
    </row>
    <row r="158" spans="1:19" x14ac:dyDescent="0.2">
      <c r="A158" s="7" t="s">
        <v>102</v>
      </c>
      <c r="B158" t="s">
        <v>103</v>
      </c>
      <c r="C158" t="s">
        <v>104</v>
      </c>
      <c r="D158"/>
      <c r="E158" s="5" t="s">
        <v>17</v>
      </c>
      <c r="F158" t="s">
        <v>25</v>
      </c>
      <c r="G158" s="5" t="s">
        <v>406</v>
      </c>
      <c r="H158" s="5" t="s">
        <v>39</v>
      </c>
      <c r="L158" s="5">
        <v>36</v>
      </c>
      <c r="M158" s="5">
        <v>36</v>
      </c>
      <c r="P158" s="13">
        <v>0.69899999999999995</v>
      </c>
      <c r="Q158" s="13">
        <v>7.0999999999999994E-2</v>
      </c>
      <c r="R158" s="13">
        <v>0.94699999999999995</v>
      </c>
      <c r="S158" s="13">
        <v>0.90844680615520801</v>
      </c>
    </row>
    <row r="159" spans="1:19" x14ac:dyDescent="0.2">
      <c r="A159" s="7" t="s">
        <v>261</v>
      </c>
      <c r="B159" t="s">
        <v>103</v>
      </c>
      <c r="C159" t="s">
        <v>175</v>
      </c>
      <c r="D159"/>
      <c r="E159" s="5" t="s">
        <v>17</v>
      </c>
      <c r="G159" s="5" t="s">
        <v>406</v>
      </c>
      <c r="L159" s="5">
        <v>20</v>
      </c>
      <c r="M159" s="5">
        <v>20</v>
      </c>
      <c r="P159" s="13">
        <v>0.85599999999999998</v>
      </c>
      <c r="Q159" s="13">
        <v>2.1000000000000001E-2</v>
      </c>
      <c r="R159" s="13">
        <v>0.995</v>
      </c>
      <c r="S159" s="13">
        <v>0.79740949850547904</v>
      </c>
    </row>
    <row r="160" spans="1:19" x14ac:dyDescent="0.2">
      <c r="A160" s="7" t="s">
        <v>369</v>
      </c>
      <c r="B160" t="s">
        <v>103</v>
      </c>
      <c r="C160" t="s">
        <v>175</v>
      </c>
      <c r="D160"/>
      <c r="E160" s="5" t="s">
        <v>17</v>
      </c>
      <c r="G160" s="5" t="s">
        <v>406</v>
      </c>
      <c r="L160" s="5">
        <v>20</v>
      </c>
      <c r="M160" s="5">
        <v>18</v>
      </c>
      <c r="P160" s="13">
        <v>0.85599999999999998</v>
      </c>
      <c r="Q160" s="13">
        <v>2.1000000000000001E-2</v>
      </c>
      <c r="R160" s="13">
        <v>0.995</v>
      </c>
      <c r="S160" s="13">
        <v>0.79740949850547904</v>
      </c>
    </row>
    <row r="161" spans="1:23" x14ac:dyDescent="0.2">
      <c r="A161" s="7" t="s">
        <v>187</v>
      </c>
      <c r="B161" t="s">
        <v>103</v>
      </c>
      <c r="C161" t="s">
        <v>188</v>
      </c>
      <c r="D161"/>
      <c r="E161" s="5" t="s">
        <v>17</v>
      </c>
      <c r="G161" s="5" t="s">
        <v>406</v>
      </c>
      <c r="L161" s="5">
        <v>148</v>
      </c>
      <c r="M161" s="5">
        <v>148</v>
      </c>
      <c r="P161" s="13">
        <v>0.38200000000000001</v>
      </c>
      <c r="Q161" s="13">
        <v>0.58499999999999996</v>
      </c>
      <c r="R161" s="13">
        <v>0.64600000000000002</v>
      </c>
      <c r="S161" s="13">
        <v>0.639433189416583</v>
      </c>
    </row>
    <row r="162" spans="1:23" x14ac:dyDescent="0.2">
      <c r="A162" s="7" t="s">
        <v>110</v>
      </c>
      <c r="B162" t="s">
        <v>103</v>
      </c>
      <c r="C162" t="s">
        <v>111</v>
      </c>
      <c r="D162"/>
      <c r="E162" s="5" t="s">
        <v>17</v>
      </c>
      <c r="G162" s="5" t="s">
        <v>406</v>
      </c>
      <c r="L162" s="68">
        <v>259</v>
      </c>
      <c r="M162" s="67"/>
      <c r="P162" s="13">
        <v>0.92100000000000004</v>
      </c>
      <c r="Q162" s="13">
        <v>0.26</v>
      </c>
      <c r="R162" s="13">
        <v>0.223</v>
      </c>
      <c r="S162" s="13">
        <v>0.40108491088232001</v>
      </c>
    </row>
    <row r="163" spans="1:23" x14ac:dyDescent="0.2">
      <c r="A163" s="7" t="s">
        <v>494</v>
      </c>
      <c r="B163" t="s">
        <v>103</v>
      </c>
      <c r="C163" s="73" t="s">
        <v>495</v>
      </c>
      <c r="E163" s="5" t="s">
        <v>17</v>
      </c>
      <c r="F163" s="39" t="s">
        <v>25</v>
      </c>
      <c r="G163" s="5" t="s">
        <v>406</v>
      </c>
      <c r="L163" s="5">
        <v>204</v>
      </c>
      <c r="M163" s="5">
        <v>203</v>
      </c>
      <c r="P163" s="15">
        <v>0.08</v>
      </c>
      <c r="Q163" s="15">
        <v>0.89500000000000002</v>
      </c>
      <c r="R163" s="13">
        <v>0.746</v>
      </c>
      <c r="S163" s="17">
        <v>0.42986826082143198</v>
      </c>
    </row>
    <row r="164" spans="1:23" x14ac:dyDescent="0.2">
      <c r="A164" s="7" t="s">
        <v>527</v>
      </c>
      <c r="B164" t="s">
        <v>103</v>
      </c>
      <c r="C164" s="73" t="s">
        <v>195</v>
      </c>
      <c r="E164" s="5" t="s">
        <v>17</v>
      </c>
      <c r="F164" s="39" t="s">
        <v>25</v>
      </c>
      <c r="G164" s="5" t="s">
        <v>406</v>
      </c>
      <c r="L164" s="5">
        <v>224</v>
      </c>
      <c r="M164" s="5">
        <v>223</v>
      </c>
      <c r="P164" s="15">
        <v>0.72</v>
      </c>
      <c r="Q164" s="15">
        <v>0.16900000000000001</v>
      </c>
      <c r="R164" s="13">
        <v>0.98099999999999998</v>
      </c>
      <c r="S164" s="17">
        <v>0.84479132071294105</v>
      </c>
    </row>
    <row r="165" spans="1:23" x14ac:dyDescent="0.2">
      <c r="A165" s="7" t="s">
        <v>586</v>
      </c>
      <c r="B165" t="s">
        <v>103</v>
      </c>
      <c r="C165" t="s">
        <v>195</v>
      </c>
      <c r="D165"/>
      <c r="E165" s="5" t="s">
        <v>17</v>
      </c>
      <c r="G165" s="5" t="s">
        <v>406</v>
      </c>
      <c r="L165" s="5">
        <v>16</v>
      </c>
      <c r="M165" s="5">
        <v>16</v>
      </c>
      <c r="P165" s="13">
        <v>0.72299999999999998</v>
      </c>
      <c r="Q165" s="13">
        <v>0.16900000000000001</v>
      </c>
      <c r="R165" s="13">
        <v>0.98099999999999998</v>
      </c>
      <c r="S165" s="17">
        <v>0.84479132071294105</v>
      </c>
    </row>
    <row r="166" spans="1:23" x14ac:dyDescent="0.2">
      <c r="A166" s="7" t="s">
        <v>587</v>
      </c>
      <c r="B166" t="s">
        <v>103</v>
      </c>
      <c r="C166" t="s">
        <v>195</v>
      </c>
      <c r="D166"/>
      <c r="E166" s="5" t="s">
        <v>17</v>
      </c>
      <c r="G166" s="5" t="s">
        <v>406</v>
      </c>
      <c r="L166" s="5">
        <v>8</v>
      </c>
      <c r="M166" s="5">
        <v>8</v>
      </c>
      <c r="P166" s="13">
        <v>0.72299999999999998</v>
      </c>
      <c r="Q166" s="13">
        <v>0.16900000000000001</v>
      </c>
      <c r="R166" s="13">
        <v>0.98099999999999998</v>
      </c>
      <c r="S166" s="17">
        <v>0.84479132071294105</v>
      </c>
    </row>
    <row r="167" spans="1:23" x14ac:dyDescent="0.2">
      <c r="A167" s="7" t="s">
        <v>588</v>
      </c>
      <c r="B167" t="s">
        <v>103</v>
      </c>
      <c r="C167" t="s">
        <v>195</v>
      </c>
      <c r="D167"/>
      <c r="E167" s="5" t="s">
        <v>17</v>
      </c>
      <c r="G167" s="5" t="s">
        <v>406</v>
      </c>
      <c r="L167" s="5">
        <v>4</v>
      </c>
      <c r="M167" s="5">
        <v>4</v>
      </c>
      <c r="P167" s="13">
        <v>0.72299999999999998</v>
      </c>
      <c r="Q167" s="13">
        <v>0.16900000000000001</v>
      </c>
      <c r="R167" s="13">
        <v>0.98099999999999998</v>
      </c>
      <c r="S167" s="17">
        <v>0.84479132071294105</v>
      </c>
      <c r="W167" s="21"/>
    </row>
    <row r="168" spans="1:23" x14ac:dyDescent="0.2">
      <c r="A168" s="7" t="s">
        <v>194</v>
      </c>
      <c r="B168" t="s">
        <v>103</v>
      </c>
      <c r="C168" s="73" t="s">
        <v>195</v>
      </c>
      <c r="E168" s="5" t="s">
        <v>17</v>
      </c>
      <c r="F168" s="39" t="s">
        <v>25</v>
      </c>
      <c r="G168" s="5" t="s">
        <v>406</v>
      </c>
      <c r="L168" s="67">
        <v>45</v>
      </c>
      <c r="M168" s="67"/>
      <c r="P168" s="15">
        <v>0.72</v>
      </c>
      <c r="Q168" s="15">
        <v>0.16900000000000001</v>
      </c>
      <c r="R168" s="13">
        <v>0.98099999999999998</v>
      </c>
      <c r="S168" s="13">
        <v>0.84479132071294105</v>
      </c>
    </row>
    <row r="169" spans="1:23" x14ac:dyDescent="0.2">
      <c r="A169" s="7" t="s">
        <v>673</v>
      </c>
      <c r="B169" t="s">
        <v>103</v>
      </c>
      <c r="C169" s="73" t="s">
        <v>162</v>
      </c>
      <c r="E169" s="5" t="s">
        <v>17</v>
      </c>
      <c r="F169" s="39" t="s">
        <v>25</v>
      </c>
      <c r="G169" s="5" t="s">
        <v>406</v>
      </c>
      <c r="L169" s="67">
        <v>94</v>
      </c>
      <c r="M169" s="67"/>
      <c r="P169" s="15">
        <v>0.7</v>
      </c>
      <c r="Q169" s="15">
        <v>0.28999999999999998</v>
      </c>
      <c r="R169" s="13">
        <v>0.60299999999999998</v>
      </c>
      <c r="S169" s="17">
        <v>0.73475035979187397</v>
      </c>
    </row>
    <row r="170" spans="1:23" x14ac:dyDescent="0.2">
      <c r="A170" s="7" t="s">
        <v>407</v>
      </c>
      <c r="B170" t="s">
        <v>103</v>
      </c>
      <c r="C170" t="s">
        <v>408</v>
      </c>
      <c r="D170"/>
      <c r="E170" s="5" t="s">
        <v>17</v>
      </c>
      <c r="J170" s="5" t="s">
        <v>26</v>
      </c>
      <c r="L170" s="5">
        <v>101</v>
      </c>
      <c r="M170" s="5">
        <v>100</v>
      </c>
      <c r="P170" s="13">
        <v>0.438</v>
      </c>
      <c r="Q170" s="13">
        <v>0.39600000000000002</v>
      </c>
      <c r="R170" s="13">
        <v>0.66</v>
      </c>
      <c r="S170" s="17">
        <v>0.66877006531606298</v>
      </c>
    </row>
    <row r="171" spans="1:23" x14ac:dyDescent="0.2">
      <c r="A171" s="7" t="s">
        <v>189</v>
      </c>
      <c r="B171" t="s">
        <v>103</v>
      </c>
      <c r="C171" s="73" t="s">
        <v>162</v>
      </c>
      <c r="E171" s="5" t="s">
        <v>17</v>
      </c>
      <c r="F171" s="39" t="s">
        <v>25</v>
      </c>
      <c r="J171" s="5" t="s">
        <v>26</v>
      </c>
      <c r="L171" s="5">
        <v>59</v>
      </c>
      <c r="M171" s="5">
        <v>59</v>
      </c>
      <c r="P171" s="15">
        <v>0.7</v>
      </c>
      <c r="Q171" s="15">
        <v>0.28999999999999998</v>
      </c>
      <c r="R171" s="13">
        <v>0.60299999999999998</v>
      </c>
      <c r="S171" s="13">
        <v>0.73475035979187397</v>
      </c>
    </row>
    <row r="172" spans="1:23" x14ac:dyDescent="0.2">
      <c r="A172" s="7" t="s">
        <v>714</v>
      </c>
      <c r="B172" t="s">
        <v>103</v>
      </c>
      <c r="C172" t="s">
        <v>162</v>
      </c>
      <c r="D172"/>
      <c r="E172" s="5" t="s">
        <v>17</v>
      </c>
      <c r="J172" s="5" t="s">
        <v>26</v>
      </c>
      <c r="L172" s="5">
        <v>95</v>
      </c>
      <c r="M172" s="5">
        <v>94</v>
      </c>
      <c r="P172" s="13">
        <v>0.69799999999999995</v>
      </c>
      <c r="Q172" s="13">
        <v>0.28999999999999998</v>
      </c>
      <c r="R172" s="13">
        <v>0.60299999999999998</v>
      </c>
      <c r="S172" s="17">
        <v>0.73475035979187397</v>
      </c>
    </row>
    <row r="173" spans="1:23" x14ac:dyDescent="0.2">
      <c r="A173" s="7" t="s">
        <v>1436</v>
      </c>
      <c r="B173" t="s">
        <v>103</v>
      </c>
      <c r="C173" s="80"/>
      <c r="D173" s="5" t="s">
        <v>1437</v>
      </c>
      <c r="H173" s="5" t="s">
        <v>39</v>
      </c>
      <c r="L173" s="5">
        <v>25</v>
      </c>
      <c r="M173" s="5">
        <v>24</v>
      </c>
      <c r="P173" s="13"/>
      <c r="Q173" s="13"/>
      <c r="R173" s="13"/>
      <c r="S173" s="13"/>
    </row>
    <row r="174" spans="1:23" x14ac:dyDescent="0.2">
      <c r="A174" s="7" t="s">
        <v>414</v>
      </c>
      <c r="B174" t="s">
        <v>23</v>
      </c>
      <c r="C174" t="s">
        <v>325</v>
      </c>
      <c r="D174"/>
      <c r="E174" s="5" t="s">
        <v>17</v>
      </c>
      <c r="G174" s="5" t="s">
        <v>406</v>
      </c>
      <c r="L174" s="5">
        <v>136</v>
      </c>
      <c r="M174" s="5">
        <v>68</v>
      </c>
      <c r="P174" s="13">
        <v>0.77200000000000002</v>
      </c>
      <c r="Q174" s="13">
        <v>0.32200000000000001</v>
      </c>
      <c r="R174" s="13">
        <v>0.76900000000000002</v>
      </c>
      <c r="S174" s="17">
        <v>0.80870142809697698</v>
      </c>
    </row>
    <row r="175" spans="1:23" x14ac:dyDescent="0.2">
      <c r="A175" s="7" t="s">
        <v>423</v>
      </c>
      <c r="B175" t="s">
        <v>23</v>
      </c>
      <c r="C175" t="s">
        <v>424</v>
      </c>
      <c r="D175"/>
      <c r="E175" s="5" t="s">
        <v>17</v>
      </c>
      <c r="G175" s="5" t="s">
        <v>406</v>
      </c>
      <c r="L175" s="5">
        <v>10</v>
      </c>
      <c r="M175" s="5">
        <v>10</v>
      </c>
      <c r="P175" s="13">
        <v>0.497</v>
      </c>
      <c r="Q175" s="13">
        <v>0.23499999999999999</v>
      </c>
      <c r="R175" s="13">
        <v>0.81200000000000006</v>
      </c>
      <c r="S175" s="17">
        <v>0.71050592272777502</v>
      </c>
    </row>
    <row r="176" spans="1:23" x14ac:dyDescent="0.2">
      <c r="A176" s="7" t="s">
        <v>450</v>
      </c>
      <c r="B176" t="s">
        <v>23</v>
      </c>
      <c r="C176" s="73" t="s">
        <v>451</v>
      </c>
      <c r="E176" s="5" t="s">
        <v>17</v>
      </c>
      <c r="F176" s="39" t="s">
        <v>25</v>
      </c>
      <c r="G176" s="5" t="s">
        <v>406</v>
      </c>
      <c r="L176" s="5">
        <v>32</v>
      </c>
      <c r="M176" s="5">
        <v>32</v>
      </c>
      <c r="P176" s="15">
        <v>0.25</v>
      </c>
      <c r="Q176" s="15">
        <v>0.34699999999999998</v>
      </c>
      <c r="R176" s="13">
        <v>0.70799999999999996</v>
      </c>
      <c r="S176" s="17">
        <v>0.85818664895383501</v>
      </c>
    </row>
    <row r="177" spans="1:19" x14ac:dyDescent="0.2">
      <c r="A177" s="7" t="s">
        <v>114</v>
      </c>
      <c r="B177" t="s">
        <v>23</v>
      </c>
      <c r="C177" t="s">
        <v>115</v>
      </c>
      <c r="D177"/>
      <c r="E177" s="5" t="s">
        <v>17</v>
      </c>
      <c r="G177" s="5" t="s">
        <v>406</v>
      </c>
      <c r="L177" s="5">
        <v>400</v>
      </c>
      <c r="M177" s="5">
        <v>80</v>
      </c>
      <c r="P177" s="13">
        <v>0.68300000000000005</v>
      </c>
      <c r="Q177" s="13">
        <v>0.151</v>
      </c>
      <c r="R177" s="13">
        <v>0.38400000000000001</v>
      </c>
      <c r="S177" s="13">
        <v>0.81556515000553498</v>
      </c>
    </row>
    <row r="178" spans="1:19" x14ac:dyDescent="0.2">
      <c r="A178" s="7" t="s">
        <v>180</v>
      </c>
      <c r="B178" t="s">
        <v>23</v>
      </c>
      <c r="C178" t="s">
        <v>181</v>
      </c>
      <c r="D178"/>
      <c r="E178" s="5" t="s">
        <v>17</v>
      </c>
      <c r="G178" s="5" t="s">
        <v>406</v>
      </c>
      <c r="L178" s="5">
        <v>78</v>
      </c>
      <c r="M178" s="5">
        <v>31</v>
      </c>
      <c r="P178" s="13">
        <v>0.26600000000000001</v>
      </c>
      <c r="Q178" s="13">
        <v>0.26200000000000001</v>
      </c>
      <c r="R178" s="13">
        <v>0.45100000000000001</v>
      </c>
      <c r="S178" s="13">
        <v>0.75899479685597204</v>
      </c>
    </row>
    <row r="179" spans="1:19" x14ac:dyDescent="0.2">
      <c r="A179" s="7" t="s">
        <v>152</v>
      </c>
      <c r="B179" t="s">
        <v>23</v>
      </c>
      <c r="C179" s="73" t="s">
        <v>153</v>
      </c>
      <c r="E179" s="5" t="s">
        <v>17</v>
      </c>
      <c r="F179" s="39" t="s">
        <v>25</v>
      </c>
      <c r="G179" s="5" t="s">
        <v>406</v>
      </c>
      <c r="L179" s="67">
        <v>103</v>
      </c>
      <c r="M179" s="67"/>
      <c r="P179" s="15">
        <v>0.6</v>
      </c>
      <c r="Q179" s="15">
        <v>3.1E-2</v>
      </c>
      <c r="R179" s="13">
        <v>0.95299999999999996</v>
      </c>
      <c r="S179" s="13">
        <v>0.90269013616738603</v>
      </c>
    </row>
    <row r="180" spans="1:19" x14ac:dyDescent="0.2">
      <c r="A180" s="7" t="s">
        <v>315</v>
      </c>
      <c r="B180" t="s">
        <v>23</v>
      </c>
      <c r="C180" t="s">
        <v>316</v>
      </c>
      <c r="D180"/>
      <c r="E180" s="5" t="s">
        <v>17</v>
      </c>
      <c r="F180" s="39" t="s">
        <v>25</v>
      </c>
      <c r="G180" s="5" t="s">
        <v>406</v>
      </c>
      <c r="L180" s="5">
        <v>126</v>
      </c>
      <c r="M180" s="5">
        <v>126</v>
      </c>
      <c r="P180" s="13">
        <v>0.125</v>
      </c>
      <c r="Q180" s="13">
        <v>0.26700000000000002</v>
      </c>
      <c r="R180" s="13">
        <v>0.63300000000000001</v>
      </c>
      <c r="S180" s="13">
        <v>0.58651610760544604</v>
      </c>
    </row>
    <row r="181" spans="1:19" x14ac:dyDescent="0.2">
      <c r="A181" s="7" t="s">
        <v>595</v>
      </c>
      <c r="B181" t="s">
        <v>23</v>
      </c>
      <c r="C181" s="73" t="s">
        <v>451</v>
      </c>
      <c r="E181" s="5" t="s">
        <v>17</v>
      </c>
      <c r="F181" s="39" t="s">
        <v>25</v>
      </c>
      <c r="G181" s="5" t="s">
        <v>406</v>
      </c>
      <c r="L181" s="5">
        <v>10</v>
      </c>
      <c r="M181" s="5">
        <v>10</v>
      </c>
      <c r="P181" s="15">
        <v>0.25</v>
      </c>
      <c r="Q181" s="15">
        <v>0.34699999999999998</v>
      </c>
      <c r="R181" s="13">
        <v>0.70799999999999996</v>
      </c>
      <c r="S181" s="17">
        <v>0.85818664895383501</v>
      </c>
    </row>
    <row r="182" spans="1:19" x14ac:dyDescent="0.2">
      <c r="A182" s="7" t="s">
        <v>596</v>
      </c>
      <c r="B182" t="s">
        <v>23</v>
      </c>
      <c r="C182" t="s">
        <v>597</v>
      </c>
      <c r="D182"/>
      <c r="E182" s="5" t="s">
        <v>17</v>
      </c>
      <c r="G182" s="5" t="s">
        <v>406</v>
      </c>
      <c r="L182" s="5">
        <v>95</v>
      </c>
      <c r="M182" s="5">
        <v>95</v>
      </c>
      <c r="P182" s="13">
        <v>0.92800000000000005</v>
      </c>
      <c r="Q182" s="13">
        <v>0.11799999999999999</v>
      </c>
      <c r="R182" s="13">
        <v>0.80900000000000005</v>
      </c>
      <c r="S182" s="17">
        <v>0.83327798073729598</v>
      </c>
    </row>
    <row r="183" spans="1:19" x14ac:dyDescent="0.2">
      <c r="A183" s="7" t="s">
        <v>663</v>
      </c>
      <c r="B183" t="s">
        <v>23</v>
      </c>
      <c r="C183" t="s">
        <v>451</v>
      </c>
      <c r="D183"/>
      <c r="E183" s="5" t="s">
        <v>17</v>
      </c>
      <c r="G183" s="5" t="s">
        <v>406</v>
      </c>
      <c r="L183" s="5">
        <v>144</v>
      </c>
      <c r="M183" s="5">
        <v>144</v>
      </c>
      <c r="P183" s="13">
        <v>0.247</v>
      </c>
      <c r="Q183" s="13">
        <v>0.34699999999999998</v>
      </c>
      <c r="R183" s="13">
        <v>0.70799999999999996</v>
      </c>
      <c r="S183" s="17">
        <v>0.85818664895383501</v>
      </c>
    </row>
    <row r="184" spans="1:19" x14ac:dyDescent="0.2">
      <c r="A184" s="7" t="s">
        <v>699</v>
      </c>
      <c r="B184" t="s">
        <v>23</v>
      </c>
      <c r="C184" t="s">
        <v>153</v>
      </c>
      <c r="D184"/>
      <c r="E184" s="5" t="s">
        <v>17</v>
      </c>
      <c r="G184" s="5" t="s">
        <v>406</v>
      </c>
      <c r="L184" s="5">
        <v>14</v>
      </c>
      <c r="M184" s="5">
        <v>14</v>
      </c>
      <c r="P184" s="13">
        <v>0.59699999999999998</v>
      </c>
      <c r="Q184" s="13">
        <v>3.1E-2</v>
      </c>
      <c r="R184" s="13">
        <v>0.95299999999999996</v>
      </c>
      <c r="S184" s="17">
        <v>0.90269013616738603</v>
      </c>
    </row>
    <row r="185" spans="1:19" x14ac:dyDescent="0.2">
      <c r="A185" s="7" t="s">
        <v>704</v>
      </c>
      <c r="B185" t="s">
        <v>23</v>
      </c>
      <c r="C185" t="s">
        <v>153</v>
      </c>
      <c r="D185"/>
      <c r="E185" s="5" t="s">
        <v>17</v>
      </c>
      <c r="G185" s="5" t="s">
        <v>406</v>
      </c>
      <c r="L185" s="5">
        <v>144</v>
      </c>
      <c r="M185" s="5">
        <v>144</v>
      </c>
      <c r="P185" s="13">
        <v>0.59699999999999998</v>
      </c>
      <c r="Q185" s="13">
        <v>3.1E-2</v>
      </c>
      <c r="R185" s="13">
        <v>0.95299999999999996</v>
      </c>
      <c r="S185" s="17">
        <v>0.90269013616738603</v>
      </c>
    </row>
    <row r="186" spans="1:19" x14ac:dyDescent="0.2">
      <c r="A186" s="7" t="s">
        <v>759</v>
      </c>
      <c r="B186" t="s">
        <v>23</v>
      </c>
      <c r="C186" s="73" t="s">
        <v>391</v>
      </c>
      <c r="E186" s="5" t="s">
        <v>17</v>
      </c>
      <c r="F186" s="39" t="s">
        <v>25</v>
      </c>
      <c r="G186" s="5" t="s">
        <v>406</v>
      </c>
      <c r="L186" s="67">
        <v>46</v>
      </c>
      <c r="M186" s="67"/>
      <c r="P186" s="15">
        <v>0.13</v>
      </c>
      <c r="Q186" s="15">
        <v>0.22500000000000001</v>
      </c>
      <c r="R186" s="13">
        <v>0.80300000000000005</v>
      </c>
      <c r="S186" s="17">
        <v>0.71781246540462695</v>
      </c>
    </row>
    <row r="187" spans="1:19" x14ac:dyDescent="0.2">
      <c r="A187" s="7" t="s">
        <v>390</v>
      </c>
      <c r="B187" t="s">
        <v>23</v>
      </c>
      <c r="C187" t="s">
        <v>391</v>
      </c>
      <c r="D187"/>
      <c r="E187" s="5" t="s">
        <v>17</v>
      </c>
      <c r="J187" s="5" t="s">
        <v>26</v>
      </c>
      <c r="L187" s="5">
        <v>161</v>
      </c>
      <c r="M187" s="5">
        <v>159</v>
      </c>
      <c r="P187" s="13">
        <v>0.125</v>
      </c>
      <c r="Q187" s="13">
        <v>0.22500000000000001</v>
      </c>
      <c r="R187" s="13">
        <v>0.80300000000000005</v>
      </c>
      <c r="S187" s="17">
        <v>0.71781246540462695</v>
      </c>
    </row>
    <row r="188" spans="1:19" x14ac:dyDescent="0.2">
      <c r="A188" s="7" t="s">
        <v>22</v>
      </c>
      <c r="B188" t="s">
        <v>23</v>
      </c>
      <c r="C188" s="73" t="s">
        <v>24</v>
      </c>
      <c r="E188" s="5" t="s">
        <v>17</v>
      </c>
      <c r="F188" s="39" t="s">
        <v>25</v>
      </c>
      <c r="J188" s="5" t="s">
        <v>26</v>
      </c>
      <c r="L188" s="67">
        <v>391</v>
      </c>
      <c r="M188" s="67"/>
      <c r="P188" s="15">
        <v>0.65</v>
      </c>
      <c r="Q188" s="15">
        <v>5.8000000000000003E-2</v>
      </c>
      <c r="R188" s="13">
        <v>0.77</v>
      </c>
      <c r="S188" s="13">
        <v>0.85929370087457102</v>
      </c>
    </row>
    <row r="189" spans="1:19" x14ac:dyDescent="0.2">
      <c r="A189" s="7" t="s">
        <v>324</v>
      </c>
      <c r="B189" t="s">
        <v>23</v>
      </c>
      <c r="C189" s="73" t="s">
        <v>325</v>
      </c>
      <c r="E189" s="5" t="s">
        <v>17</v>
      </c>
      <c r="F189" s="39" t="s">
        <v>25</v>
      </c>
      <c r="J189" s="5" t="s">
        <v>26</v>
      </c>
      <c r="L189" s="5">
        <v>85</v>
      </c>
      <c r="M189" s="5">
        <v>85</v>
      </c>
      <c r="P189" s="15">
        <v>0.77</v>
      </c>
      <c r="Q189" s="15">
        <v>0.32200000000000001</v>
      </c>
      <c r="R189" s="13">
        <v>0.76900000000000002</v>
      </c>
      <c r="S189" s="13">
        <v>0.80870142809697698</v>
      </c>
    </row>
    <row r="190" spans="1:19" x14ac:dyDescent="0.2">
      <c r="A190" s="7" t="s">
        <v>327</v>
      </c>
      <c r="B190" t="s">
        <v>23</v>
      </c>
      <c r="C190" t="s">
        <v>328</v>
      </c>
      <c r="D190"/>
      <c r="E190" s="5" t="s">
        <v>17</v>
      </c>
      <c r="J190" s="5" t="s">
        <v>26</v>
      </c>
      <c r="L190" s="5">
        <v>65</v>
      </c>
      <c r="M190" s="5">
        <v>64</v>
      </c>
      <c r="P190" s="13">
        <v>0.65</v>
      </c>
      <c r="Q190" s="13">
        <v>0.44</v>
      </c>
      <c r="R190" s="13">
        <v>0.78</v>
      </c>
      <c r="S190" s="13">
        <v>0.82718919517325296</v>
      </c>
    </row>
    <row r="191" spans="1:19" x14ac:dyDescent="0.2">
      <c r="A191" s="7" t="s">
        <v>668</v>
      </c>
      <c r="B191" t="s">
        <v>23</v>
      </c>
      <c r="C191" s="73" t="s">
        <v>325</v>
      </c>
      <c r="E191" s="5" t="s">
        <v>17</v>
      </c>
      <c r="F191" s="39" t="s">
        <v>25</v>
      </c>
      <c r="J191" s="5" t="s">
        <v>26</v>
      </c>
      <c r="L191" s="5">
        <v>82</v>
      </c>
      <c r="M191" s="5">
        <v>80</v>
      </c>
      <c r="P191" s="15">
        <v>0.77</v>
      </c>
      <c r="Q191" s="15">
        <v>0.32200000000000001</v>
      </c>
      <c r="R191" s="13">
        <v>0.76900000000000002</v>
      </c>
      <c r="S191" s="17">
        <v>0.80870142809697698</v>
      </c>
    </row>
    <row r="192" spans="1:19" x14ac:dyDescent="0.2">
      <c r="A192" s="7" t="s">
        <v>712</v>
      </c>
      <c r="B192" t="s">
        <v>23</v>
      </c>
      <c r="C192" t="s">
        <v>713</v>
      </c>
      <c r="D192"/>
      <c r="E192" s="5" t="s">
        <v>17</v>
      </c>
      <c r="J192" s="5" t="s">
        <v>26</v>
      </c>
      <c r="L192" s="5">
        <v>178</v>
      </c>
      <c r="M192" s="5">
        <v>36</v>
      </c>
      <c r="P192" s="13">
        <v>1</v>
      </c>
      <c r="Q192" s="13">
        <v>0.26300000000000001</v>
      </c>
      <c r="R192" s="13">
        <v>0.68400000000000005</v>
      </c>
      <c r="S192" s="17">
        <v>0.59515111258718001</v>
      </c>
    </row>
    <row r="193" spans="1:19" x14ac:dyDescent="0.2">
      <c r="A193" s="7" t="s">
        <v>331</v>
      </c>
      <c r="B193" t="s">
        <v>45</v>
      </c>
      <c r="C193" s="73" t="s">
        <v>128</v>
      </c>
      <c r="E193" s="5" t="s">
        <v>17</v>
      </c>
      <c r="F193" t="s">
        <v>25</v>
      </c>
      <c r="G193" s="5" t="s">
        <v>406</v>
      </c>
      <c r="L193" s="5">
        <v>107</v>
      </c>
      <c r="M193" s="5">
        <v>106</v>
      </c>
      <c r="P193" s="15">
        <v>0.25</v>
      </c>
      <c r="Q193" s="15">
        <v>0.59799999999999998</v>
      </c>
      <c r="R193" s="13">
        <v>0.54900000000000004</v>
      </c>
      <c r="S193" s="13">
        <v>0.38547547879995497</v>
      </c>
    </row>
    <row r="194" spans="1:19" x14ac:dyDescent="0.2">
      <c r="A194" s="7" t="s">
        <v>452</v>
      </c>
      <c r="B194" t="s">
        <v>45</v>
      </c>
      <c r="C194" t="s">
        <v>453</v>
      </c>
      <c r="D194"/>
      <c r="E194" s="5" t="s">
        <v>17</v>
      </c>
      <c r="G194" s="5" t="s">
        <v>406</v>
      </c>
      <c r="L194" s="5">
        <v>80</v>
      </c>
      <c r="M194" s="5">
        <v>80</v>
      </c>
      <c r="P194" s="13">
        <v>0.68899999999999995</v>
      </c>
      <c r="Q194" s="13">
        <v>0.13900000000000001</v>
      </c>
      <c r="R194" s="13">
        <v>0.90300000000000002</v>
      </c>
      <c r="S194" s="17">
        <v>0.57101738071515495</v>
      </c>
    </row>
    <row r="195" spans="1:19" x14ac:dyDescent="0.2">
      <c r="A195" s="7" t="s">
        <v>127</v>
      </c>
      <c r="B195" t="s">
        <v>45</v>
      </c>
      <c r="C195" t="s">
        <v>128</v>
      </c>
      <c r="D195"/>
      <c r="E195" s="5" t="s">
        <v>17</v>
      </c>
      <c r="G195" s="5" t="s">
        <v>406</v>
      </c>
      <c r="L195" s="5">
        <v>274</v>
      </c>
      <c r="M195" s="5">
        <v>274</v>
      </c>
      <c r="P195" s="13">
        <v>0.25</v>
      </c>
      <c r="Q195" s="13">
        <v>0.59799999999999998</v>
      </c>
      <c r="R195" s="13">
        <v>0.54900000000000004</v>
      </c>
      <c r="S195" s="13">
        <v>0.38547547879995497</v>
      </c>
    </row>
    <row r="196" spans="1:19" x14ac:dyDescent="0.2">
      <c r="A196" s="7" t="s">
        <v>199</v>
      </c>
      <c r="B196" t="s">
        <v>45</v>
      </c>
      <c r="C196" t="s">
        <v>200</v>
      </c>
      <c r="D196"/>
      <c r="E196" s="5" t="s">
        <v>17</v>
      </c>
      <c r="F196" s="39" t="s">
        <v>25</v>
      </c>
      <c r="G196" s="5" t="s">
        <v>406</v>
      </c>
      <c r="L196" s="5">
        <v>88</v>
      </c>
      <c r="M196" s="5">
        <v>88</v>
      </c>
      <c r="P196" s="13">
        <v>0.189</v>
      </c>
      <c r="Q196" s="13">
        <v>0.90200000000000002</v>
      </c>
      <c r="R196" s="13">
        <v>0.314</v>
      </c>
      <c r="S196" s="13">
        <v>0.55574006420901101</v>
      </c>
    </row>
    <row r="197" spans="1:19" x14ac:dyDescent="0.2">
      <c r="A197" s="7" t="s">
        <v>208</v>
      </c>
      <c r="B197" t="s">
        <v>45</v>
      </c>
      <c r="C197" s="73" t="s">
        <v>172</v>
      </c>
      <c r="E197" s="5" t="s">
        <v>17</v>
      </c>
      <c r="F197" s="39" t="s">
        <v>25</v>
      </c>
      <c r="G197" s="5" t="s">
        <v>406</v>
      </c>
      <c r="L197" s="5">
        <v>104</v>
      </c>
      <c r="M197" s="5">
        <v>104</v>
      </c>
      <c r="P197" s="15">
        <v>0.51</v>
      </c>
      <c r="Q197" s="15">
        <v>0.13400000000000001</v>
      </c>
      <c r="R197" s="13">
        <v>0.80600000000000005</v>
      </c>
      <c r="S197" s="13">
        <v>0.63378722462083403</v>
      </c>
    </row>
    <row r="198" spans="1:19" x14ac:dyDescent="0.2">
      <c r="A198" s="7" t="s">
        <v>44</v>
      </c>
      <c r="B198" t="s">
        <v>45</v>
      </c>
      <c r="C198" s="73" t="s">
        <v>46</v>
      </c>
      <c r="E198" s="5" t="s">
        <v>17</v>
      </c>
      <c r="F198" s="39" t="s">
        <v>25</v>
      </c>
      <c r="G198" s="5" t="s">
        <v>406</v>
      </c>
      <c r="L198" s="5">
        <v>198</v>
      </c>
      <c r="M198" s="5">
        <v>192</v>
      </c>
      <c r="P198" s="15">
        <v>0.67</v>
      </c>
      <c r="Q198" s="15">
        <v>0.247</v>
      </c>
      <c r="R198" s="13">
        <v>0.55700000000000005</v>
      </c>
      <c r="S198" s="13">
        <v>0.77803608989261497</v>
      </c>
    </row>
    <row r="199" spans="1:19" x14ac:dyDescent="0.2">
      <c r="A199" s="7" t="s">
        <v>287</v>
      </c>
      <c r="B199" t="s">
        <v>45</v>
      </c>
      <c r="C199" t="s">
        <v>288</v>
      </c>
      <c r="D199"/>
      <c r="E199" s="5" t="s">
        <v>17</v>
      </c>
      <c r="G199" s="5" t="s">
        <v>406</v>
      </c>
      <c r="L199" s="5">
        <v>26</v>
      </c>
      <c r="M199" s="5">
        <v>26</v>
      </c>
      <c r="P199" s="13">
        <v>0.25</v>
      </c>
      <c r="Q199" s="13">
        <v>0.53700000000000003</v>
      </c>
      <c r="R199" s="13">
        <v>0.439</v>
      </c>
      <c r="S199" s="13">
        <v>0.242333665448909</v>
      </c>
    </row>
    <row r="200" spans="1:19" x14ac:dyDescent="0.2">
      <c r="A200" s="7" t="s">
        <v>504</v>
      </c>
      <c r="B200" t="s">
        <v>45</v>
      </c>
      <c r="C200" t="s">
        <v>505</v>
      </c>
      <c r="D200"/>
      <c r="E200" s="5" t="s">
        <v>17</v>
      </c>
      <c r="G200" s="5" t="s">
        <v>406</v>
      </c>
      <c r="L200" s="5">
        <v>5</v>
      </c>
      <c r="M200" s="5">
        <v>5</v>
      </c>
      <c r="P200" s="13">
        <v>0.35799999999999998</v>
      </c>
      <c r="Q200" s="13">
        <v>0.114</v>
      </c>
      <c r="R200" s="13">
        <v>0.873</v>
      </c>
      <c r="S200" s="17">
        <v>0.82209675633787205</v>
      </c>
    </row>
    <row r="201" spans="1:19" x14ac:dyDescent="0.2">
      <c r="A201" s="7" t="s">
        <v>506</v>
      </c>
      <c r="B201" t="s">
        <v>45</v>
      </c>
      <c r="C201" t="s">
        <v>505</v>
      </c>
      <c r="D201"/>
      <c r="E201" s="5" t="s">
        <v>17</v>
      </c>
      <c r="G201" s="5" t="s">
        <v>406</v>
      </c>
      <c r="L201" s="5">
        <v>5</v>
      </c>
      <c r="M201" s="5">
        <v>5</v>
      </c>
      <c r="P201" s="13">
        <v>0.35799999999999998</v>
      </c>
      <c r="Q201" s="13">
        <v>0.114</v>
      </c>
      <c r="R201" s="13">
        <v>0.873</v>
      </c>
      <c r="S201" s="17">
        <v>0.82209675633787205</v>
      </c>
    </row>
    <row r="202" spans="1:19" x14ac:dyDescent="0.2">
      <c r="A202" s="7" t="s">
        <v>507</v>
      </c>
      <c r="B202" t="s">
        <v>45</v>
      </c>
      <c r="C202" t="s">
        <v>505</v>
      </c>
      <c r="D202"/>
      <c r="E202" s="5" t="s">
        <v>17</v>
      </c>
      <c r="G202" s="5" t="s">
        <v>406</v>
      </c>
      <c r="L202" s="5">
        <v>4</v>
      </c>
      <c r="M202" s="5">
        <v>4</v>
      </c>
      <c r="P202" s="13">
        <v>0.35799999999999998</v>
      </c>
      <c r="Q202" s="13">
        <v>0.114</v>
      </c>
      <c r="R202" s="13">
        <v>0.873</v>
      </c>
      <c r="S202" s="17">
        <v>0.82209675633787205</v>
      </c>
    </row>
    <row r="203" spans="1:19" x14ac:dyDescent="0.2">
      <c r="A203" s="7" t="s">
        <v>508</v>
      </c>
      <c r="B203" t="s">
        <v>45</v>
      </c>
      <c r="C203" t="s">
        <v>505</v>
      </c>
      <c r="D203"/>
      <c r="E203" s="5" t="s">
        <v>17</v>
      </c>
      <c r="G203" s="5" t="s">
        <v>406</v>
      </c>
      <c r="L203" s="5">
        <v>5</v>
      </c>
      <c r="M203" s="5">
        <v>5</v>
      </c>
      <c r="P203" s="13">
        <v>0.35799999999999998</v>
      </c>
      <c r="Q203" s="13">
        <v>0.114</v>
      </c>
      <c r="R203" s="13">
        <v>0.873</v>
      </c>
      <c r="S203" s="17">
        <v>0.82209675633787205</v>
      </c>
    </row>
    <row r="204" spans="1:19" x14ac:dyDescent="0.2">
      <c r="A204" s="7" t="s">
        <v>512</v>
      </c>
      <c r="B204" t="s">
        <v>45</v>
      </c>
      <c r="C204" t="s">
        <v>505</v>
      </c>
      <c r="D204"/>
      <c r="E204" s="5" t="s">
        <v>17</v>
      </c>
      <c r="G204" s="5" t="s">
        <v>406</v>
      </c>
      <c r="L204" s="5">
        <v>65</v>
      </c>
      <c r="M204" s="5">
        <v>65</v>
      </c>
      <c r="P204" s="13">
        <v>0.35799999999999998</v>
      </c>
      <c r="Q204" s="13">
        <v>0.114</v>
      </c>
      <c r="R204" s="13">
        <v>0.873</v>
      </c>
      <c r="S204" s="17">
        <v>0.82209675633787205</v>
      </c>
    </row>
    <row r="205" spans="1:19" x14ac:dyDescent="0.2">
      <c r="A205" s="7" t="s">
        <v>522</v>
      </c>
      <c r="B205" t="s">
        <v>45</v>
      </c>
      <c r="C205" t="s">
        <v>447</v>
      </c>
      <c r="D205"/>
      <c r="E205" s="5" t="s">
        <v>17</v>
      </c>
      <c r="F205" s="39" t="s">
        <v>25</v>
      </c>
      <c r="G205" s="5" t="s">
        <v>406</v>
      </c>
      <c r="L205" s="5">
        <v>48</v>
      </c>
      <c r="M205" s="5">
        <v>48</v>
      </c>
      <c r="P205" s="13">
        <v>0.47699999999999998</v>
      </c>
      <c r="Q205" s="13">
        <v>0.372</v>
      </c>
      <c r="R205" s="13">
        <v>0.66300000000000003</v>
      </c>
      <c r="S205" s="17">
        <v>0.36001328462304799</v>
      </c>
    </row>
    <row r="206" spans="1:19" x14ac:dyDescent="0.2">
      <c r="A206" s="7" t="s">
        <v>571</v>
      </c>
      <c r="B206" t="s">
        <v>45</v>
      </c>
      <c r="C206" t="s">
        <v>505</v>
      </c>
      <c r="D206"/>
      <c r="E206" s="5" t="s">
        <v>17</v>
      </c>
      <c r="G206" s="5" t="s">
        <v>406</v>
      </c>
      <c r="L206" s="5">
        <v>4</v>
      </c>
      <c r="M206" s="5">
        <v>4</v>
      </c>
      <c r="P206" s="13">
        <v>0.35799999999999998</v>
      </c>
      <c r="Q206" s="13">
        <v>0.114</v>
      </c>
      <c r="R206" s="13">
        <v>0.873</v>
      </c>
      <c r="S206" s="17">
        <v>0.82209675633787205</v>
      </c>
    </row>
    <row r="207" spans="1:19" x14ac:dyDescent="0.2">
      <c r="A207" s="7" t="s">
        <v>573</v>
      </c>
      <c r="B207" t="s">
        <v>45</v>
      </c>
      <c r="C207" t="s">
        <v>505</v>
      </c>
      <c r="D207"/>
      <c r="E207" s="5" t="s">
        <v>17</v>
      </c>
      <c r="G207" s="5" t="s">
        <v>406</v>
      </c>
      <c r="L207" s="5">
        <v>43</v>
      </c>
      <c r="M207" s="5">
        <v>43</v>
      </c>
      <c r="P207" s="13">
        <v>0.35799999999999998</v>
      </c>
      <c r="Q207" s="13">
        <v>0.114</v>
      </c>
      <c r="R207" s="13">
        <v>0.873</v>
      </c>
      <c r="S207" s="17">
        <v>0.82209675633787205</v>
      </c>
    </row>
    <row r="208" spans="1:19" x14ac:dyDescent="0.2">
      <c r="A208" s="7" t="s">
        <v>575</v>
      </c>
      <c r="B208" t="s">
        <v>45</v>
      </c>
      <c r="C208" t="s">
        <v>505</v>
      </c>
      <c r="D208"/>
      <c r="E208" s="5" t="s">
        <v>17</v>
      </c>
      <c r="G208" s="5" t="s">
        <v>406</v>
      </c>
      <c r="L208" s="5">
        <v>8</v>
      </c>
      <c r="M208" s="5">
        <v>8</v>
      </c>
      <c r="P208" s="13">
        <v>0.35799999999999998</v>
      </c>
      <c r="Q208" s="13">
        <v>0.114</v>
      </c>
      <c r="R208" s="13">
        <v>0.873</v>
      </c>
      <c r="S208" s="17">
        <v>0.82209675633787205</v>
      </c>
    </row>
    <row r="209" spans="1:19" x14ac:dyDescent="0.2">
      <c r="A209" s="7" t="s">
        <v>631</v>
      </c>
      <c r="B209" t="s">
        <v>45</v>
      </c>
      <c r="C209" t="s">
        <v>447</v>
      </c>
      <c r="D209"/>
      <c r="E209" s="5" t="s">
        <v>17</v>
      </c>
      <c r="G209" s="5" t="s">
        <v>406</v>
      </c>
      <c r="L209" s="5">
        <v>36</v>
      </c>
      <c r="M209" s="5">
        <v>36</v>
      </c>
      <c r="P209" s="13">
        <v>0.47699999999999998</v>
      </c>
      <c r="Q209" s="13">
        <v>0.372</v>
      </c>
      <c r="R209" s="13">
        <v>0.66300000000000003</v>
      </c>
      <c r="S209" s="17">
        <v>0.36001328462304799</v>
      </c>
    </row>
    <row r="210" spans="1:19" x14ac:dyDescent="0.2">
      <c r="A210" s="7" t="s">
        <v>643</v>
      </c>
      <c r="B210" t="s">
        <v>45</v>
      </c>
      <c r="C210" t="s">
        <v>644</v>
      </c>
      <c r="D210"/>
      <c r="E210" s="5" t="s">
        <v>17</v>
      </c>
      <c r="G210" s="5" t="s">
        <v>406</v>
      </c>
      <c r="L210" s="5">
        <v>66</v>
      </c>
      <c r="M210" s="5">
        <v>66</v>
      </c>
      <c r="P210" s="13">
        <v>0.57299999999999995</v>
      </c>
      <c r="Q210" s="13">
        <v>0.35599999999999998</v>
      </c>
      <c r="R210" s="13">
        <v>0.90400000000000003</v>
      </c>
      <c r="S210" s="17">
        <v>0.61740285619395496</v>
      </c>
    </row>
    <row r="211" spans="1:19" x14ac:dyDescent="0.2">
      <c r="A211" s="7" t="s">
        <v>679</v>
      </c>
      <c r="B211" t="s">
        <v>45</v>
      </c>
      <c r="C211" t="s">
        <v>453</v>
      </c>
      <c r="D211"/>
      <c r="E211" s="5" t="s">
        <v>17</v>
      </c>
      <c r="G211" s="5" t="s">
        <v>406</v>
      </c>
      <c r="L211" s="5">
        <v>400</v>
      </c>
      <c r="M211" s="5">
        <v>400</v>
      </c>
      <c r="P211" s="13">
        <v>0.68899999999999995</v>
      </c>
      <c r="Q211" s="13">
        <v>0.13900000000000001</v>
      </c>
      <c r="R211" s="13">
        <v>0.90300000000000002</v>
      </c>
      <c r="S211" s="17">
        <v>0.57101738071515495</v>
      </c>
    </row>
    <row r="212" spans="1:19" x14ac:dyDescent="0.2">
      <c r="A212" s="7" t="s">
        <v>513</v>
      </c>
      <c r="B212" t="s">
        <v>45</v>
      </c>
      <c r="C212" s="73" t="s">
        <v>82</v>
      </c>
      <c r="E212" s="5" t="s">
        <v>17</v>
      </c>
      <c r="F212" s="39" t="s">
        <v>25</v>
      </c>
      <c r="G212" s="5" t="s">
        <v>406</v>
      </c>
      <c r="L212" s="67">
        <v>77</v>
      </c>
      <c r="M212" s="67"/>
      <c r="P212" s="15">
        <v>0.27</v>
      </c>
      <c r="Q212" s="15">
        <v>0.77300000000000002</v>
      </c>
      <c r="R212" s="13">
        <v>0.106</v>
      </c>
      <c r="S212" s="17">
        <v>0.381268681501162</v>
      </c>
    </row>
    <row r="213" spans="1:19" x14ac:dyDescent="0.2">
      <c r="A213" s="7" t="s">
        <v>523</v>
      </c>
      <c r="B213" t="s">
        <v>45</v>
      </c>
      <c r="C213" s="73" t="s">
        <v>505</v>
      </c>
      <c r="E213" s="5" t="s">
        <v>17</v>
      </c>
      <c r="F213" s="39" t="s">
        <v>25</v>
      </c>
      <c r="G213" s="5" t="s">
        <v>406</v>
      </c>
      <c r="L213" s="67">
        <v>6</v>
      </c>
      <c r="M213" s="67"/>
      <c r="P213" s="15">
        <v>0.36</v>
      </c>
      <c r="Q213" s="15">
        <v>0.114</v>
      </c>
      <c r="R213" s="13">
        <v>0.873</v>
      </c>
      <c r="S213" s="17">
        <v>0.82209675633787205</v>
      </c>
    </row>
    <row r="214" spans="1:19" x14ac:dyDescent="0.2">
      <c r="A214" s="7" t="s">
        <v>446</v>
      </c>
      <c r="B214" t="s">
        <v>45</v>
      </c>
      <c r="C214" s="73" t="s">
        <v>447</v>
      </c>
      <c r="E214" s="5" t="s">
        <v>17</v>
      </c>
      <c r="F214" s="39" t="s">
        <v>25</v>
      </c>
      <c r="J214" s="5" t="s">
        <v>26</v>
      </c>
      <c r="L214" s="5">
        <v>20</v>
      </c>
      <c r="M214" s="5">
        <v>20</v>
      </c>
      <c r="P214" s="15">
        <v>0.48</v>
      </c>
      <c r="Q214" s="15">
        <v>0.372</v>
      </c>
      <c r="R214" s="13">
        <v>0.66300000000000003</v>
      </c>
      <c r="S214" s="17">
        <v>0.36001328462304799</v>
      </c>
    </row>
    <row r="215" spans="1:19" x14ac:dyDescent="0.2">
      <c r="A215" s="7" t="s">
        <v>81</v>
      </c>
      <c r="B215" t="s">
        <v>45</v>
      </c>
      <c r="C215" s="73" t="s">
        <v>82</v>
      </c>
      <c r="E215" s="5" t="s">
        <v>17</v>
      </c>
      <c r="F215" s="39" t="s">
        <v>25</v>
      </c>
      <c r="J215" s="5" t="s">
        <v>26</v>
      </c>
      <c r="L215" s="5">
        <v>164</v>
      </c>
      <c r="M215" s="5">
        <v>164</v>
      </c>
      <c r="P215" s="15">
        <v>0.27</v>
      </c>
      <c r="Q215" s="15">
        <v>0.77300000000000002</v>
      </c>
      <c r="R215" s="13">
        <v>0.106</v>
      </c>
      <c r="S215" s="13">
        <v>0.381268681501162</v>
      </c>
    </row>
    <row r="216" spans="1:19" x14ac:dyDescent="0.2">
      <c r="A216" s="7" t="s">
        <v>232</v>
      </c>
      <c r="B216" t="s">
        <v>45</v>
      </c>
      <c r="C216" t="s">
        <v>172</v>
      </c>
      <c r="D216"/>
      <c r="E216" s="5" t="s">
        <v>17</v>
      </c>
      <c r="J216" s="5" t="s">
        <v>26</v>
      </c>
      <c r="L216" s="5">
        <v>166</v>
      </c>
      <c r="M216" s="5">
        <v>50</v>
      </c>
      <c r="P216" s="13">
        <v>0.50700000000000001</v>
      </c>
      <c r="Q216" s="13">
        <v>0.13400000000000001</v>
      </c>
      <c r="R216" s="13">
        <v>0.80600000000000005</v>
      </c>
      <c r="S216" s="13">
        <v>0.63378722462083403</v>
      </c>
    </row>
    <row r="217" spans="1:19" x14ac:dyDescent="0.2">
      <c r="A217" s="7" t="s">
        <v>171</v>
      </c>
      <c r="B217" t="s">
        <v>45</v>
      </c>
      <c r="C217" t="s">
        <v>172</v>
      </c>
      <c r="D217"/>
      <c r="E217" s="5" t="s">
        <v>17</v>
      </c>
      <c r="J217" s="5" t="s">
        <v>26</v>
      </c>
      <c r="L217" s="5">
        <v>183</v>
      </c>
      <c r="M217" s="5">
        <v>183</v>
      </c>
      <c r="P217" s="13">
        <v>0.50700000000000001</v>
      </c>
      <c r="Q217" s="13">
        <v>0.13400000000000001</v>
      </c>
      <c r="R217" s="13">
        <v>0.80600000000000005</v>
      </c>
      <c r="S217" s="13">
        <v>0.63378722462083403</v>
      </c>
    </row>
    <row r="218" spans="1:19" x14ac:dyDescent="0.2">
      <c r="A218" s="7" t="s">
        <v>547</v>
      </c>
      <c r="B218" t="s">
        <v>45</v>
      </c>
      <c r="C218" s="73" t="s">
        <v>82</v>
      </c>
      <c r="E218" s="5" t="s">
        <v>17</v>
      </c>
      <c r="F218" t="s">
        <v>25</v>
      </c>
      <c r="H218" s="5" t="s">
        <v>39</v>
      </c>
      <c r="J218" s="5" t="s">
        <v>26</v>
      </c>
      <c r="L218" s="68"/>
      <c r="M218" s="67"/>
      <c r="P218" s="15">
        <v>0.27</v>
      </c>
      <c r="Q218" s="15">
        <v>0.77300000000000002</v>
      </c>
      <c r="R218" s="13">
        <v>0.106</v>
      </c>
      <c r="S218" s="17">
        <v>0.381268681501162</v>
      </c>
    </row>
    <row r="219" spans="1:19" x14ac:dyDescent="0.2">
      <c r="A219" s="7" t="s">
        <v>427</v>
      </c>
      <c r="B219" t="s">
        <v>30</v>
      </c>
      <c r="C219" t="s">
        <v>120</v>
      </c>
      <c r="D219"/>
      <c r="E219" s="5" t="s">
        <v>17</v>
      </c>
      <c r="G219" s="5" t="s">
        <v>406</v>
      </c>
      <c r="L219" s="5">
        <v>200</v>
      </c>
      <c r="M219" s="5">
        <v>23</v>
      </c>
      <c r="P219" s="13">
        <v>0.221</v>
      </c>
      <c r="Q219" s="13">
        <v>0.59899999999999998</v>
      </c>
      <c r="R219" s="13">
        <v>0.98799999999999999</v>
      </c>
      <c r="S219" s="17">
        <v>0.614745931584191</v>
      </c>
    </row>
    <row r="220" spans="1:19" x14ac:dyDescent="0.2">
      <c r="A220" s="7" t="s">
        <v>430</v>
      </c>
      <c r="B220" t="s">
        <v>30</v>
      </c>
      <c r="C220" t="s">
        <v>221</v>
      </c>
      <c r="D220"/>
      <c r="E220" s="5" t="s">
        <v>17</v>
      </c>
      <c r="G220" s="5" t="s">
        <v>406</v>
      </c>
      <c r="L220" s="5">
        <v>115</v>
      </c>
      <c r="M220" s="5">
        <v>18</v>
      </c>
      <c r="P220" s="13">
        <v>0.54200000000000004</v>
      </c>
      <c r="Q220" s="13">
        <v>0.52600000000000002</v>
      </c>
      <c r="R220" s="13">
        <v>0.97099999999999997</v>
      </c>
      <c r="S220" s="17">
        <v>0.57777039743163905</v>
      </c>
    </row>
    <row r="221" spans="1:19" x14ac:dyDescent="0.2">
      <c r="A221" s="7" t="s">
        <v>438</v>
      </c>
      <c r="B221" t="s">
        <v>30</v>
      </c>
      <c r="C221" t="s">
        <v>31</v>
      </c>
      <c r="D221"/>
      <c r="E221" s="5" t="s">
        <v>17</v>
      </c>
      <c r="G221" s="5" t="s">
        <v>406</v>
      </c>
      <c r="L221" s="5">
        <v>210</v>
      </c>
      <c r="M221" s="5">
        <v>12</v>
      </c>
      <c r="P221" s="13">
        <v>0.76100000000000001</v>
      </c>
      <c r="Q221" s="13">
        <v>4.9000000000000002E-2</v>
      </c>
      <c r="R221" s="13">
        <v>0.997</v>
      </c>
      <c r="S221" s="17">
        <v>0.326580316616849</v>
      </c>
    </row>
    <row r="222" spans="1:19" x14ac:dyDescent="0.2">
      <c r="A222" s="7" t="s">
        <v>463</v>
      </c>
      <c r="B222" t="s">
        <v>30</v>
      </c>
      <c r="C222" s="73" t="s">
        <v>120</v>
      </c>
      <c r="E222" s="5" t="s">
        <v>17</v>
      </c>
      <c r="F222" s="39" t="s">
        <v>25</v>
      </c>
      <c r="G222" s="5" t="s">
        <v>406</v>
      </c>
      <c r="L222" s="5">
        <v>290</v>
      </c>
      <c r="M222" s="5">
        <v>58</v>
      </c>
      <c r="P222" s="15">
        <v>0.22</v>
      </c>
      <c r="Q222" s="15">
        <v>0.59899999999999998</v>
      </c>
      <c r="R222" s="13">
        <v>0.98799999999999999</v>
      </c>
      <c r="S222" s="17">
        <v>0.614745931584191</v>
      </c>
    </row>
    <row r="223" spans="1:19" x14ac:dyDescent="0.2">
      <c r="A223" s="7" t="s">
        <v>490</v>
      </c>
      <c r="B223" t="s">
        <v>30</v>
      </c>
      <c r="C223" t="s">
        <v>491</v>
      </c>
      <c r="D223"/>
      <c r="E223" s="5" t="s">
        <v>17</v>
      </c>
      <c r="F223" s="39" t="s">
        <v>25</v>
      </c>
      <c r="G223" s="5" t="s">
        <v>406</v>
      </c>
      <c r="L223" s="5">
        <v>176</v>
      </c>
      <c r="M223" s="5">
        <v>8</v>
      </c>
      <c r="P223" s="13">
        <v>0.41099999999999998</v>
      </c>
      <c r="Q223" s="13">
        <v>0.59899999999999998</v>
      </c>
      <c r="R223" s="13">
        <v>0.65</v>
      </c>
      <c r="S223" s="17">
        <v>0.47802501937340802</v>
      </c>
    </row>
    <row r="224" spans="1:19" x14ac:dyDescent="0.2">
      <c r="A224" s="7" t="s">
        <v>125</v>
      </c>
      <c r="B224" t="s">
        <v>30</v>
      </c>
      <c r="C224" t="s">
        <v>126</v>
      </c>
      <c r="D224"/>
      <c r="E224" s="5" t="s">
        <v>17</v>
      </c>
      <c r="F224" s="39" t="s">
        <v>25</v>
      </c>
      <c r="G224" s="5" t="s">
        <v>406</v>
      </c>
      <c r="L224" s="5">
        <v>136</v>
      </c>
      <c r="M224" s="5">
        <v>17</v>
      </c>
      <c r="P224" s="13">
        <v>0.64100000000000001</v>
      </c>
      <c r="Q224" s="13">
        <v>0.52800000000000002</v>
      </c>
      <c r="R224" s="13">
        <v>0.34799999999999998</v>
      </c>
      <c r="S224" s="13">
        <v>0.348278534263256</v>
      </c>
    </row>
    <row r="225" spans="1:19" x14ac:dyDescent="0.2">
      <c r="A225" s="7" t="s">
        <v>29</v>
      </c>
      <c r="B225" t="s">
        <v>30</v>
      </c>
      <c r="C225" t="s">
        <v>31</v>
      </c>
      <c r="D225"/>
      <c r="E225" s="5" t="s">
        <v>17</v>
      </c>
      <c r="G225" s="5" t="s">
        <v>406</v>
      </c>
      <c r="L225" s="67">
        <v>294</v>
      </c>
      <c r="M225" s="67">
        <v>28</v>
      </c>
      <c r="P225" s="13">
        <v>0.76100000000000001</v>
      </c>
      <c r="Q225" s="13">
        <v>4.9000000000000002E-2</v>
      </c>
      <c r="R225" s="13">
        <v>0.997</v>
      </c>
      <c r="S225" s="13">
        <v>0.326580316616849</v>
      </c>
    </row>
    <row r="226" spans="1:19" x14ac:dyDescent="0.2">
      <c r="A226" s="7" t="s">
        <v>73</v>
      </c>
      <c r="B226" t="s">
        <v>30</v>
      </c>
      <c r="C226" t="s">
        <v>74</v>
      </c>
      <c r="D226"/>
      <c r="E226" s="5" t="s">
        <v>17</v>
      </c>
      <c r="F226" s="39" t="s">
        <v>25</v>
      </c>
      <c r="G226" s="5" t="s">
        <v>406</v>
      </c>
      <c r="L226" s="5">
        <v>288</v>
      </c>
      <c r="M226" s="5">
        <v>2</v>
      </c>
      <c r="P226" s="13">
        <v>0.64</v>
      </c>
      <c r="Q226" s="13">
        <v>0.95099999999999996</v>
      </c>
      <c r="R226" s="13">
        <v>0.186</v>
      </c>
      <c r="S226" s="13">
        <v>9.2549540573452799E-2</v>
      </c>
    </row>
    <row r="227" spans="1:19" x14ac:dyDescent="0.2">
      <c r="A227" s="7" t="s">
        <v>176</v>
      </c>
      <c r="B227" t="s">
        <v>30</v>
      </c>
      <c r="C227" t="s">
        <v>120</v>
      </c>
      <c r="D227"/>
      <c r="E227" s="5" t="s">
        <v>17</v>
      </c>
      <c r="F227" s="39" t="s">
        <v>25</v>
      </c>
      <c r="G227" s="5" t="s">
        <v>406</v>
      </c>
      <c r="L227" s="5">
        <v>71</v>
      </c>
      <c r="M227" s="5">
        <v>71</v>
      </c>
      <c r="P227" s="13">
        <v>0.221</v>
      </c>
      <c r="Q227" s="13">
        <v>0.59899999999999998</v>
      </c>
      <c r="R227" s="13">
        <v>0.98799999999999999</v>
      </c>
      <c r="S227" s="13">
        <v>0.614745931584191</v>
      </c>
    </row>
    <row r="228" spans="1:19" x14ac:dyDescent="0.2">
      <c r="A228" s="7" t="s">
        <v>344</v>
      </c>
      <c r="B228" t="s">
        <v>30</v>
      </c>
      <c r="C228" t="s">
        <v>345</v>
      </c>
      <c r="D228"/>
      <c r="E228" s="5" t="s">
        <v>17</v>
      </c>
      <c r="F228" s="39" t="s">
        <v>25</v>
      </c>
      <c r="G228" s="5" t="s">
        <v>406</v>
      </c>
      <c r="L228" s="5">
        <v>50</v>
      </c>
      <c r="M228" s="5">
        <v>35</v>
      </c>
      <c r="P228" s="13">
        <v>0.98099999999999998</v>
      </c>
      <c r="Q228" s="13">
        <v>7.0000000000000007E-2</v>
      </c>
      <c r="R228" s="13">
        <v>1</v>
      </c>
      <c r="S228" s="13">
        <v>0.42521864275434501</v>
      </c>
    </row>
    <row r="229" spans="1:19" x14ac:dyDescent="0.2">
      <c r="A229" s="7" t="s">
        <v>308</v>
      </c>
      <c r="B229" t="s">
        <v>30</v>
      </c>
      <c r="C229" t="s">
        <v>31</v>
      </c>
      <c r="D229"/>
      <c r="E229" s="5" t="s">
        <v>17</v>
      </c>
      <c r="G229" s="5" t="s">
        <v>406</v>
      </c>
      <c r="L229" s="5">
        <v>221</v>
      </c>
      <c r="M229" s="5">
        <v>17</v>
      </c>
      <c r="P229" s="13">
        <v>0.76100000000000001</v>
      </c>
      <c r="Q229" s="13">
        <v>4.9000000000000002E-2</v>
      </c>
      <c r="R229" s="13">
        <v>0.997</v>
      </c>
      <c r="S229" s="13">
        <v>0.326580316616849</v>
      </c>
    </row>
    <row r="230" spans="1:19" x14ac:dyDescent="0.2">
      <c r="A230" s="7" t="s">
        <v>119</v>
      </c>
      <c r="B230" t="s">
        <v>30</v>
      </c>
      <c r="C230" s="73" t="s">
        <v>120</v>
      </c>
      <c r="E230" s="5" t="s">
        <v>17</v>
      </c>
      <c r="F230" s="39" t="s">
        <v>25</v>
      </c>
      <c r="G230" s="5" t="s">
        <v>406</v>
      </c>
      <c r="L230" s="5">
        <v>192</v>
      </c>
      <c r="M230" s="5">
        <v>192</v>
      </c>
      <c r="P230" s="15">
        <v>0.22</v>
      </c>
      <c r="Q230" s="15">
        <v>0.59899999999999998</v>
      </c>
      <c r="R230" s="13">
        <v>0.98799999999999999</v>
      </c>
      <c r="S230" s="13">
        <v>0.614745931584191</v>
      </c>
    </row>
    <row r="231" spans="1:19" x14ac:dyDescent="0.2">
      <c r="A231" s="7" t="s">
        <v>156</v>
      </c>
      <c r="B231" t="s">
        <v>30</v>
      </c>
      <c r="C231" t="s">
        <v>120</v>
      </c>
      <c r="D231"/>
      <c r="E231" s="5" t="s">
        <v>17</v>
      </c>
      <c r="F231" s="39" t="s">
        <v>25</v>
      </c>
      <c r="G231" s="5" t="s">
        <v>406</v>
      </c>
      <c r="L231" s="5">
        <v>132</v>
      </c>
      <c r="M231" s="5">
        <v>27</v>
      </c>
      <c r="P231" s="13">
        <v>0.221</v>
      </c>
      <c r="Q231" s="13">
        <v>0.59899999999999998</v>
      </c>
      <c r="R231" s="13">
        <v>0.98799999999999999</v>
      </c>
      <c r="S231" s="13">
        <v>0.614745931584191</v>
      </c>
    </row>
    <row r="232" spans="1:19" x14ac:dyDescent="0.2">
      <c r="A232" s="7" t="s">
        <v>354</v>
      </c>
      <c r="B232" t="s">
        <v>30</v>
      </c>
      <c r="C232" t="s">
        <v>355</v>
      </c>
      <c r="D232"/>
      <c r="E232" s="5" t="s">
        <v>17</v>
      </c>
      <c r="F232" s="39" t="s">
        <v>25</v>
      </c>
      <c r="G232" s="5" t="s">
        <v>406</v>
      </c>
      <c r="L232" s="5">
        <v>120</v>
      </c>
      <c r="M232" s="5">
        <v>120</v>
      </c>
      <c r="P232" s="13">
        <v>9.5000000000000001E-2</v>
      </c>
      <c r="Q232" s="13">
        <v>0.96199999999999997</v>
      </c>
      <c r="R232" s="13">
        <v>0.70899999999999996</v>
      </c>
      <c r="S232" s="13">
        <v>0.21986051145798699</v>
      </c>
    </row>
    <row r="233" spans="1:19" x14ac:dyDescent="0.2">
      <c r="A233" s="7" t="s">
        <v>92</v>
      </c>
      <c r="B233" t="s">
        <v>30</v>
      </c>
      <c r="C233" s="73" t="s">
        <v>93</v>
      </c>
      <c r="E233" s="5" t="s">
        <v>17</v>
      </c>
      <c r="F233" s="39" t="s">
        <v>25</v>
      </c>
      <c r="G233" s="5" t="s">
        <v>406</v>
      </c>
      <c r="L233" s="5">
        <v>162</v>
      </c>
      <c r="M233" s="5">
        <v>161</v>
      </c>
      <c r="P233" s="15">
        <v>0.05</v>
      </c>
      <c r="Q233" s="15">
        <v>0.81100000000000005</v>
      </c>
      <c r="R233" s="13">
        <v>0.26600000000000001</v>
      </c>
      <c r="S233" s="13">
        <v>0.24166943429646801</v>
      </c>
    </row>
    <row r="234" spans="1:19" x14ac:dyDescent="0.2">
      <c r="A234" s="7" t="s">
        <v>496</v>
      </c>
      <c r="B234" t="s">
        <v>30</v>
      </c>
      <c r="C234" t="s">
        <v>497</v>
      </c>
      <c r="D234"/>
      <c r="E234" s="5" t="s">
        <v>17</v>
      </c>
      <c r="F234" s="39" t="s">
        <v>25</v>
      </c>
      <c r="G234" s="5" t="s">
        <v>406</v>
      </c>
      <c r="L234" s="5">
        <v>168</v>
      </c>
      <c r="M234" s="5">
        <v>12</v>
      </c>
      <c r="P234" s="13">
        <v>0.214</v>
      </c>
      <c r="Q234" s="13">
        <v>0.84599999999999997</v>
      </c>
      <c r="R234" s="13">
        <v>0.57899999999999996</v>
      </c>
      <c r="S234" s="17">
        <v>0.235469943540352</v>
      </c>
    </row>
    <row r="235" spans="1:19" x14ac:dyDescent="0.2">
      <c r="A235" s="7" t="s">
        <v>498</v>
      </c>
      <c r="B235" t="s">
        <v>30</v>
      </c>
      <c r="C235" t="s">
        <v>395</v>
      </c>
      <c r="D235"/>
      <c r="E235" s="5" t="s">
        <v>17</v>
      </c>
      <c r="F235" s="39" t="s">
        <v>25</v>
      </c>
      <c r="G235" s="5" t="s">
        <v>406</v>
      </c>
      <c r="L235" s="5">
        <v>604</v>
      </c>
      <c r="M235" s="5">
        <v>65</v>
      </c>
      <c r="P235" s="13">
        <v>0.55200000000000005</v>
      </c>
      <c r="Q235" s="13">
        <v>0.628</v>
      </c>
      <c r="R235" s="13">
        <v>0.496</v>
      </c>
      <c r="S235" s="17">
        <v>0.42189748699213903</v>
      </c>
    </row>
    <row r="236" spans="1:19" x14ac:dyDescent="0.2">
      <c r="A236" s="7" t="s">
        <v>517</v>
      </c>
      <c r="B236" t="s">
        <v>30</v>
      </c>
      <c r="C236" s="73" t="s">
        <v>518</v>
      </c>
      <c r="E236" s="5" t="s">
        <v>17</v>
      </c>
      <c r="F236" s="39" t="s">
        <v>25</v>
      </c>
      <c r="G236" s="5" t="s">
        <v>406</v>
      </c>
      <c r="L236" s="5">
        <v>60</v>
      </c>
      <c r="M236" s="5">
        <v>60</v>
      </c>
      <c r="P236" s="15">
        <v>0.56999999999999995</v>
      </c>
      <c r="Q236" s="15">
        <v>0.60299999999999998</v>
      </c>
      <c r="R236" s="13">
        <v>0.441</v>
      </c>
      <c r="S236" s="17">
        <v>0.43927820214767999</v>
      </c>
    </row>
    <row r="237" spans="1:19" x14ac:dyDescent="0.2">
      <c r="A237" s="7" t="s">
        <v>607</v>
      </c>
      <c r="B237" t="s">
        <v>30</v>
      </c>
      <c r="C237" s="73" t="s">
        <v>395</v>
      </c>
      <c r="E237" s="5" t="s">
        <v>17</v>
      </c>
      <c r="F237" s="39" t="s">
        <v>25</v>
      </c>
      <c r="G237" s="5" t="s">
        <v>406</v>
      </c>
      <c r="L237" s="5">
        <v>80</v>
      </c>
      <c r="M237" s="5">
        <v>45</v>
      </c>
      <c r="P237" s="15">
        <v>0.55000000000000004</v>
      </c>
      <c r="Q237" s="15">
        <v>0.628</v>
      </c>
      <c r="R237" s="13">
        <v>0.496</v>
      </c>
      <c r="S237" s="17">
        <v>0.42189748699213903</v>
      </c>
    </row>
    <row r="238" spans="1:19" x14ac:dyDescent="0.2">
      <c r="A238" s="7" t="s">
        <v>612</v>
      </c>
      <c r="B238" t="s">
        <v>30</v>
      </c>
      <c r="C238" t="s">
        <v>613</v>
      </c>
      <c r="D238"/>
      <c r="E238" s="5" t="s">
        <v>17</v>
      </c>
      <c r="F238" s="39" t="s">
        <v>25</v>
      </c>
      <c r="G238" s="5" t="s">
        <v>406</v>
      </c>
      <c r="L238" s="5">
        <v>247</v>
      </c>
      <c r="M238" s="5">
        <v>23</v>
      </c>
      <c r="P238" s="13">
        <v>8.1000000000000003E-2</v>
      </c>
      <c r="Q238" s="13">
        <v>0.66200000000000003</v>
      </c>
      <c r="R238" s="13">
        <v>0.69199999999999995</v>
      </c>
      <c r="S238" s="17">
        <v>0.418244215653714</v>
      </c>
    </row>
    <row r="239" spans="1:19" x14ac:dyDescent="0.2">
      <c r="A239" s="7" t="s">
        <v>614</v>
      </c>
      <c r="B239" t="s">
        <v>30</v>
      </c>
      <c r="C239" t="s">
        <v>613</v>
      </c>
      <c r="D239"/>
      <c r="E239" s="5" t="s">
        <v>17</v>
      </c>
      <c r="F239" s="39" t="s">
        <v>25</v>
      </c>
      <c r="G239" s="5" t="s">
        <v>406</v>
      </c>
      <c r="L239" s="5">
        <v>426</v>
      </c>
      <c r="M239" s="5">
        <v>47</v>
      </c>
      <c r="P239" s="13">
        <v>8.1000000000000003E-2</v>
      </c>
      <c r="Q239" s="13">
        <v>0.66200000000000003</v>
      </c>
      <c r="R239" s="13">
        <v>0.69199999999999995</v>
      </c>
      <c r="S239" s="17">
        <v>0.418244215653714</v>
      </c>
    </row>
    <row r="240" spans="1:19" x14ac:dyDescent="0.2">
      <c r="A240" s="7" t="s">
        <v>615</v>
      </c>
      <c r="B240" t="s">
        <v>30</v>
      </c>
      <c r="C240" t="s">
        <v>616</v>
      </c>
      <c r="D240"/>
      <c r="E240" s="5" t="s">
        <v>17</v>
      </c>
      <c r="G240" s="5" t="s">
        <v>406</v>
      </c>
      <c r="L240" s="5">
        <v>199</v>
      </c>
      <c r="M240" s="5">
        <v>19</v>
      </c>
      <c r="P240" s="13">
        <v>0.33500000000000002</v>
      </c>
      <c r="Q240" s="13">
        <v>0.70399999999999996</v>
      </c>
      <c r="R240" s="13">
        <v>0.59199999999999997</v>
      </c>
      <c r="S240" s="17">
        <v>0.27864496844901998</v>
      </c>
    </row>
    <row r="241" spans="1:19" x14ac:dyDescent="0.2">
      <c r="A241" s="7" t="s">
        <v>617</v>
      </c>
      <c r="B241" t="s">
        <v>30</v>
      </c>
      <c r="C241" t="s">
        <v>613</v>
      </c>
      <c r="D241"/>
      <c r="E241" s="5" t="s">
        <v>17</v>
      </c>
      <c r="F241" t="s">
        <v>25</v>
      </c>
      <c r="G241" s="5" t="s">
        <v>406</v>
      </c>
      <c r="L241" s="5">
        <v>382</v>
      </c>
      <c r="M241" s="5">
        <v>293</v>
      </c>
      <c r="P241" s="13">
        <v>8.1000000000000003E-2</v>
      </c>
      <c r="Q241" s="13">
        <v>0.66200000000000003</v>
      </c>
      <c r="R241" s="13">
        <v>0.69199999999999995</v>
      </c>
      <c r="S241" s="17">
        <v>0.418244215653714</v>
      </c>
    </row>
    <row r="242" spans="1:19" x14ac:dyDescent="0.2">
      <c r="A242" s="7" t="s">
        <v>618</v>
      </c>
      <c r="B242" t="s">
        <v>30</v>
      </c>
      <c r="C242" t="s">
        <v>613</v>
      </c>
      <c r="D242"/>
      <c r="E242" s="5" t="s">
        <v>17</v>
      </c>
      <c r="F242" s="39" t="s">
        <v>25</v>
      </c>
      <c r="G242" s="5" t="s">
        <v>406</v>
      </c>
      <c r="L242" s="5">
        <v>248</v>
      </c>
      <c r="M242" s="5">
        <v>25</v>
      </c>
      <c r="P242" s="13">
        <v>8.1000000000000003E-2</v>
      </c>
      <c r="Q242" s="13">
        <v>0.66200000000000003</v>
      </c>
      <c r="R242" s="13">
        <v>0.69199999999999995</v>
      </c>
      <c r="S242" s="17">
        <v>0.418244215653714</v>
      </c>
    </row>
    <row r="243" spans="1:19" x14ac:dyDescent="0.2">
      <c r="A243" s="7" t="s">
        <v>619</v>
      </c>
      <c r="B243" t="s">
        <v>30</v>
      </c>
      <c r="C243" s="73" t="s">
        <v>620</v>
      </c>
      <c r="E243" s="5" t="s">
        <v>17</v>
      </c>
      <c r="F243" s="39" t="s">
        <v>25</v>
      </c>
      <c r="G243" s="5" t="s">
        <v>406</v>
      </c>
      <c r="L243" s="5">
        <v>84</v>
      </c>
      <c r="M243" s="5">
        <v>82</v>
      </c>
      <c r="P243" s="15">
        <v>0.15</v>
      </c>
      <c r="Q243" s="15">
        <v>0.81</v>
      </c>
      <c r="R243" s="13">
        <v>0.87</v>
      </c>
      <c r="S243" s="17">
        <v>0.511347282187534</v>
      </c>
    </row>
    <row r="244" spans="1:19" x14ac:dyDescent="0.2">
      <c r="A244" s="7" t="s">
        <v>656</v>
      </c>
      <c r="B244" t="s">
        <v>30</v>
      </c>
      <c r="C244" t="s">
        <v>31</v>
      </c>
      <c r="D244"/>
      <c r="E244" s="5" t="s">
        <v>17</v>
      </c>
      <c r="G244" s="5" t="s">
        <v>406</v>
      </c>
      <c r="L244" s="5">
        <v>320</v>
      </c>
      <c r="M244" s="5">
        <v>31</v>
      </c>
      <c r="P244" s="13">
        <v>0.76100000000000001</v>
      </c>
      <c r="Q244" s="13">
        <v>4.9000000000000002E-2</v>
      </c>
      <c r="R244" s="13">
        <v>0.997</v>
      </c>
      <c r="S244" s="17">
        <v>0.326580316616849</v>
      </c>
    </row>
    <row r="245" spans="1:19" x14ac:dyDescent="0.2">
      <c r="A245" s="7" t="s">
        <v>674</v>
      </c>
      <c r="B245" t="s">
        <v>30</v>
      </c>
      <c r="C245" t="s">
        <v>120</v>
      </c>
      <c r="D245"/>
      <c r="E245" s="5" t="s">
        <v>17</v>
      </c>
      <c r="F245" s="39" t="s">
        <v>25</v>
      </c>
      <c r="G245" s="5" t="s">
        <v>406</v>
      </c>
      <c r="L245" s="5">
        <v>344</v>
      </c>
      <c r="M245" s="5">
        <v>17</v>
      </c>
      <c r="P245" s="13">
        <v>0.221</v>
      </c>
      <c r="Q245" s="13">
        <v>0.59899999999999998</v>
      </c>
      <c r="R245" s="13">
        <v>0.98799999999999999</v>
      </c>
      <c r="S245" s="17">
        <v>0.614745931584191</v>
      </c>
    </row>
    <row r="246" spans="1:19" x14ac:dyDescent="0.2">
      <c r="A246" s="7" t="s">
        <v>675</v>
      </c>
      <c r="B246" t="s">
        <v>30</v>
      </c>
      <c r="C246" t="s">
        <v>676</v>
      </c>
      <c r="D246"/>
      <c r="E246" s="5" t="s">
        <v>17</v>
      </c>
      <c r="F246" s="39" t="s">
        <v>25</v>
      </c>
      <c r="G246" s="5" t="s">
        <v>406</v>
      </c>
      <c r="L246" s="5">
        <v>90</v>
      </c>
      <c r="M246" s="5">
        <v>89</v>
      </c>
      <c r="P246" s="13">
        <v>0.48799999999999999</v>
      </c>
      <c r="Q246" s="13">
        <v>0.72199999999999998</v>
      </c>
      <c r="R246" s="13">
        <v>0.36299999999999999</v>
      </c>
      <c r="S246" s="17">
        <v>0.15432303775046999</v>
      </c>
    </row>
    <row r="247" spans="1:19" x14ac:dyDescent="0.2">
      <c r="A247" s="7" t="s">
        <v>684</v>
      </c>
      <c r="B247" t="s">
        <v>30</v>
      </c>
      <c r="C247" t="s">
        <v>48</v>
      </c>
      <c r="D247"/>
      <c r="E247" s="5" t="s">
        <v>17</v>
      </c>
      <c r="G247" s="5" t="s">
        <v>406</v>
      </c>
      <c r="L247" s="5">
        <v>116</v>
      </c>
      <c r="M247" s="5">
        <v>116</v>
      </c>
      <c r="P247" s="13">
        <v>0.64300000000000002</v>
      </c>
      <c r="Q247" s="13">
        <v>0.63100000000000001</v>
      </c>
      <c r="R247" s="13">
        <v>0.13600000000000001</v>
      </c>
      <c r="S247" s="17">
        <v>0.29336875899479598</v>
      </c>
    </row>
    <row r="248" spans="1:19" x14ac:dyDescent="0.2">
      <c r="A248" s="7" t="s">
        <v>687</v>
      </c>
      <c r="B248" t="s">
        <v>30</v>
      </c>
      <c r="C248" s="73" t="s">
        <v>120</v>
      </c>
      <c r="E248" s="5" t="s">
        <v>17</v>
      </c>
      <c r="F248" s="39" t="s">
        <v>25</v>
      </c>
      <c r="G248" s="5" t="s">
        <v>406</v>
      </c>
      <c r="L248" s="5">
        <v>194</v>
      </c>
      <c r="M248" s="5">
        <v>20</v>
      </c>
      <c r="P248" s="15">
        <v>0.22</v>
      </c>
      <c r="Q248" s="15">
        <v>0.59899999999999998</v>
      </c>
      <c r="R248" s="13">
        <v>0.98799999999999999</v>
      </c>
      <c r="S248" s="17">
        <v>0.614745931584191</v>
      </c>
    </row>
    <row r="249" spans="1:19" x14ac:dyDescent="0.2">
      <c r="A249" s="7" t="s">
        <v>693</v>
      </c>
      <c r="B249" t="s">
        <v>30</v>
      </c>
      <c r="C249" s="73" t="s">
        <v>497</v>
      </c>
      <c r="E249" s="5" t="s">
        <v>17</v>
      </c>
      <c r="F249" s="39" t="s">
        <v>25</v>
      </c>
      <c r="G249" s="5" t="s">
        <v>406</v>
      </c>
      <c r="L249" s="5">
        <v>120</v>
      </c>
      <c r="M249" s="5">
        <v>120</v>
      </c>
      <c r="P249" s="15">
        <v>0.21</v>
      </c>
      <c r="Q249" s="15">
        <v>0.84599999999999997</v>
      </c>
      <c r="R249" s="13">
        <v>0.57899999999999996</v>
      </c>
      <c r="S249" s="17">
        <v>0.235469943540352</v>
      </c>
    </row>
    <row r="250" spans="1:19" x14ac:dyDescent="0.2">
      <c r="A250" s="7" t="s">
        <v>697</v>
      </c>
      <c r="B250" t="s">
        <v>30</v>
      </c>
      <c r="C250" t="s">
        <v>120</v>
      </c>
      <c r="D250"/>
      <c r="E250" s="5" t="s">
        <v>17</v>
      </c>
      <c r="F250" s="39" t="s">
        <v>25</v>
      </c>
      <c r="G250" s="5" t="s">
        <v>406</v>
      </c>
      <c r="L250" s="5">
        <v>381</v>
      </c>
      <c r="M250" s="5">
        <v>38</v>
      </c>
      <c r="P250" s="13">
        <v>0.221</v>
      </c>
      <c r="Q250" s="13">
        <v>0.59899999999999998</v>
      </c>
      <c r="R250" s="13">
        <v>0.98799999999999999</v>
      </c>
      <c r="S250" s="17">
        <v>0.614745931584191</v>
      </c>
    </row>
    <row r="251" spans="1:19" x14ac:dyDescent="0.2">
      <c r="A251" s="7" t="s">
        <v>700</v>
      </c>
      <c r="B251" t="s">
        <v>30</v>
      </c>
      <c r="C251" s="73" t="s">
        <v>221</v>
      </c>
      <c r="E251" s="5" t="s">
        <v>17</v>
      </c>
      <c r="F251" s="39" t="s">
        <v>25</v>
      </c>
      <c r="G251" s="5" t="s">
        <v>406</v>
      </c>
      <c r="L251" s="5">
        <v>563</v>
      </c>
      <c r="M251" s="5">
        <v>84</v>
      </c>
      <c r="P251" s="15">
        <v>0.54</v>
      </c>
      <c r="Q251" s="15">
        <v>0.52600000000000002</v>
      </c>
      <c r="R251" s="13">
        <v>0.97099999999999997</v>
      </c>
      <c r="S251" s="17">
        <v>0.57777039743163905</v>
      </c>
    </row>
    <row r="252" spans="1:19" x14ac:dyDescent="0.2">
      <c r="A252" s="7" t="s">
        <v>705</v>
      </c>
      <c r="B252" t="s">
        <v>30</v>
      </c>
      <c r="C252" s="73" t="s">
        <v>706</v>
      </c>
      <c r="E252" s="5" t="s">
        <v>17</v>
      </c>
      <c r="F252" s="39" t="s">
        <v>25</v>
      </c>
      <c r="G252" s="5" t="s">
        <v>406</v>
      </c>
      <c r="L252" s="5">
        <v>217</v>
      </c>
      <c r="M252" s="5">
        <v>21</v>
      </c>
      <c r="P252" s="15">
        <v>0.38</v>
      </c>
      <c r="Q252" s="15">
        <v>0.40400000000000003</v>
      </c>
      <c r="R252" s="13">
        <v>0.84299999999999997</v>
      </c>
      <c r="S252" s="17">
        <v>0.32403409719915799</v>
      </c>
    </row>
    <row r="253" spans="1:19" x14ac:dyDescent="0.2">
      <c r="A253" s="7" t="s">
        <v>726</v>
      </c>
      <c r="B253" t="s">
        <v>30</v>
      </c>
      <c r="C253" t="s">
        <v>727</v>
      </c>
      <c r="D253"/>
      <c r="E253" s="5" t="s">
        <v>17</v>
      </c>
      <c r="F253" s="39" t="s">
        <v>25</v>
      </c>
      <c r="G253" s="5" t="s">
        <v>406</v>
      </c>
      <c r="L253" s="5">
        <v>24</v>
      </c>
      <c r="M253" s="5">
        <v>24</v>
      </c>
      <c r="P253" s="13">
        <v>0.54400000000000004</v>
      </c>
      <c r="Q253" s="13">
        <v>0.88900000000000001</v>
      </c>
      <c r="R253" s="13">
        <v>0.28599999999999998</v>
      </c>
      <c r="S253" s="17">
        <v>0.23613417469279299</v>
      </c>
    </row>
    <row r="254" spans="1:19" x14ac:dyDescent="0.2">
      <c r="A254" s="7" t="s">
        <v>734</v>
      </c>
      <c r="B254" t="s">
        <v>30</v>
      </c>
      <c r="C254" t="s">
        <v>221</v>
      </c>
      <c r="D254"/>
      <c r="E254" s="5" t="s">
        <v>17</v>
      </c>
      <c r="F254" s="39" t="s">
        <v>25</v>
      </c>
      <c r="G254" s="5" t="s">
        <v>406</v>
      </c>
      <c r="L254" s="5">
        <v>1442</v>
      </c>
      <c r="M254" s="5">
        <v>149</v>
      </c>
      <c r="P254" s="13">
        <v>0.54200000000000004</v>
      </c>
      <c r="Q254" s="13">
        <v>0.52600000000000002</v>
      </c>
      <c r="R254" s="13">
        <v>0.97099999999999997</v>
      </c>
      <c r="S254" s="17">
        <v>0.57777039743163905</v>
      </c>
    </row>
    <row r="255" spans="1:19" x14ac:dyDescent="0.2">
      <c r="A255" s="7" t="s">
        <v>773</v>
      </c>
      <c r="B255" t="s">
        <v>30</v>
      </c>
      <c r="C255">
        <v>52433</v>
      </c>
      <c r="D255"/>
      <c r="E255" s="5" t="s">
        <v>17</v>
      </c>
      <c r="F255" s="39" t="s">
        <v>25</v>
      </c>
      <c r="G255" s="5" t="s">
        <v>406</v>
      </c>
      <c r="L255" s="5">
        <v>96</v>
      </c>
      <c r="M255" s="5">
        <v>96</v>
      </c>
      <c r="P255" s="17">
        <v>0.55200000000000005</v>
      </c>
      <c r="Q255" s="17">
        <v>0.628</v>
      </c>
      <c r="R255" s="17">
        <v>0.496</v>
      </c>
      <c r="S255" s="17">
        <v>0.42189748699213903</v>
      </c>
    </row>
    <row r="256" spans="1:19" x14ac:dyDescent="0.2">
      <c r="A256" s="7" t="s">
        <v>776</v>
      </c>
      <c r="B256" t="s">
        <v>30</v>
      </c>
      <c r="C256" t="s">
        <v>727</v>
      </c>
      <c r="D256"/>
      <c r="E256" s="5" t="s">
        <v>17</v>
      </c>
      <c r="F256" s="39" t="s">
        <v>25</v>
      </c>
      <c r="G256" s="5" t="s">
        <v>406</v>
      </c>
      <c r="L256" s="5">
        <v>196</v>
      </c>
      <c r="M256" s="5">
        <v>16</v>
      </c>
      <c r="P256" s="13">
        <v>0.54400000000000004</v>
      </c>
      <c r="Q256" s="13">
        <v>0.88900000000000001</v>
      </c>
      <c r="R256" s="13">
        <v>0.28599999999999998</v>
      </c>
      <c r="S256" s="17">
        <v>0.23613417469279299</v>
      </c>
    </row>
    <row r="257" spans="1:19" x14ac:dyDescent="0.2">
      <c r="A257" s="7" t="s">
        <v>777</v>
      </c>
      <c r="B257" t="s">
        <v>30</v>
      </c>
      <c r="C257" t="s">
        <v>727</v>
      </c>
      <c r="D257"/>
      <c r="E257" s="5" t="s">
        <v>17</v>
      </c>
      <c r="F257" s="39" t="s">
        <v>25</v>
      </c>
      <c r="G257" s="5" t="s">
        <v>406</v>
      </c>
      <c r="L257" s="5">
        <v>188</v>
      </c>
      <c r="M257" s="5">
        <v>60</v>
      </c>
      <c r="P257" s="13">
        <v>0.54400000000000004</v>
      </c>
      <c r="Q257" s="13">
        <v>0.88900000000000001</v>
      </c>
      <c r="R257" s="13">
        <v>0.28599999999999998</v>
      </c>
      <c r="S257" s="17">
        <v>0.23613417469279299</v>
      </c>
    </row>
    <row r="258" spans="1:19" x14ac:dyDescent="0.2">
      <c r="A258" s="7" t="s">
        <v>779</v>
      </c>
      <c r="B258" t="s">
        <v>30</v>
      </c>
      <c r="C258" t="s">
        <v>126</v>
      </c>
      <c r="D258"/>
      <c r="E258" s="5" t="s">
        <v>17</v>
      </c>
      <c r="G258" s="5" t="s">
        <v>406</v>
      </c>
      <c r="L258" s="5">
        <v>136</v>
      </c>
      <c r="M258" s="5">
        <v>45</v>
      </c>
      <c r="P258" s="13">
        <v>0.64100000000000001</v>
      </c>
      <c r="Q258" s="13">
        <v>0.52800000000000002</v>
      </c>
      <c r="R258" s="13">
        <v>0.34799999999999998</v>
      </c>
      <c r="S258" s="17">
        <v>0.348278534263256</v>
      </c>
    </row>
    <row r="259" spans="1:19" x14ac:dyDescent="0.2">
      <c r="A259" s="7" t="s">
        <v>782</v>
      </c>
      <c r="B259" t="s">
        <v>30</v>
      </c>
      <c r="C259" s="73" t="s">
        <v>491</v>
      </c>
      <c r="E259" s="5" t="s">
        <v>17</v>
      </c>
      <c r="F259" s="39" t="s">
        <v>25</v>
      </c>
      <c r="G259" s="5" t="s">
        <v>406</v>
      </c>
      <c r="L259" s="5">
        <v>120</v>
      </c>
      <c r="M259" s="5">
        <v>120</v>
      </c>
      <c r="P259" s="15">
        <v>0.41</v>
      </c>
      <c r="Q259" s="15">
        <v>0.59899999999999998</v>
      </c>
      <c r="R259" s="13">
        <v>0.65</v>
      </c>
      <c r="S259" s="17">
        <v>0.47802501937340802</v>
      </c>
    </row>
    <row r="260" spans="1:19" x14ac:dyDescent="0.2">
      <c r="A260" s="7" t="s">
        <v>783</v>
      </c>
      <c r="B260" t="s">
        <v>30</v>
      </c>
      <c r="C260" s="73" t="s">
        <v>784</v>
      </c>
      <c r="E260" s="5" t="s">
        <v>17</v>
      </c>
      <c r="F260" s="39" t="s">
        <v>25</v>
      </c>
      <c r="G260" s="5" t="s">
        <v>406</v>
      </c>
      <c r="L260" s="5">
        <v>258</v>
      </c>
      <c r="M260" s="5">
        <v>60</v>
      </c>
      <c r="P260" s="15">
        <v>0.41</v>
      </c>
      <c r="Q260" s="15">
        <v>0.70599999999999996</v>
      </c>
      <c r="R260" s="13">
        <v>0.30099999999999999</v>
      </c>
      <c r="S260" s="17">
        <v>0.150780471604118</v>
      </c>
    </row>
    <row r="261" spans="1:19" x14ac:dyDescent="0.2">
      <c r="A261" s="7" t="s">
        <v>785</v>
      </c>
      <c r="B261" t="s">
        <v>30</v>
      </c>
      <c r="C261" t="s">
        <v>491</v>
      </c>
      <c r="D261"/>
      <c r="E261" s="5" t="s">
        <v>17</v>
      </c>
      <c r="F261" s="39" t="s">
        <v>25</v>
      </c>
      <c r="G261" s="5" t="s">
        <v>406</v>
      </c>
      <c r="L261" s="5">
        <v>200</v>
      </c>
      <c r="M261" s="5">
        <v>8</v>
      </c>
      <c r="P261" s="13">
        <v>0.41099999999999998</v>
      </c>
      <c r="Q261" s="13">
        <v>0.59899999999999998</v>
      </c>
      <c r="R261" s="13">
        <v>0.65</v>
      </c>
      <c r="S261" s="17">
        <v>0.47802501937340802</v>
      </c>
    </row>
    <row r="262" spans="1:19" x14ac:dyDescent="0.2">
      <c r="A262" s="7" t="s">
        <v>786</v>
      </c>
      <c r="B262" t="s">
        <v>30</v>
      </c>
      <c r="C262" s="73" t="s">
        <v>676</v>
      </c>
      <c r="E262" s="5" t="s">
        <v>17</v>
      </c>
      <c r="F262" s="39" t="s">
        <v>25</v>
      </c>
      <c r="G262" s="5" t="s">
        <v>406</v>
      </c>
      <c r="L262" s="5">
        <v>150</v>
      </c>
      <c r="M262" s="5">
        <v>150</v>
      </c>
      <c r="P262" s="15">
        <v>0.49</v>
      </c>
      <c r="Q262" s="15">
        <v>0.72199999999999998</v>
      </c>
      <c r="R262" s="13">
        <v>0.36299999999999999</v>
      </c>
      <c r="S262" s="17">
        <v>0.15432303775046999</v>
      </c>
    </row>
    <row r="263" spans="1:19" x14ac:dyDescent="0.2">
      <c r="A263" s="7" t="s">
        <v>329</v>
      </c>
      <c r="B263" t="s">
        <v>30</v>
      </c>
      <c r="C263" s="73" t="s">
        <v>330</v>
      </c>
      <c r="E263" s="5" t="s">
        <v>17</v>
      </c>
      <c r="G263" s="5" t="s">
        <v>406</v>
      </c>
      <c r="L263" s="67">
        <v>253</v>
      </c>
      <c r="M263" s="67"/>
      <c r="P263" s="15">
        <v>0.34</v>
      </c>
      <c r="Q263" s="15">
        <v>0.91800000000000004</v>
      </c>
      <c r="R263" s="13">
        <v>0.26200000000000001</v>
      </c>
      <c r="S263" s="13">
        <v>0.35945975866268098</v>
      </c>
    </row>
    <row r="264" spans="1:19" x14ac:dyDescent="0.2">
      <c r="A264" s="7" t="s">
        <v>788</v>
      </c>
      <c r="B264" t="s">
        <v>30</v>
      </c>
      <c r="C264" s="73" t="s">
        <v>120</v>
      </c>
      <c r="E264" s="5" t="s">
        <v>17</v>
      </c>
      <c r="G264" s="5" t="s">
        <v>406</v>
      </c>
      <c r="L264" s="67">
        <v>19</v>
      </c>
      <c r="M264" s="67"/>
      <c r="O264" s="5" t="s">
        <v>789</v>
      </c>
      <c r="P264" s="15">
        <v>0.22</v>
      </c>
      <c r="Q264" s="15">
        <v>0.59899999999999998</v>
      </c>
      <c r="R264" s="13">
        <v>0.98799999999999999</v>
      </c>
      <c r="S264" s="13">
        <v>0.614745931584191</v>
      </c>
    </row>
    <row r="265" spans="1:19" x14ac:dyDescent="0.2">
      <c r="A265" s="7" t="s">
        <v>790</v>
      </c>
      <c r="B265" t="s">
        <v>30</v>
      </c>
      <c r="C265" s="73" t="s">
        <v>84</v>
      </c>
      <c r="E265" s="5" t="s">
        <v>17</v>
      </c>
      <c r="G265" s="5" t="s">
        <v>406</v>
      </c>
      <c r="L265" s="67">
        <v>144</v>
      </c>
      <c r="M265" s="67"/>
      <c r="O265" s="5" t="s">
        <v>791</v>
      </c>
      <c r="P265" s="66">
        <v>0.254</v>
      </c>
      <c r="Q265" s="32">
        <v>0.92600000000000005</v>
      </c>
      <c r="R265" s="32">
        <v>0.66500000000000004</v>
      </c>
      <c r="S265" s="32">
        <v>0.45643750691907398</v>
      </c>
    </row>
    <row r="266" spans="1:19" s="5" customFormat="1" x14ac:dyDescent="0.2">
      <c r="A266" s="7" t="s">
        <v>792</v>
      </c>
      <c r="B266" t="s">
        <v>30</v>
      </c>
      <c r="C266" s="73" t="s">
        <v>120</v>
      </c>
      <c r="D266" s="73"/>
      <c r="E266" s="5" t="s">
        <v>17</v>
      </c>
      <c r="F266"/>
      <c r="G266" s="5" t="s">
        <v>406</v>
      </c>
      <c r="L266" s="67">
        <v>36</v>
      </c>
      <c r="M266" s="67"/>
      <c r="O266" s="5" t="s">
        <v>791</v>
      </c>
      <c r="P266" s="15">
        <v>0.22</v>
      </c>
      <c r="Q266" s="15">
        <v>0.59899999999999998</v>
      </c>
      <c r="R266" s="13">
        <v>0.98799999999999999</v>
      </c>
      <c r="S266" s="13">
        <v>0.614745931584191</v>
      </c>
    </row>
    <row r="267" spans="1:19" s="5" customFormat="1" x14ac:dyDescent="0.2">
      <c r="A267" s="7" t="s">
        <v>458</v>
      </c>
      <c r="B267" t="s">
        <v>30</v>
      </c>
      <c r="C267" s="73" t="s">
        <v>84</v>
      </c>
      <c r="D267" s="73"/>
      <c r="E267" s="5" t="s">
        <v>17</v>
      </c>
      <c r="F267" s="39" t="s">
        <v>25</v>
      </c>
      <c r="G267" s="5" t="s">
        <v>406</v>
      </c>
      <c r="L267" s="67">
        <v>81</v>
      </c>
      <c r="M267" s="67"/>
      <c r="P267" s="15">
        <v>0.25</v>
      </c>
      <c r="Q267" s="15">
        <v>0.92600000000000005</v>
      </c>
      <c r="R267" s="13">
        <v>0.66500000000000004</v>
      </c>
      <c r="S267" s="17">
        <v>0.45643750691907398</v>
      </c>
    </row>
    <row r="268" spans="1:19" s="5" customFormat="1" x14ac:dyDescent="0.2">
      <c r="A268" s="7" t="s">
        <v>793</v>
      </c>
      <c r="B268" t="s">
        <v>30</v>
      </c>
      <c r="C268" s="73" t="s">
        <v>794</v>
      </c>
      <c r="D268" s="73"/>
      <c r="E268" s="5" t="s">
        <v>17</v>
      </c>
      <c r="F268"/>
      <c r="G268" s="5" t="s">
        <v>406</v>
      </c>
      <c r="L268" s="67">
        <v>18</v>
      </c>
      <c r="M268" s="67"/>
      <c r="O268" s="5" t="s">
        <v>791</v>
      </c>
      <c r="P268" s="32">
        <v>0.433</v>
      </c>
      <c r="Q268" s="32">
        <v>0.36499999999999999</v>
      </c>
      <c r="R268" s="32">
        <v>0.95299999999999996</v>
      </c>
      <c r="S268" s="32">
        <v>0.33731872024797899</v>
      </c>
    </row>
    <row r="269" spans="1:19" s="5" customFormat="1" x14ac:dyDescent="0.2">
      <c r="A269" s="7" t="s">
        <v>220</v>
      </c>
      <c r="B269" t="s">
        <v>30</v>
      </c>
      <c r="C269" s="73" t="s">
        <v>221</v>
      </c>
      <c r="D269" s="73"/>
      <c r="E269" s="5" t="s">
        <v>17</v>
      </c>
      <c r="F269" s="39" t="s">
        <v>25</v>
      </c>
      <c r="G269" s="5" t="s">
        <v>406</v>
      </c>
      <c r="L269" s="68"/>
      <c r="M269" s="67"/>
      <c r="P269" s="15">
        <v>0.54</v>
      </c>
      <c r="Q269" s="15">
        <v>0.52600000000000002</v>
      </c>
      <c r="R269" s="13">
        <v>0.97099999999999997</v>
      </c>
      <c r="S269" s="13">
        <v>0.57777039743163905</v>
      </c>
    </row>
    <row r="270" spans="1:19" s="5" customFormat="1" x14ac:dyDescent="0.2">
      <c r="A270" s="7" t="s">
        <v>795</v>
      </c>
      <c r="B270" t="s">
        <v>30</v>
      </c>
      <c r="C270" s="73" t="s">
        <v>221</v>
      </c>
      <c r="D270" s="73"/>
      <c r="E270" s="5" t="s">
        <v>17</v>
      </c>
      <c r="F270"/>
      <c r="G270" s="5" t="s">
        <v>406</v>
      </c>
      <c r="L270" s="67">
        <v>29</v>
      </c>
      <c r="M270" s="67"/>
      <c r="O270" s="5" t="s">
        <v>791</v>
      </c>
      <c r="P270" s="15">
        <v>0.54</v>
      </c>
      <c r="Q270" s="15">
        <v>0.52600000000000002</v>
      </c>
      <c r="R270" s="13">
        <v>0.97099999999999997</v>
      </c>
      <c r="S270" s="13">
        <v>0.57777039743163905</v>
      </c>
    </row>
    <row r="271" spans="1:19" s="5" customFormat="1" x14ac:dyDescent="0.2">
      <c r="A271" s="7" t="s">
        <v>83</v>
      </c>
      <c r="B271" t="s">
        <v>30</v>
      </c>
      <c r="C271" s="73" t="s">
        <v>84</v>
      </c>
      <c r="D271" s="73"/>
      <c r="E271" s="5" t="s">
        <v>17</v>
      </c>
      <c r="F271" t="s">
        <v>25</v>
      </c>
      <c r="G271" s="5" t="s">
        <v>406</v>
      </c>
      <c r="L271" s="68"/>
      <c r="M271" s="67"/>
      <c r="P271" s="15">
        <v>0.25</v>
      </c>
      <c r="Q271" s="15">
        <v>0.92600000000000005</v>
      </c>
      <c r="R271" s="13">
        <v>0.66500000000000004</v>
      </c>
      <c r="S271" s="13">
        <v>0.45643750691907398</v>
      </c>
    </row>
    <row r="272" spans="1:19" s="5" customFormat="1" x14ac:dyDescent="0.2">
      <c r="A272" s="7" t="s">
        <v>233</v>
      </c>
      <c r="B272" t="s">
        <v>30</v>
      </c>
      <c r="C272" s="73" t="s">
        <v>120</v>
      </c>
      <c r="D272" s="73"/>
      <c r="E272" s="5" t="s">
        <v>17</v>
      </c>
      <c r="F272" s="39" t="s">
        <v>25</v>
      </c>
      <c r="G272" s="5" t="s">
        <v>406</v>
      </c>
      <c r="L272" s="68"/>
      <c r="M272" s="67"/>
      <c r="P272" s="15">
        <v>0.22</v>
      </c>
      <c r="Q272" s="15">
        <v>0.59899999999999998</v>
      </c>
      <c r="R272" s="13">
        <v>0.98799999999999999</v>
      </c>
      <c r="S272" s="13">
        <v>0.614745931584191</v>
      </c>
    </row>
    <row r="273" spans="1:19" s="5" customFormat="1" x14ac:dyDescent="0.2">
      <c r="A273" s="7" t="s">
        <v>35</v>
      </c>
      <c r="B273" t="s">
        <v>30</v>
      </c>
      <c r="C273" s="73" t="s">
        <v>36</v>
      </c>
      <c r="D273" s="73"/>
      <c r="E273" s="5" t="s">
        <v>17</v>
      </c>
      <c r="F273" s="39" t="s">
        <v>25</v>
      </c>
      <c r="G273" s="5" t="s">
        <v>406</v>
      </c>
      <c r="L273" s="68"/>
      <c r="M273" s="67"/>
      <c r="P273" s="15">
        <v>0.31</v>
      </c>
      <c r="Q273" s="15">
        <v>0.78800000000000003</v>
      </c>
      <c r="R273" s="13">
        <v>0.52800000000000002</v>
      </c>
      <c r="S273" s="13">
        <v>0.244547769290379</v>
      </c>
    </row>
    <row r="274" spans="1:19" s="5" customFormat="1" x14ac:dyDescent="0.2">
      <c r="A274" s="7" t="s">
        <v>196</v>
      </c>
      <c r="B274" t="s">
        <v>30</v>
      </c>
      <c r="C274" s="73" t="s">
        <v>84</v>
      </c>
      <c r="D274" s="73"/>
      <c r="E274" s="5" t="s">
        <v>17</v>
      </c>
      <c r="F274" s="39" t="s">
        <v>25</v>
      </c>
      <c r="G274" s="5" t="s">
        <v>406</v>
      </c>
      <c r="L274" s="68"/>
      <c r="M274" s="67"/>
      <c r="P274" s="15">
        <v>0.25</v>
      </c>
      <c r="Q274" s="15">
        <v>0.92600000000000005</v>
      </c>
      <c r="R274" s="13">
        <v>0.66500000000000004</v>
      </c>
      <c r="S274" s="13">
        <v>0.45643750691907398</v>
      </c>
    </row>
    <row r="275" spans="1:19" s="5" customFormat="1" x14ac:dyDescent="0.2">
      <c r="A275" s="7" t="s">
        <v>338</v>
      </c>
      <c r="B275" t="s">
        <v>30</v>
      </c>
      <c r="C275" s="73" t="s">
        <v>84</v>
      </c>
      <c r="D275" s="73"/>
      <c r="E275" s="5" t="s">
        <v>17</v>
      </c>
      <c r="F275" s="39" t="s">
        <v>25</v>
      </c>
      <c r="G275" s="5" t="s">
        <v>406</v>
      </c>
      <c r="L275" s="68"/>
      <c r="M275" s="67"/>
      <c r="P275" s="15">
        <v>0.25</v>
      </c>
      <c r="Q275" s="15">
        <v>0.92600000000000005</v>
      </c>
      <c r="R275" s="13">
        <v>0.66500000000000004</v>
      </c>
      <c r="S275" s="13">
        <v>0.45643750691907398</v>
      </c>
    </row>
    <row r="276" spans="1:19" s="5" customFormat="1" x14ac:dyDescent="0.2">
      <c r="A276" s="7" t="s">
        <v>347</v>
      </c>
      <c r="B276" t="s">
        <v>30</v>
      </c>
      <c r="C276" s="73" t="s">
        <v>84</v>
      </c>
      <c r="D276" s="73"/>
      <c r="E276" s="5" t="s">
        <v>17</v>
      </c>
      <c r="F276" s="39" t="s">
        <v>25</v>
      </c>
      <c r="G276" s="5" t="s">
        <v>406</v>
      </c>
      <c r="L276" s="67">
        <v>163</v>
      </c>
      <c r="M276" s="67"/>
      <c r="P276" s="15">
        <v>0.25</v>
      </c>
      <c r="Q276" s="15">
        <v>0.92600000000000005</v>
      </c>
      <c r="R276" s="13">
        <v>0.66500000000000004</v>
      </c>
      <c r="S276" s="13">
        <v>0.45643750691907398</v>
      </c>
    </row>
    <row r="277" spans="1:19" s="5" customFormat="1" x14ac:dyDescent="0.2">
      <c r="A277" s="7" t="s">
        <v>185</v>
      </c>
      <c r="B277" t="s">
        <v>30</v>
      </c>
      <c r="C277" s="73" t="s">
        <v>186</v>
      </c>
      <c r="D277" s="73"/>
      <c r="E277" s="5" t="s">
        <v>17</v>
      </c>
      <c r="F277" s="39" t="s">
        <v>25</v>
      </c>
      <c r="G277" s="5" t="s">
        <v>406</v>
      </c>
      <c r="L277" s="68"/>
      <c r="M277" s="67"/>
      <c r="P277" s="15">
        <v>0.65</v>
      </c>
      <c r="Q277" s="15">
        <v>0.13800000000000001</v>
      </c>
      <c r="R277" s="13">
        <v>0.97899999999999998</v>
      </c>
      <c r="S277" s="13">
        <v>0.48057123879109898</v>
      </c>
    </row>
    <row r="278" spans="1:19" s="5" customFormat="1" x14ac:dyDescent="0.2">
      <c r="A278" s="7" t="s">
        <v>796</v>
      </c>
      <c r="B278" t="s">
        <v>30</v>
      </c>
      <c r="C278" s="73" t="s">
        <v>794</v>
      </c>
      <c r="D278" s="73"/>
      <c r="E278" s="5" t="s">
        <v>17</v>
      </c>
      <c r="F278"/>
      <c r="G278" s="5" t="s">
        <v>406</v>
      </c>
      <c r="L278" s="67">
        <v>193</v>
      </c>
      <c r="M278" s="67"/>
      <c r="O278" s="5" t="s">
        <v>791</v>
      </c>
      <c r="P278" s="32">
        <v>0.433</v>
      </c>
      <c r="Q278" s="32">
        <v>0.36499999999999999</v>
      </c>
      <c r="R278" s="32">
        <v>0.95299999999999996</v>
      </c>
      <c r="S278" s="32">
        <v>0.33731872024797899</v>
      </c>
    </row>
    <row r="279" spans="1:19" s="5" customFormat="1" x14ac:dyDescent="0.2">
      <c r="A279" s="7" t="s">
        <v>167</v>
      </c>
      <c r="B279" t="s">
        <v>30</v>
      </c>
      <c r="C279" s="73" t="s">
        <v>120</v>
      </c>
      <c r="D279" s="73"/>
      <c r="E279" s="5" t="s">
        <v>17</v>
      </c>
      <c r="F279" s="39" t="s">
        <v>25</v>
      </c>
      <c r="G279" s="5" t="s">
        <v>406</v>
      </c>
      <c r="L279" s="68"/>
      <c r="M279" s="67"/>
      <c r="P279" s="15">
        <v>0.22</v>
      </c>
      <c r="Q279" s="15">
        <v>0.59899999999999998</v>
      </c>
      <c r="R279" s="13">
        <v>0.98799999999999999</v>
      </c>
      <c r="S279" s="13">
        <v>0.614745931584191</v>
      </c>
    </row>
    <row r="280" spans="1:19" s="5" customFormat="1" x14ac:dyDescent="0.2">
      <c r="A280" s="7" t="s">
        <v>141</v>
      </c>
      <c r="B280" t="s">
        <v>30</v>
      </c>
      <c r="C280" s="73" t="s">
        <v>84</v>
      </c>
      <c r="D280" s="73"/>
      <c r="E280" s="5" t="s">
        <v>17</v>
      </c>
      <c r="F280" s="39" t="s">
        <v>25</v>
      </c>
      <c r="G280" s="5" t="s">
        <v>406</v>
      </c>
      <c r="L280" s="68"/>
      <c r="M280" s="67"/>
      <c r="P280" s="15">
        <v>0.25</v>
      </c>
      <c r="Q280" s="15">
        <v>0.92600000000000005</v>
      </c>
      <c r="R280" s="13">
        <v>0.66500000000000004</v>
      </c>
      <c r="S280" s="13">
        <v>0.45643750691907398</v>
      </c>
    </row>
    <row r="281" spans="1:19" s="5" customFormat="1" x14ac:dyDescent="0.2">
      <c r="A281" s="7" t="s">
        <v>797</v>
      </c>
      <c r="B281" t="s">
        <v>30</v>
      </c>
      <c r="C281" s="73" t="s">
        <v>798</v>
      </c>
      <c r="D281" s="73"/>
      <c r="E281" s="5" t="s">
        <v>17</v>
      </c>
      <c r="F281"/>
      <c r="G281" s="5" t="s">
        <v>406</v>
      </c>
      <c r="L281" s="67">
        <v>133</v>
      </c>
      <c r="M281" s="67"/>
      <c r="O281" s="5" t="s">
        <v>791</v>
      </c>
      <c r="P281" s="32">
        <v>0.57499999999999996</v>
      </c>
      <c r="Q281" s="32">
        <v>0.42199999999999999</v>
      </c>
      <c r="R281" s="32">
        <v>0.84299999999999997</v>
      </c>
      <c r="S281" s="32">
        <v>0.47846784014170202</v>
      </c>
    </row>
    <row r="282" spans="1:19" s="5" customFormat="1" x14ac:dyDescent="0.2">
      <c r="A282" s="7" t="s">
        <v>532</v>
      </c>
      <c r="B282" t="s">
        <v>30</v>
      </c>
      <c r="C282" s="73" t="s">
        <v>120</v>
      </c>
      <c r="D282" s="73"/>
      <c r="E282" s="5" t="s">
        <v>17</v>
      </c>
      <c r="F282" s="39" t="s">
        <v>25</v>
      </c>
      <c r="G282" s="5" t="s">
        <v>406</v>
      </c>
      <c r="L282" s="68"/>
      <c r="M282" s="67"/>
      <c r="P282" s="15">
        <v>0.22</v>
      </c>
      <c r="Q282" s="15">
        <v>0.59899999999999998</v>
      </c>
      <c r="R282" s="13">
        <v>0.98799999999999999</v>
      </c>
      <c r="S282" s="17">
        <v>0.614745931584191</v>
      </c>
    </row>
    <row r="283" spans="1:19" s="5" customFormat="1" x14ac:dyDescent="0.2">
      <c r="A283" s="7" t="s">
        <v>799</v>
      </c>
      <c r="B283" t="s">
        <v>30</v>
      </c>
      <c r="C283" s="73" t="s">
        <v>120</v>
      </c>
      <c r="D283" s="73"/>
      <c r="E283" s="5" t="s">
        <v>17</v>
      </c>
      <c r="F283"/>
      <c r="G283" s="5" t="s">
        <v>406</v>
      </c>
      <c r="L283" s="67">
        <v>192</v>
      </c>
      <c r="M283" s="67"/>
      <c r="O283" s="5" t="s">
        <v>800</v>
      </c>
      <c r="P283" s="15">
        <v>0.22</v>
      </c>
      <c r="Q283" s="15">
        <v>0.59899999999999998</v>
      </c>
      <c r="R283" s="13">
        <v>0.98799999999999999</v>
      </c>
      <c r="S283" s="13">
        <v>0.614745931584191</v>
      </c>
    </row>
    <row r="284" spans="1:19" s="5" customFormat="1" x14ac:dyDescent="0.2">
      <c r="A284" s="7" t="s">
        <v>538</v>
      </c>
      <c r="B284" t="s">
        <v>30</v>
      </c>
      <c r="C284" s="73" t="s">
        <v>120</v>
      </c>
      <c r="D284" s="73"/>
      <c r="E284" s="5" t="s">
        <v>17</v>
      </c>
      <c r="F284" s="39" t="s">
        <v>25</v>
      </c>
      <c r="G284" s="5" t="s">
        <v>406</v>
      </c>
      <c r="L284" s="67">
        <v>37</v>
      </c>
      <c r="M284" s="67"/>
      <c r="P284" s="15">
        <v>0.22</v>
      </c>
      <c r="Q284" s="15">
        <v>0.59899999999999998</v>
      </c>
      <c r="R284" s="13">
        <v>0.98799999999999999</v>
      </c>
      <c r="S284" s="17">
        <v>0.614745931584191</v>
      </c>
    </row>
    <row r="285" spans="1:19" s="5" customFormat="1" x14ac:dyDescent="0.2">
      <c r="A285" s="7" t="s">
        <v>591</v>
      </c>
      <c r="B285" t="s">
        <v>30</v>
      </c>
      <c r="C285" s="73" t="s">
        <v>120</v>
      </c>
      <c r="D285" s="73"/>
      <c r="E285" s="5" t="s">
        <v>17</v>
      </c>
      <c r="F285" s="39" t="s">
        <v>25</v>
      </c>
      <c r="G285" s="5" t="s">
        <v>406</v>
      </c>
      <c r="L285" s="68"/>
      <c r="M285" s="67"/>
      <c r="P285" s="15">
        <v>0.22</v>
      </c>
      <c r="Q285" s="15">
        <v>0.59899999999999998</v>
      </c>
      <c r="R285" s="13">
        <v>0.98799999999999999</v>
      </c>
      <c r="S285" s="17">
        <v>0.614745931584191</v>
      </c>
    </row>
    <row r="286" spans="1:19" s="5" customFormat="1" x14ac:dyDescent="0.2">
      <c r="A286" s="7" t="s">
        <v>645</v>
      </c>
      <c r="B286" t="s">
        <v>30</v>
      </c>
      <c r="C286" s="73" t="s">
        <v>120</v>
      </c>
      <c r="D286" s="73"/>
      <c r="E286" s="5" t="s">
        <v>17</v>
      </c>
      <c r="F286" s="39" t="s">
        <v>25</v>
      </c>
      <c r="G286" s="5" t="s">
        <v>406</v>
      </c>
      <c r="L286" s="68"/>
      <c r="M286" s="67"/>
      <c r="P286" s="15">
        <v>0.22</v>
      </c>
      <c r="Q286" s="15">
        <v>0.59899999999999998</v>
      </c>
      <c r="R286" s="13">
        <v>0.98799999999999999</v>
      </c>
      <c r="S286" s="17">
        <v>0.614745931584191</v>
      </c>
    </row>
    <row r="287" spans="1:19" s="5" customFormat="1" x14ac:dyDescent="0.2">
      <c r="A287" s="7" t="s">
        <v>708</v>
      </c>
      <c r="B287" t="s">
        <v>30</v>
      </c>
      <c r="C287" s="73" t="s">
        <v>31</v>
      </c>
      <c r="D287" s="73"/>
      <c r="E287" s="5" t="s">
        <v>17</v>
      </c>
      <c r="F287" s="39" t="s">
        <v>25</v>
      </c>
      <c r="G287" s="5" t="s">
        <v>406</v>
      </c>
      <c r="L287" s="68"/>
      <c r="M287" s="67"/>
      <c r="P287" s="15">
        <v>0.76</v>
      </c>
      <c r="Q287" s="15">
        <v>4.9000000000000002E-2</v>
      </c>
      <c r="R287" s="13">
        <v>0.997</v>
      </c>
      <c r="S287" s="17">
        <v>0.326580316616849</v>
      </c>
    </row>
    <row r="288" spans="1:19" s="5" customFormat="1" x14ac:dyDescent="0.2">
      <c r="A288" s="7" t="s">
        <v>801</v>
      </c>
      <c r="B288" t="s">
        <v>30</v>
      </c>
      <c r="C288" s="73" t="s">
        <v>221</v>
      </c>
      <c r="D288" s="73"/>
      <c r="E288" s="5" t="s">
        <v>17</v>
      </c>
      <c r="F288"/>
      <c r="G288" s="5" t="s">
        <v>406</v>
      </c>
      <c r="L288" s="67">
        <v>25</v>
      </c>
      <c r="M288" s="67"/>
      <c r="O288" s="5" t="s">
        <v>791</v>
      </c>
      <c r="P288" s="15">
        <v>0.54</v>
      </c>
      <c r="Q288" s="15">
        <v>0.52600000000000002</v>
      </c>
      <c r="R288" s="13">
        <v>0.97099999999999997</v>
      </c>
      <c r="S288" s="13">
        <v>0.57777039743163905</v>
      </c>
    </row>
    <row r="289" spans="1:19" s="5" customFormat="1" x14ac:dyDescent="0.2">
      <c r="A289" s="7" t="s">
        <v>956</v>
      </c>
      <c r="B289" t="s">
        <v>30</v>
      </c>
      <c r="C289" s="73"/>
      <c r="D289" s="73"/>
      <c r="F289" s="39"/>
      <c r="J289" s="5" t="s">
        <v>26</v>
      </c>
      <c r="L289" s="5">
        <v>40</v>
      </c>
      <c r="M289" s="5">
        <v>39</v>
      </c>
      <c r="P289" s="15"/>
      <c r="Q289" s="15"/>
      <c r="R289" s="13"/>
      <c r="S289" s="13"/>
    </row>
    <row r="290" spans="1:19" s="5" customFormat="1" x14ac:dyDescent="0.2">
      <c r="A290" s="7" t="s">
        <v>544</v>
      </c>
      <c r="B290" t="s">
        <v>30</v>
      </c>
      <c r="C290" s="73" t="s">
        <v>531</v>
      </c>
      <c r="D290" s="73"/>
      <c r="E290" s="5" t="s">
        <v>17</v>
      </c>
      <c r="F290"/>
      <c r="J290" s="5" t="s">
        <v>26</v>
      </c>
      <c r="L290" s="67">
        <v>219</v>
      </c>
      <c r="M290" s="67"/>
      <c r="P290" s="15">
        <v>0.22</v>
      </c>
      <c r="Q290" s="15">
        <v>0.93200000000000005</v>
      </c>
      <c r="R290" s="13">
        <v>0.153</v>
      </c>
      <c r="S290" s="17">
        <v>0.10760544669545</v>
      </c>
    </row>
    <row r="291" spans="1:19" s="5" customFormat="1" x14ac:dyDescent="0.2">
      <c r="A291" s="7" t="s">
        <v>646</v>
      </c>
      <c r="B291" t="s">
        <v>30</v>
      </c>
      <c r="C291" s="73" t="s">
        <v>531</v>
      </c>
      <c r="D291" s="73"/>
      <c r="E291" s="5" t="s">
        <v>17</v>
      </c>
      <c r="F291" s="39" t="s">
        <v>25</v>
      </c>
      <c r="J291" s="5" t="s">
        <v>26</v>
      </c>
      <c r="L291" s="5">
        <v>221</v>
      </c>
      <c r="M291" s="5">
        <v>219</v>
      </c>
      <c r="P291" s="15">
        <v>0.22</v>
      </c>
      <c r="Q291" s="15">
        <v>0.93200000000000005</v>
      </c>
      <c r="R291" s="13">
        <v>0.153</v>
      </c>
      <c r="S291" s="17">
        <v>0.10760544669545</v>
      </c>
    </row>
    <row r="292" spans="1:19" s="5" customFormat="1" x14ac:dyDescent="0.2">
      <c r="A292" s="7" t="s">
        <v>780</v>
      </c>
      <c r="B292" t="s">
        <v>30</v>
      </c>
      <c r="C292" s="73" t="s">
        <v>781</v>
      </c>
      <c r="D292" s="73"/>
      <c r="E292" s="5" t="s">
        <v>17</v>
      </c>
      <c r="F292" s="39" t="s">
        <v>25</v>
      </c>
      <c r="J292" s="5" t="s">
        <v>26</v>
      </c>
      <c r="L292" s="5">
        <v>165</v>
      </c>
      <c r="M292" s="5">
        <v>165</v>
      </c>
      <c r="P292" s="15">
        <v>0.22</v>
      </c>
      <c r="Q292" s="15">
        <v>0.81499999999999995</v>
      </c>
      <c r="R292" s="13">
        <v>0.27100000000000002</v>
      </c>
      <c r="S292" s="17">
        <v>0.14447027565592799</v>
      </c>
    </row>
    <row r="293" spans="1:19" s="5" customFormat="1" x14ac:dyDescent="0.2">
      <c r="A293" s="7" t="s">
        <v>394</v>
      </c>
      <c r="B293" t="s">
        <v>30</v>
      </c>
      <c r="C293" s="73" t="s">
        <v>395</v>
      </c>
      <c r="D293" s="73"/>
      <c r="E293" s="5" t="s">
        <v>17</v>
      </c>
      <c r="F293" t="s">
        <v>25</v>
      </c>
      <c r="G293" s="5" t="s">
        <v>406</v>
      </c>
      <c r="H293" s="5" t="s">
        <v>39</v>
      </c>
      <c r="L293" s="5">
        <v>104</v>
      </c>
      <c r="M293" s="5">
        <v>104</v>
      </c>
      <c r="O293" s="5" t="s">
        <v>40</v>
      </c>
      <c r="P293" s="15">
        <v>0.55000000000000004</v>
      </c>
      <c r="Q293" s="15">
        <v>0.628</v>
      </c>
      <c r="R293" s="13">
        <v>0.496</v>
      </c>
      <c r="S293" s="17">
        <v>0.42189748699213903</v>
      </c>
    </row>
    <row r="294" spans="1:19" s="5" customFormat="1" x14ac:dyDescent="0.2">
      <c r="A294" s="7" t="s">
        <v>37</v>
      </c>
      <c r="B294" t="s">
        <v>30</v>
      </c>
      <c r="C294" t="s">
        <v>38</v>
      </c>
      <c r="D294"/>
      <c r="E294" s="5" t="s">
        <v>17</v>
      </c>
      <c r="F294" t="s">
        <v>25</v>
      </c>
      <c r="G294" s="5" t="s">
        <v>406</v>
      </c>
      <c r="H294" s="5" t="s">
        <v>39</v>
      </c>
      <c r="L294" s="5">
        <v>134</v>
      </c>
      <c r="M294" s="5">
        <v>132</v>
      </c>
      <c r="O294" s="5" t="s">
        <v>40</v>
      </c>
      <c r="P294" s="13">
        <v>3.5999999999999997E-2</v>
      </c>
      <c r="Q294" s="13">
        <v>0.84699999999999998</v>
      </c>
      <c r="R294" s="13">
        <v>0.55900000000000005</v>
      </c>
      <c r="S294" s="13">
        <v>0.10671980515886099</v>
      </c>
    </row>
    <row r="295" spans="1:19" s="5" customFormat="1" x14ac:dyDescent="0.2">
      <c r="A295" s="7" t="s">
        <v>680</v>
      </c>
      <c r="B295" t="s">
        <v>30</v>
      </c>
      <c r="C295" s="73" t="s">
        <v>120</v>
      </c>
      <c r="D295" s="73"/>
      <c r="E295" s="5" t="s">
        <v>17</v>
      </c>
      <c r="F295" t="s">
        <v>25</v>
      </c>
      <c r="G295" s="5" t="s">
        <v>406</v>
      </c>
      <c r="H295" s="5" t="s">
        <v>39</v>
      </c>
      <c r="L295" s="5">
        <v>60</v>
      </c>
      <c r="M295" s="5">
        <v>60</v>
      </c>
      <c r="P295" s="15">
        <v>0.22</v>
      </c>
      <c r="Q295" s="15">
        <v>0.59899999999999998</v>
      </c>
      <c r="R295" s="13">
        <v>0.98799999999999999</v>
      </c>
      <c r="S295" s="17">
        <v>0.614745931584191</v>
      </c>
    </row>
    <row r="296" spans="1:19" s="5" customFormat="1" x14ac:dyDescent="0.2">
      <c r="A296" s="7" t="s">
        <v>483</v>
      </c>
      <c r="B296" t="s">
        <v>52</v>
      </c>
      <c r="C296" t="s">
        <v>484</v>
      </c>
      <c r="D296"/>
      <c r="E296" s="5" t="s">
        <v>17</v>
      </c>
      <c r="F296"/>
      <c r="G296" s="5" t="s">
        <v>406</v>
      </c>
      <c r="L296" s="5">
        <v>22</v>
      </c>
      <c r="M296" s="5">
        <v>22</v>
      </c>
      <c r="P296" s="13">
        <v>0.191</v>
      </c>
      <c r="Q296" s="13">
        <v>0.30499999999999999</v>
      </c>
      <c r="R296" s="13">
        <v>0.66700000000000004</v>
      </c>
      <c r="S296" s="17">
        <v>0.76176242665781002</v>
      </c>
    </row>
    <row r="297" spans="1:19" s="5" customFormat="1" x14ac:dyDescent="0.2">
      <c r="A297" s="7" t="s">
        <v>51</v>
      </c>
      <c r="B297" t="s">
        <v>52</v>
      </c>
      <c r="C297" s="73" t="s">
        <v>53</v>
      </c>
      <c r="D297" s="73"/>
      <c r="E297" s="5" t="s">
        <v>17</v>
      </c>
      <c r="F297" s="39" t="s">
        <v>25</v>
      </c>
      <c r="G297" s="5" t="s">
        <v>406</v>
      </c>
      <c r="L297" s="5">
        <v>72</v>
      </c>
      <c r="M297" s="5">
        <v>72</v>
      </c>
      <c r="P297" s="15">
        <v>0.46</v>
      </c>
      <c r="Q297" s="15">
        <v>0.16900000000000001</v>
      </c>
      <c r="R297" s="13">
        <v>0.85899999999999999</v>
      </c>
      <c r="S297" s="13">
        <v>0.81301893058784402</v>
      </c>
    </row>
    <row r="298" spans="1:19" s="5" customFormat="1" x14ac:dyDescent="0.2">
      <c r="A298" s="7" t="s">
        <v>190</v>
      </c>
      <c r="B298" t="s">
        <v>52</v>
      </c>
      <c r="C298" t="s">
        <v>191</v>
      </c>
      <c r="D298"/>
      <c r="E298" s="5" t="s">
        <v>17</v>
      </c>
      <c r="F298"/>
      <c r="G298" s="5" t="s">
        <v>406</v>
      </c>
      <c r="L298" s="5">
        <v>4</v>
      </c>
      <c r="M298" s="5">
        <v>4</v>
      </c>
      <c r="P298" s="13">
        <v>0.315</v>
      </c>
      <c r="Q298" s="13">
        <v>0.27400000000000002</v>
      </c>
      <c r="R298" s="13">
        <v>0.53100000000000003</v>
      </c>
      <c r="S298" s="13">
        <v>0.71559836156315704</v>
      </c>
    </row>
    <row r="299" spans="1:19" s="5" customFormat="1" x14ac:dyDescent="0.2">
      <c r="A299" s="7" t="s">
        <v>275</v>
      </c>
      <c r="B299" t="s">
        <v>52</v>
      </c>
      <c r="C299" t="s">
        <v>191</v>
      </c>
      <c r="D299"/>
      <c r="E299" s="5" t="s">
        <v>17</v>
      </c>
      <c r="F299"/>
      <c r="G299" s="5" t="s">
        <v>406</v>
      </c>
      <c r="L299" s="5">
        <v>112</v>
      </c>
      <c r="M299" s="5">
        <v>93</v>
      </c>
      <c r="P299" s="13">
        <v>0.315</v>
      </c>
      <c r="Q299" s="13">
        <v>0.27400000000000002</v>
      </c>
      <c r="R299" s="13">
        <v>0.53100000000000003</v>
      </c>
      <c r="S299" s="13">
        <v>0.71559836156315704</v>
      </c>
    </row>
    <row r="300" spans="1:19" s="5" customFormat="1" x14ac:dyDescent="0.2">
      <c r="A300" s="7" t="s">
        <v>722</v>
      </c>
      <c r="B300" t="s">
        <v>52</v>
      </c>
      <c r="C300" t="s">
        <v>479</v>
      </c>
      <c r="D300"/>
      <c r="E300" s="5" t="s">
        <v>17</v>
      </c>
      <c r="F300"/>
      <c r="G300" s="5" t="s">
        <v>406</v>
      </c>
      <c r="L300" s="5">
        <v>12</v>
      </c>
      <c r="M300" s="5">
        <v>12</v>
      </c>
      <c r="P300" s="13">
        <v>0.82899999999999996</v>
      </c>
      <c r="Q300" s="13">
        <v>0.34399999999999997</v>
      </c>
      <c r="R300" s="13">
        <v>0.68200000000000005</v>
      </c>
      <c r="S300" s="17">
        <v>0.80084135945975798</v>
      </c>
    </row>
    <row r="301" spans="1:19" s="5" customFormat="1" x14ac:dyDescent="0.2">
      <c r="A301" s="7" t="s">
        <v>478</v>
      </c>
      <c r="B301" t="s">
        <v>52</v>
      </c>
      <c r="C301" t="s">
        <v>479</v>
      </c>
      <c r="D301"/>
      <c r="E301" s="5" t="s">
        <v>17</v>
      </c>
      <c r="F301"/>
      <c r="J301" s="5" t="s">
        <v>26</v>
      </c>
      <c r="L301" s="5">
        <v>56</v>
      </c>
      <c r="M301" s="5">
        <v>55</v>
      </c>
      <c r="P301" s="13">
        <v>0.82899999999999996</v>
      </c>
      <c r="Q301" s="13">
        <v>0.34399999999999997</v>
      </c>
      <c r="R301" s="13">
        <v>0.68200000000000005</v>
      </c>
      <c r="S301" s="17">
        <v>0.80084135945975798</v>
      </c>
    </row>
    <row r="302" spans="1:19" s="5" customFormat="1" x14ac:dyDescent="0.2">
      <c r="A302" s="7" t="s">
        <v>480</v>
      </c>
      <c r="B302" t="s">
        <v>465</v>
      </c>
      <c r="C302" t="s">
        <v>466</v>
      </c>
      <c r="D302"/>
      <c r="E302" s="5" t="s">
        <v>17</v>
      </c>
      <c r="F302" s="39" t="s">
        <v>25</v>
      </c>
      <c r="G302" s="5" t="s">
        <v>406</v>
      </c>
      <c r="L302" s="5">
        <v>272</v>
      </c>
      <c r="M302" s="5">
        <v>269</v>
      </c>
      <c r="P302" s="13">
        <v>0.89500000000000002</v>
      </c>
      <c r="Q302" s="13">
        <v>0.41199999999999998</v>
      </c>
      <c r="R302" s="13">
        <v>0.29399999999999998</v>
      </c>
      <c r="S302" s="17">
        <v>0.57267795859625803</v>
      </c>
    </row>
    <row r="303" spans="1:19" s="5" customFormat="1" x14ac:dyDescent="0.2">
      <c r="A303" s="7" t="s">
        <v>464</v>
      </c>
      <c r="B303" t="s">
        <v>465</v>
      </c>
      <c r="C303" s="73" t="s">
        <v>466</v>
      </c>
      <c r="D303" s="73"/>
      <c r="E303" s="5" t="s">
        <v>17</v>
      </c>
      <c r="F303" s="39" t="s">
        <v>25</v>
      </c>
      <c r="J303" s="5" t="s">
        <v>26</v>
      </c>
      <c r="L303" s="5">
        <v>35</v>
      </c>
      <c r="M303" s="5">
        <v>35</v>
      </c>
      <c r="P303" s="15">
        <v>0.9</v>
      </c>
      <c r="Q303" s="15">
        <v>0.41199999999999998</v>
      </c>
      <c r="R303" s="13">
        <v>0.29399999999999998</v>
      </c>
      <c r="S303" s="17">
        <v>0.57267795859625803</v>
      </c>
    </row>
    <row r="304" spans="1:19" s="5" customFormat="1" x14ac:dyDescent="0.2">
      <c r="A304" s="7" t="s">
        <v>635</v>
      </c>
      <c r="B304" t="s">
        <v>465</v>
      </c>
      <c r="C304" t="s">
        <v>636</v>
      </c>
      <c r="D304"/>
      <c r="E304" s="5" t="s">
        <v>17</v>
      </c>
      <c r="F304"/>
      <c r="J304" s="5" t="s">
        <v>26</v>
      </c>
      <c r="L304" s="5">
        <v>60</v>
      </c>
      <c r="M304" s="5">
        <v>60</v>
      </c>
      <c r="P304" s="13">
        <v>0.65</v>
      </c>
      <c r="Q304" s="13">
        <v>0.27800000000000002</v>
      </c>
      <c r="R304" s="13">
        <v>0.55600000000000005</v>
      </c>
      <c r="S304" s="17">
        <v>0.61009631351710303</v>
      </c>
    </row>
    <row r="305" spans="1:19" s="5" customFormat="1" x14ac:dyDescent="0.2">
      <c r="A305" s="7" t="s">
        <v>177</v>
      </c>
      <c r="B305" t="s">
        <v>178</v>
      </c>
      <c r="C305" t="s">
        <v>179</v>
      </c>
      <c r="D305"/>
      <c r="E305" s="5" t="s">
        <v>17</v>
      </c>
      <c r="F305"/>
      <c r="G305" s="5" t="s">
        <v>406</v>
      </c>
      <c r="L305" s="5">
        <v>220</v>
      </c>
      <c r="M305" s="5">
        <v>44</v>
      </c>
      <c r="P305" s="13">
        <v>0.95599999999999996</v>
      </c>
      <c r="Q305" s="13">
        <v>0.94699999999999995</v>
      </c>
      <c r="R305" s="13">
        <v>1.7000000000000001E-2</v>
      </c>
      <c r="S305" s="13">
        <v>9.6313517103952095E-3</v>
      </c>
    </row>
    <row r="306" spans="1:19" s="5" customFormat="1" x14ac:dyDescent="0.2">
      <c r="A306" s="7" t="s">
        <v>398</v>
      </c>
      <c r="B306" t="s">
        <v>148</v>
      </c>
      <c r="C306" t="s">
        <v>149</v>
      </c>
      <c r="D306"/>
      <c r="E306" s="5" t="s">
        <v>17</v>
      </c>
      <c r="F306"/>
      <c r="G306" s="5" t="s">
        <v>406</v>
      </c>
      <c r="L306" s="5">
        <v>27</v>
      </c>
      <c r="M306" s="5">
        <v>26</v>
      </c>
      <c r="P306" s="13">
        <v>0.56999999999999995</v>
      </c>
      <c r="Q306" s="13">
        <v>0.40100000000000002</v>
      </c>
      <c r="R306" s="13">
        <v>0.64900000000000002</v>
      </c>
      <c r="S306" s="17">
        <v>0.240119561607439</v>
      </c>
    </row>
    <row r="307" spans="1:19" s="5" customFormat="1" x14ac:dyDescent="0.2">
      <c r="A307" s="7" t="s">
        <v>147</v>
      </c>
      <c r="B307" t="s">
        <v>148</v>
      </c>
      <c r="C307" t="s">
        <v>149</v>
      </c>
      <c r="D307"/>
      <c r="E307" s="5" t="s">
        <v>17</v>
      </c>
      <c r="F307"/>
      <c r="G307" s="5" t="s">
        <v>406</v>
      </c>
      <c r="L307" s="5">
        <v>24</v>
      </c>
      <c r="M307" s="5">
        <v>24</v>
      </c>
      <c r="P307" s="13">
        <v>0.56999999999999995</v>
      </c>
      <c r="Q307" s="13">
        <v>0.40100000000000002</v>
      </c>
      <c r="R307" s="13">
        <v>0.64900000000000002</v>
      </c>
      <c r="S307" s="13">
        <v>0.240119561607439</v>
      </c>
    </row>
    <row r="308" spans="1:19" s="5" customFormat="1" x14ac:dyDescent="0.2">
      <c r="A308" s="7" t="s">
        <v>359</v>
      </c>
      <c r="B308" t="s">
        <v>148</v>
      </c>
      <c r="C308" s="73" t="s">
        <v>149</v>
      </c>
      <c r="D308" s="73"/>
      <c r="E308" s="5" t="s">
        <v>17</v>
      </c>
      <c r="F308" s="39" t="s">
        <v>25</v>
      </c>
      <c r="G308" s="5" t="s">
        <v>406</v>
      </c>
      <c r="L308" s="67">
        <v>26</v>
      </c>
      <c r="M308" s="67"/>
      <c r="P308" s="15">
        <v>0.56999999999999995</v>
      </c>
      <c r="Q308" s="15">
        <v>0.40100000000000002</v>
      </c>
      <c r="R308" s="13">
        <v>0.64900000000000002</v>
      </c>
      <c r="S308" s="13">
        <v>0.240119561607439</v>
      </c>
    </row>
    <row r="309" spans="1:19" s="5" customFormat="1" x14ac:dyDescent="0.2">
      <c r="A309" s="7" t="s">
        <v>748</v>
      </c>
      <c r="B309" t="s">
        <v>148</v>
      </c>
      <c r="C309" t="s">
        <v>749</v>
      </c>
      <c r="D309"/>
      <c r="E309" s="5" t="s">
        <v>17</v>
      </c>
      <c r="F309"/>
      <c r="J309" s="5" t="s">
        <v>26</v>
      </c>
      <c r="L309" s="5">
        <v>71</v>
      </c>
      <c r="M309" s="5">
        <v>70</v>
      </c>
      <c r="P309" s="13">
        <v>0.51800000000000002</v>
      </c>
      <c r="Q309" s="13">
        <v>0.86</v>
      </c>
      <c r="R309" s="13">
        <v>0.159</v>
      </c>
      <c r="S309" s="17">
        <v>0.215985829735414</v>
      </c>
    </row>
    <row r="310" spans="1:19" s="5" customFormat="1" x14ac:dyDescent="0.2">
      <c r="A310" s="7" t="s">
        <v>581</v>
      </c>
      <c r="B310" t="s">
        <v>582</v>
      </c>
      <c r="C310" t="s">
        <v>583</v>
      </c>
      <c r="D310"/>
      <c r="E310" s="5" t="s">
        <v>17</v>
      </c>
      <c r="F310"/>
      <c r="G310" s="5" t="s">
        <v>406</v>
      </c>
      <c r="L310" s="5">
        <v>51</v>
      </c>
      <c r="M310" s="5">
        <v>51</v>
      </c>
      <c r="P310" s="13">
        <v>0.81299999999999994</v>
      </c>
      <c r="Q310" s="13">
        <v>0.124</v>
      </c>
      <c r="R310" s="13">
        <v>0.66400000000000003</v>
      </c>
      <c r="S310" s="17">
        <v>0.239676740839145</v>
      </c>
    </row>
    <row r="311" spans="1:19" s="5" customFormat="1" x14ac:dyDescent="0.2">
      <c r="A311" s="7" t="s">
        <v>584</v>
      </c>
      <c r="B311" t="s">
        <v>582</v>
      </c>
      <c r="C311" t="s">
        <v>583</v>
      </c>
      <c r="D311"/>
      <c r="E311" s="5" t="s">
        <v>17</v>
      </c>
      <c r="F311" s="39" t="s">
        <v>25</v>
      </c>
      <c r="G311" s="5" t="s">
        <v>406</v>
      </c>
      <c r="L311" s="67">
        <v>51</v>
      </c>
      <c r="M311" s="67">
        <v>51</v>
      </c>
      <c r="P311" s="13">
        <v>0.81299999999999994</v>
      </c>
      <c r="Q311" s="13">
        <v>0.124</v>
      </c>
      <c r="R311" s="13">
        <v>0.66400000000000003</v>
      </c>
      <c r="S311" s="17">
        <v>0.239676740839145</v>
      </c>
    </row>
    <row r="312" spans="1:19" s="5" customFormat="1" x14ac:dyDescent="0.2">
      <c r="A312" s="7" t="s">
        <v>399</v>
      </c>
      <c r="B312" t="s">
        <v>400</v>
      </c>
      <c r="C312" t="s">
        <v>401</v>
      </c>
      <c r="D312"/>
      <c r="E312" s="5" t="s">
        <v>17</v>
      </c>
      <c r="F312"/>
      <c r="G312" s="5" t="s">
        <v>406</v>
      </c>
      <c r="L312" s="67">
        <v>56</v>
      </c>
      <c r="M312" s="67">
        <v>55</v>
      </c>
      <c r="P312" s="13">
        <v>0.32600000000000001</v>
      </c>
      <c r="Q312" s="13">
        <v>0.76500000000000001</v>
      </c>
      <c r="R312" s="13">
        <v>0.28699999999999998</v>
      </c>
      <c r="S312" s="17">
        <v>8.8342743274659505E-2</v>
      </c>
    </row>
    <row r="313" spans="1:19" s="5" customFormat="1" x14ac:dyDescent="0.2">
      <c r="A313" s="7" t="s">
        <v>737</v>
      </c>
      <c r="B313" t="s">
        <v>400</v>
      </c>
      <c r="C313" t="s">
        <v>738</v>
      </c>
      <c r="D313"/>
      <c r="E313" s="5" t="s">
        <v>17</v>
      </c>
      <c r="F313"/>
      <c r="G313" s="5" t="s">
        <v>406</v>
      </c>
      <c r="L313" s="67">
        <v>100</v>
      </c>
      <c r="M313" s="67">
        <v>100</v>
      </c>
      <c r="P313" s="13">
        <v>0.54</v>
      </c>
      <c r="Q313" s="13">
        <v>0.36299999999999999</v>
      </c>
      <c r="R313" s="13">
        <v>0.124</v>
      </c>
      <c r="S313" s="17">
        <v>0.246540462747702</v>
      </c>
    </row>
    <row r="314" spans="1:19" s="5" customFormat="1" x14ac:dyDescent="0.2">
      <c r="A314" s="7" t="s">
        <v>417</v>
      </c>
      <c r="B314" t="s">
        <v>418</v>
      </c>
      <c r="C314">
        <v>52422</v>
      </c>
      <c r="D314" s="74" t="s">
        <v>419</v>
      </c>
      <c r="E314" s="5" t="s">
        <v>17</v>
      </c>
      <c r="F314"/>
      <c r="G314" s="5" t="s">
        <v>406</v>
      </c>
      <c r="L314" s="67">
        <v>189</v>
      </c>
      <c r="M314" s="67">
        <v>189</v>
      </c>
      <c r="P314" s="17">
        <v>0.33700000000000002</v>
      </c>
      <c r="Q314" s="17">
        <v>0.85</v>
      </c>
      <c r="R314" s="17">
        <v>7.3999999999999996E-2</v>
      </c>
      <c r="S314" s="17">
        <v>0.29967895494298602</v>
      </c>
    </row>
    <row r="315" spans="1:19" s="5" customFormat="1" x14ac:dyDescent="0.2">
      <c r="A315" s="79" t="s">
        <v>689</v>
      </c>
      <c r="B315" t="s">
        <v>335</v>
      </c>
      <c r="C315" s="73" t="s">
        <v>432</v>
      </c>
      <c r="D315" s="73"/>
      <c r="E315" s="5" t="s">
        <v>17</v>
      </c>
      <c r="F315" t="s">
        <v>25</v>
      </c>
      <c r="H315" s="5" t="s">
        <v>39</v>
      </c>
      <c r="J315" s="5" t="s">
        <v>26</v>
      </c>
      <c r="L315" s="5">
        <v>65</v>
      </c>
      <c r="M315" s="5">
        <v>65</v>
      </c>
      <c r="P315" s="15">
        <v>0.34</v>
      </c>
      <c r="Q315" s="15">
        <v>0.85</v>
      </c>
      <c r="R315" s="13">
        <v>7.3999999999999996E-2</v>
      </c>
      <c r="S315" s="17">
        <v>0.29967895494298602</v>
      </c>
    </row>
    <row r="316" spans="1:19" s="5" customFormat="1" x14ac:dyDescent="0.2">
      <c r="A316" s="79" t="s">
        <v>334</v>
      </c>
      <c r="B316" t="s">
        <v>335</v>
      </c>
      <c r="C316" s="73" t="s">
        <v>336</v>
      </c>
      <c r="D316" s="73"/>
      <c r="E316" s="5" t="s">
        <v>17</v>
      </c>
      <c r="F316" t="s">
        <v>25</v>
      </c>
      <c r="G316" s="5" t="s">
        <v>406</v>
      </c>
      <c r="H316" s="5" t="s">
        <v>39</v>
      </c>
      <c r="L316" s="5">
        <v>71</v>
      </c>
      <c r="M316" s="5">
        <v>70</v>
      </c>
      <c r="P316" s="15">
        <v>0.92</v>
      </c>
      <c r="Q316" s="15">
        <v>0.8</v>
      </c>
      <c r="R316" s="13">
        <v>0.53600000000000003</v>
      </c>
      <c r="S316" s="13">
        <v>0.51212221853204898</v>
      </c>
    </row>
    <row r="317" spans="1:19" s="5" customFormat="1" x14ac:dyDescent="0.2">
      <c r="A317" s="7" t="s">
        <v>442</v>
      </c>
      <c r="B317" t="s">
        <v>169</v>
      </c>
      <c r="C317" t="s">
        <v>170</v>
      </c>
      <c r="D317"/>
      <c r="E317" s="5" t="s">
        <v>17</v>
      </c>
      <c r="F317"/>
      <c r="G317" s="5" t="s">
        <v>406</v>
      </c>
      <c r="L317" s="67">
        <v>10</v>
      </c>
      <c r="M317" s="67">
        <v>9</v>
      </c>
      <c r="P317" s="13">
        <v>0.68600000000000005</v>
      </c>
      <c r="Q317" s="13">
        <v>8.2000000000000003E-2</v>
      </c>
      <c r="R317" s="13">
        <v>1</v>
      </c>
      <c r="S317" s="17">
        <v>0.85154433742942504</v>
      </c>
    </row>
    <row r="318" spans="1:19" s="5" customFormat="1" x14ac:dyDescent="0.2">
      <c r="A318" s="7" t="s">
        <v>168</v>
      </c>
      <c r="B318" t="s">
        <v>169</v>
      </c>
      <c r="C318" t="s">
        <v>170</v>
      </c>
      <c r="D318"/>
      <c r="E318" s="5" t="s">
        <v>17</v>
      </c>
      <c r="F318"/>
      <c r="G318" s="5" t="s">
        <v>406</v>
      </c>
      <c r="L318" s="5">
        <v>18</v>
      </c>
      <c r="M318" s="5">
        <v>17</v>
      </c>
      <c r="P318" s="13">
        <v>0.68600000000000005</v>
      </c>
      <c r="Q318" s="13">
        <v>8.2000000000000003E-2</v>
      </c>
      <c r="R318" s="13">
        <v>1</v>
      </c>
      <c r="S318" s="13">
        <v>0.85154433742942504</v>
      </c>
    </row>
    <row r="319" spans="1:19" s="5" customFormat="1" x14ac:dyDescent="0.2">
      <c r="A319" s="79" t="s">
        <v>557</v>
      </c>
      <c r="B319" t="s">
        <v>169</v>
      </c>
      <c r="C319" s="73" t="s">
        <v>558</v>
      </c>
      <c r="D319" s="73" t="s">
        <v>559</v>
      </c>
      <c r="E319" s="5" t="s">
        <v>17</v>
      </c>
      <c r="F319" t="s">
        <v>25</v>
      </c>
      <c r="G319" s="5" t="s">
        <v>406</v>
      </c>
      <c r="I319" s="5" t="s">
        <v>236</v>
      </c>
      <c r="L319" s="5">
        <v>16</v>
      </c>
      <c r="M319" s="5">
        <v>15</v>
      </c>
      <c r="P319" s="15">
        <v>0.19</v>
      </c>
      <c r="Q319" s="15">
        <v>5.2999999999999999E-2</v>
      </c>
      <c r="R319" s="13">
        <v>0.77900000000000003</v>
      </c>
      <c r="S319" s="17">
        <v>0.94420458319495104</v>
      </c>
    </row>
    <row r="320" spans="1:19" s="5" customFormat="1" x14ac:dyDescent="0.2">
      <c r="A320" s="7" t="s">
        <v>524</v>
      </c>
      <c r="B320" t="s">
        <v>169</v>
      </c>
      <c r="C320" t="s">
        <v>170</v>
      </c>
      <c r="D320"/>
      <c r="E320" s="5" t="s">
        <v>17</v>
      </c>
      <c r="F320"/>
      <c r="J320" s="5" t="s">
        <v>26</v>
      </c>
      <c r="L320" s="5">
        <v>97</v>
      </c>
      <c r="M320" s="5">
        <v>97</v>
      </c>
      <c r="P320" s="13">
        <v>0.68600000000000005</v>
      </c>
      <c r="Q320" s="13">
        <v>8.2000000000000003E-2</v>
      </c>
      <c r="R320" s="13">
        <v>1</v>
      </c>
      <c r="S320" s="17">
        <v>0.85154433742942504</v>
      </c>
    </row>
    <row r="321" spans="1:19" s="5" customFormat="1" x14ac:dyDescent="0.2">
      <c r="A321" s="7" t="s">
        <v>346</v>
      </c>
      <c r="B321" t="s">
        <v>169</v>
      </c>
      <c r="C321" s="73" t="s">
        <v>170</v>
      </c>
      <c r="D321" s="73"/>
      <c r="E321" s="5" t="s">
        <v>17</v>
      </c>
      <c r="F321" t="s">
        <v>25</v>
      </c>
      <c r="G321" s="5" t="s">
        <v>406</v>
      </c>
      <c r="H321" s="5" t="s">
        <v>39</v>
      </c>
      <c r="L321" s="5">
        <v>30</v>
      </c>
      <c r="M321" s="5">
        <v>30</v>
      </c>
      <c r="P321" s="15">
        <v>0.69</v>
      </c>
      <c r="Q321" s="15">
        <v>8.2000000000000003E-2</v>
      </c>
      <c r="R321" s="13">
        <v>1</v>
      </c>
      <c r="S321" s="13">
        <v>0.85154433742942504</v>
      </c>
    </row>
    <row r="322" spans="1:19" s="5" customFormat="1" x14ac:dyDescent="0.2">
      <c r="A322" s="79" t="s">
        <v>485</v>
      </c>
      <c r="B322" t="s">
        <v>169</v>
      </c>
      <c r="C322" s="73" t="s">
        <v>486</v>
      </c>
      <c r="D322" s="73"/>
      <c r="E322" s="5" t="s">
        <v>17</v>
      </c>
      <c r="F322" t="s">
        <v>25</v>
      </c>
      <c r="G322" s="5" t="s">
        <v>406</v>
      </c>
      <c r="H322" s="5" t="s">
        <v>39</v>
      </c>
      <c r="I322" s="5" t="s">
        <v>236</v>
      </c>
      <c r="L322" s="5">
        <v>69</v>
      </c>
      <c r="M322" s="5">
        <v>69</v>
      </c>
      <c r="P322" s="15">
        <v>0.69</v>
      </c>
      <c r="Q322" s="15">
        <v>0.08</v>
      </c>
      <c r="R322" s="13">
        <v>1</v>
      </c>
      <c r="S322" s="17"/>
    </row>
    <row r="323" spans="1:19" s="5" customFormat="1" x14ac:dyDescent="0.2">
      <c r="A323" s="7" t="s">
        <v>420</v>
      </c>
      <c r="B323" t="s">
        <v>33</v>
      </c>
      <c r="C323" t="s">
        <v>421</v>
      </c>
      <c r="D323"/>
      <c r="E323" s="5" t="s">
        <v>17</v>
      </c>
      <c r="F323"/>
      <c r="G323" s="5" t="s">
        <v>406</v>
      </c>
      <c r="L323" s="5">
        <v>156</v>
      </c>
      <c r="M323" s="5">
        <v>156</v>
      </c>
      <c r="P323" s="13">
        <v>0.66800000000000004</v>
      </c>
      <c r="Q323" s="13">
        <v>0.47499999999999998</v>
      </c>
      <c r="R323" s="13">
        <v>6.3E-2</v>
      </c>
      <c r="S323" s="17">
        <v>0.37960810362005898</v>
      </c>
    </row>
    <row r="324" spans="1:19" s="5" customFormat="1" x14ac:dyDescent="0.2">
      <c r="A324" s="7" t="s">
        <v>425</v>
      </c>
      <c r="B324" t="s">
        <v>33</v>
      </c>
      <c r="C324" t="s">
        <v>426</v>
      </c>
      <c r="D324"/>
      <c r="E324" s="5" t="s">
        <v>17</v>
      </c>
      <c r="F324"/>
      <c r="G324" s="5" t="s">
        <v>406</v>
      </c>
      <c r="L324" s="5">
        <v>166</v>
      </c>
      <c r="M324" s="5">
        <v>32</v>
      </c>
      <c r="P324" s="13">
        <v>0.90200000000000002</v>
      </c>
      <c r="Q324" s="13">
        <v>0.85599999999999998</v>
      </c>
      <c r="R324" s="13">
        <v>0.17899999999999999</v>
      </c>
      <c r="S324" s="17">
        <v>4.1625152219639097E-2</v>
      </c>
    </row>
    <row r="325" spans="1:19" s="5" customFormat="1" x14ac:dyDescent="0.2">
      <c r="A325" s="7" t="s">
        <v>32</v>
      </c>
      <c r="B325" t="s">
        <v>33</v>
      </c>
      <c r="C325" t="s">
        <v>34</v>
      </c>
      <c r="D325"/>
      <c r="E325" s="5" t="s">
        <v>17</v>
      </c>
      <c r="F325"/>
      <c r="G325" s="5" t="s">
        <v>406</v>
      </c>
      <c r="L325" s="5">
        <v>112</v>
      </c>
      <c r="M325" s="5">
        <v>111</v>
      </c>
      <c r="P325" s="13">
        <v>0.98499999999999999</v>
      </c>
      <c r="Q325" s="13">
        <v>0.92300000000000004</v>
      </c>
      <c r="R325" s="13">
        <v>4.4999999999999998E-2</v>
      </c>
      <c r="S325" s="13">
        <v>7.9375622716705396E-2</v>
      </c>
    </row>
    <row r="326" spans="1:19" s="5" customFormat="1" x14ac:dyDescent="0.2">
      <c r="A326" s="7" t="s">
        <v>106</v>
      </c>
      <c r="B326" t="s">
        <v>33</v>
      </c>
      <c r="C326" s="73" t="s">
        <v>107</v>
      </c>
      <c r="D326" s="73"/>
      <c r="E326" s="5" t="s">
        <v>17</v>
      </c>
      <c r="F326" s="39" t="s">
        <v>25</v>
      </c>
      <c r="J326" s="5" t="s">
        <v>26</v>
      </c>
      <c r="L326" s="5">
        <v>143</v>
      </c>
      <c r="M326" s="5">
        <v>142</v>
      </c>
      <c r="P326" s="15">
        <v>0.94</v>
      </c>
      <c r="Q326" s="15">
        <v>0.46600000000000003</v>
      </c>
      <c r="R326" s="13">
        <v>0.39900000000000002</v>
      </c>
      <c r="S326" s="13">
        <v>0.360123989815122</v>
      </c>
    </row>
    <row r="327" spans="1:19" s="5" customFormat="1" x14ac:dyDescent="0.2">
      <c r="A327" s="7" t="s">
        <v>640</v>
      </c>
      <c r="B327" t="s">
        <v>33</v>
      </c>
      <c r="C327" t="s">
        <v>34</v>
      </c>
      <c r="D327"/>
      <c r="E327" s="5" t="s">
        <v>17</v>
      </c>
      <c r="F327"/>
      <c r="J327" s="5" t="s">
        <v>26</v>
      </c>
      <c r="L327" s="5">
        <v>107</v>
      </c>
      <c r="M327" s="5">
        <v>106</v>
      </c>
      <c r="P327" s="13">
        <v>0.98499999999999999</v>
      </c>
      <c r="Q327" s="13">
        <v>0.92300000000000004</v>
      </c>
      <c r="R327" s="13">
        <v>4.4999999999999998E-2</v>
      </c>
      <c r="S327" s="17">
        <v>7.9375622716705396E-2</v>
      </c>
    </row>
    <row r="328" spans="1:19" s="5" customFormat="1" x14ac:dyDescent="0.2">
      <c r="A328" s="7" t="s">
        <v>433</v>
      </c>
      <c r="B328" t="s">
        <v>273</v>
      </c>
      <c r="C328" t="s">
        <v>434</v>
      </c>
      <c r="D328"/>
      <c r="E328" s="5" t="s">
        <v>17</v>
      </c>
      <c r="F328"/>
      <c r="G328" s="5" t="s">
        <v>406</v>
      </c>
      <c r="L328" s="5">
        <v>556</v>
      </c>
      <c r="M328" s="5">
        <v>105</v>
      </c>
      <c r="P328" s="13">
        <v>0.66700000000000004</v>
      </c>
      <c r="Q328" s="13">
        <v>0.79700000000000004</v>
      </c>
      <c r="R328" s="13">
        <v>0.497</v>
      </c>
      <c r="S328" s="17">
        <v>4.7935348167829003E-2</v>
      </c>
    </row>
    <row r="329" spans="1:19" s="5" customFormat="1" x14ac:dyDescent="0.2">
      <c r="A329" s="7" t="s">
        <v>360</v>
      </c>
      <c r="B329" t="s">
        <v>273</v>
      </c>
      <c r="C329" s="73" t="s">
        <v>361</v>
      </c>
      <c r="D329" s="73"/>
      <c r="E329" s="5" t="s">
        <v>17</v>
      </c>
      <c r="F329" s="39" t="s">
        <v>25</v>
      </c>
      <c r="G329" s="5" t="s">
        <v>406</v>
      </c>
      <c r="L329" s="67">
        <v>119</v>
      </c>
      <c r="M329" s="67"/>
      <c r="P329" s="15">
        <v>0.71</v>
      </c>
      <c r="Q329" s="15">
        <v>0.70699999999999996</v>
      </c>
      <c r="R329" s="13">
        <v>0.28399999999999997</v>
      </c>
      <c r="S329" s="13">
        <v>0.225617181445809</v>
      </c>
    </row>
    <row r="330" spans="1:19" s="5" customFormat="1" x14ac:dyDescent="0.2">
      <c r="A330" s="7" t="s">
        <v>272</v>
      </c>
      <c r="B330" t="s">
        <v>273</v>
      </c>
      <c r="C330" s="73" t="s">
        <v>274</v>
      </c>
      <c r="D330" s="73"/>
      <c r="E330" s="5" t="s">
        <v>17</v>
      </c>
      <c r="F330" s="39" t="s">
        <v>25</v>
      </c>
      <c r="G330" s="5" t="s">
        <v>406</v>
      </c>
      <c r="L330" s="67">
        <v>74</v>
      </c>
      <c r="M330" s="67"/>
      <c r="P330" s="15">
        <v>0.28000000000000003</v>
      </c>
      <c r="Q330" s="15">
        <v>0.61</v>
      </c>
      <c r="R330" s="13">
        <v>0.20399999999999999</v>
      </c>
      <c r="S330" s="13">
        <v>0.27798073729657902</v>
      </c>
    </row>
    <row r="331" spans="1:19" s="5" customFormat="1" x14ac:dyDescent="0.2">
      <c r="A331" s="7" t="s">
        <v>709</v>
      </c>
      <c r="B331" t="s">
        <v>273</v>
      </c>
      <c r="C331" s="73" t="s">
        <v>221</v>
      </c>
      <c r="D331" s="73"/>
      <c r="E331" s="5" t="s">
        <v>17</v>
      </c>
      <c r="F331" s="39" t="s">
        <v>25</v>
      </c>
      <c r="G331" s="5" t="s">
        <v>406</v>
      </c>
      <c r="L331" s="67">
        <v>46</v>
      </c>
      <c r="M331" s="67"/>
      <c r="P331" s="15">
        <v>0.54</v>
      </c>
      <c r="Q331" s="15">
        <v>0.52600000000000002</v>
      </c>
      <c r="R331" s="13">
        <v>0.97099999999999997</v>
      </c>
      <c r="S331" s="17">
        <v>0.57777039743163905</v>
      </c>
    </row>
    <row r="332" spans="1:19" s="5" customFormat="1" x14ac:dyDescent="0.2">
      <c r="A332" s="7" t="s">
        <v>710</v>
      </c>
      <c r="B332" t="s">
        <v>273</v>
      </c>
      <c r="C332" s="73" t="s">
        <v>221</v>
      </c>
      <c r="D332" s="73"/>
      <c r="E332" s="5" t="s">
        <v>17</v>
      </c>
      <c r="F332" s="39" t="s">
        <v>25</v>
      </c>
      <c r="G332" s="5" t="s">
        <v>406</v>
      </c>
      <c r="L332" s="67">
        <v>45</v>
      </c>
      <c r="M332" s="67"/>
      <c r="P332" s="15">
        <v>0.54</v>
      </c>
      <c r="Q332" s="15">
        <v>0.52600000000000002</v>
      </c>
      <c r="R332" s="13">
        <v>0.97099999999999997</v>
      </c>
      <c r="S332" s="17">
        <v>0.57777039743163905</v>
      </c>
    </row>
    <row r="333" spans="1:19" s="5" customFormat="1" x14ac:dyDescent="0.2">
      <c r="A333" s="7" t="s">
        <v>157</v>
      </c>
      <c r="B333" t="s">
        <v>95</v>
      </c>
      <c r="C333" t="s">
        <v>158</v>
      </c>
      <c r="D333"/>
      <c r="E333" s="5" t="s">
        <v>17</v>
      </c>
      <c r="F333"/>
      <c r="G333" s="5" t="s">
        <v>406</v>
      </c>
      <c r="L333" s="5">
        <v>9</v>
      </c>
      <c r="M333" s="5">
        <v>9</v>
      </c>
      <c r="P333" s="13">
        <v>0.92600000000000005</v>
      </c>
      <c r="Q333" s="13">
        <v>0.502</v>
      </c>
      <c r="R333" s="13">
        <v>0.48899999999999999</v>
      </c>
      <c r="S333" s="13">
        <v>0.59028008413594601</v>
      </c>
    </row>
    <row r="334" spans="1:19" s="5" customFormat="1" x14ac:dyDescent="0.2">
      <c r="A334" s="7" t="s">
        <v>456</v>
      </c>
      <c r="B334" t="s">
        <v>95</v>
      </c>
      <c r="C334" s="73" t="s">
        <v>457</v>
      </c>
      <c r="D334" s="73"/>
      <c r="E334" s="5" t="s">
        <v>17</v>
      </c>
      <c r="F334" s="39" t="s">
        <v>25</v>
      </c>
      <c r="G334" s="5" t="s">
        <v>406</v>
      </c>
      <c r="L334" s="5">
        <v>17</v>
      </c>
      <c r="M334" s="5">
        <v>17</v>
      </c>
      <c r="P334" s="15">
        <v>0.45</v>
      </c>
      <c r="Q334" s="15">
        <v>0.70199999999999996</v>
      </c>
      <c r="R334" s="13">
        <v>0.51200000000000001</v>
      </c>
      <c r="S334" s="17">
        <v>0.54566589173032198</v>
      </c>
    </row>
    <row r="335" spans="1:19" s="5" customFormat="1" x14ac:dyDescent="0.2">
      <c r="A335" s="7" t="s">
        <v>488</v>
      </c>
      <c r="B335" t="s">
        <v>95</v>
      </c>
      <c r="C335" s="73" t="s">
        <v>96</v>
      </c>
      <c r="D335" s="73"/>
      <c r="E335" s="5" t="s">
        <v>17</v>
      </c>
      <c r="F335" s="39" t="s">
        <v>25</v>
      </c>
      <c r="G335" s="5" t="s">
        <v>406</v>
      </c>
      <c r="L335" s="5">
        <v>75</v>
      </c>
      <c r="M335" s="5">
        <v>74</v>
      </c>
      <c r="P335" s="15">
        <v>0.28999999999999998</v>
      </c>
      <c r="Q335" s="15">
        <v>0.438</v>
      </c>
      <c r="R335" s="13">
        <v>0.86599999999999999</v>
      </c>
      <c r="S335" s="17">
        <v>0.66865936012398897</v>
      </c>
    </row>
    <row r="336" spans="1:19" s="5" customFormat="1" x14ac:dyDescent="0.2">
      <c r="A336" s="7" t="s">
        <v>489</v>
      </c>
      <c r="B336" t="s">
        <v>95</v>
      </c>
      <c r="C336" t="s">
        <v>304</v>
      </c>
      <c r="D336"/>
      <c r="E336" s="5" t="s">
        <v>17</v>
      </c>
      <c r="F336"/>
      <c r="G336" s="5" t="s">
        <v>406</v>
      </c>
      <c r="L336" s="5">
        <v>40</v>
      </c>
      <c r="M336" s="5">
        <v>40</v>
      </c>
      <c r="P336" s="13">
        <v>0.70499999999999996</v>
      </c>
      <c r="Q336" s="13">
        <v>0.28100000000000003</v>
      </c>
      <c r="R336" s="13">
        <v>0.35699999999999998</v>
      </c>
      <c r="S336" s="17">
        <v>0.76663345510904402</v>
      </c>
    </row>
    <row r="337" spans="1:19" s="5" customFormat="1" x14ac:dyDescent="0.2">
      <c r="A337" s="7" t="s">
        <v>493</v>
      </c>
      <c r="B337" t="s">
        <v>95</v>
      </c>
      <c r="C337" s="73" t="s">
        <v>313</v>
      </c>
      <c r="D337" s="73"/>
      <c r="E337" s="5" t="s">
        <v>17</v>
      </c>
      <c r="F337" s="39" t="s">
        <v>25</v>
      </c>
      <c r="G337" s="5" t="s">
        <v>406</v>
      </c>
      <c r="L337" s="5">
        <v>57</v>
      </c>
      <c r="M337" s="5">
        <v>56</v>
      </c>
      <c r="P337" s="15">
        <v>0.53</v>
      </c>
      <c r="Q337" s="15">
        <v>0.26</v>
      </c>
      <c r="R337" s="13">
        <v>0.92500000000000004</v>
      </c>
      <c r="S337" s="17">
        <v>0.86969998892947997</v>
      </c>
    </row>
    <row r="338" spans="1:19" s="5" customFormat="1" x14ac:dyDescent="0.2">
      <c r="A338" s="7" t="s">
        <v>249</v>
      </c>
      <c r="B338" t="s">
        <v>95</v>
      </c>
      <c r="C338" t="s">
        <v>250</v>
      </c>
      <c r="D338"/>
      <c r="E338" s="5" t="s">
        <v>17</v>
      </c>
      <c r="F338"/>
      <c r="G338" s="5" t="s">
        <v>406</v>
      </c>
      <c r="L338" s="5">
        <v>47</v>
      </c>
      <c r="M338" s="5">
        <v>22</v>
      </c>
      <c r="P338" s="13">
        <v>0.58399999999999996</v>
      </c>
      <c r="Q338" s="13">
        <v>0.84299999999999997</v>
      </c>
      <c r="R338" s="13">
        <v>0.55300000000000005</v>
      </c>
      <c r="S338" s="13">
        <v>0.64862172035868404</v>
      </c>
    </row>
    <row r="339" spans="1:19" s="5" customFormat="1" x14ac:dyDescent="0.2">
      <c r="A339" s="7" t="s">
        <v>205</v>
      </c>
      <c r="B339" t="s">
        <v>95</v>
      </c>
      <c r="C339" t="s">
        <v>206</v>
      </c>
      <c r="D339"/>
      <c r="E339" s="5" t="s">
        <v>17</v>
      </c>
      <c r="F339"/>
      <c r="G339" s="5" t="s">
        <v>406</v>
      </c>
      <c r="L339" s="5">
        <v>27</v>
      </c>
      <c r="M339" s="5">
        <v>27</v>
      </c>
      <c r="P339" s="13">
        <v>0.29199999999999998</v>
      </c>
      <c r="Q339" s="13">
        <v>0.91900000000000004</v>
      </c>
      <c r="R339" s="13">
        <v>0.20499999999999999</v>
      </c>
      <c r="S339" s="13">
        <v>0.533045499833942</v>
      </c>
    </row>
    <row r="340" spans="1:19" s="5" customFormat="1" x14ac:dyDescent="0.2">
      <c r="A340" s="7" t="s">
        <v>94</v>
      </c>
      <c r="B340" t="s">
        <v>95</v>
      </c>
      <c r="C340" t="s">
        <v>96</v>
      </c>
      <c r="D340"/>
      <c r="E340" s="5" t="s">
        <v>17</v>
      </c>
      <c r="F340"/>
      <c r="G340" s="5" t="s">
        <v>406</v>
      </c>
      <c r="L340" s="5">
        <v>8</v>
      </c>
      <c r="M340" s="5">
        <v>8</v>
      </c>
      <c r="P340" s="13">
        <v>0.28799999999999998</v>
      </c>
      <c r="Q340" s="13">
        <v>0.438</v>
      </c>
      <c r="R340" s="13">
        <v>0.86599999999999999</v>
      </c>
      <c r="S340" s="13">
        <v>0.66865936012398897</v>
      </c>
    </row>
    <row r="341" spans="1:19" s="5" customFormat="1" x14ac:dyDescent="0.2">
      <c r="A341" s="7" t="s">
        <v>245</v>
      </c>
      <c r="B341" t="s">
        <v>95</v>
      </c>
      <c r="C341" t="s">
        <v>246</v>
      </c>
      <c r="D341"/>
      <c r="E341" s="5" t="s">
        <v>17</v>
      </c>
      <c r="F341"/>
      <c r="G341" s="5" t="s">
        <v>406</v>
      </c>
      <c r="L341" s="5">
        <v>40</v>
      </c>
      <c r="M341" s="5">
        <v>40</v>
      </c>
      <c r="P341" s="13">
        <v>0.505</v>
      </c>
      <c r="Q341" s="13">
        <v>0.29399999999999998</v>
      </c>
      <c r="R341" s="13">
        <v>0.215</v>
      </c>
      <c r="S341" s="13">
        <v>0.87534595372522905</v>
      </c>
    </row>
    <row r="342" spans="1:19" s="5" customFormat="1" x14ac:dyDescent="0.2">
      <c r="A342" s="7" t="s">
        <v>356</v>
      </c>
      <c r="B342" t="s">
        <v>95</v>
      </c>
      <c r="C342" t="s">
        <v>357</v>
      </c>
      <c r="D342"/>
      <c r="E342" s="5" t="s">
        <v>17</v>
      </c>
      <c r="F342"/>
      <c r="G342" s="5" t="s">
        <v>406</v>
      </c>
      <c r="L342" s="5">
        <v>6</v>
      </c>
      <c r="M342" s="5">
        <v>6</v>
      </c>
      <c r="P342" s="13">
        <v>0.19600000000000001</v>
      </c>
      <c r="Q342" s="13">
        <v>0.21099999999999999</v>
      </c>
      <c r="R342" s="13">
        <v>0.70399999999999996</v>
      </c>
      <c r="S342" s="13">
        <v>0.62614856636776195</v>
      </c>
    </row>
    <row r="343" spans="1:19" s="5" customFormat="1" x14ac:dyDescent="0.2">
      <c r="A343" s="7" t="s">
        <v>515</v>
      </c>
      <c r="B343" t="s">
        <v>95</v>
      </c>
      <c r="C343" t="s">
        <v>158</v>
      </c>
      <c r="D343"/>
      <c r="E343" s="5" t="s">
        <v>17</v>
      </c>
      <c r="F343"/>
      <c r="G343" s="5" t="s">
        <v>406</v>
      </c>
      <c r="L343" s="5">
        <v>24</v>
      </c>
      <c r="M343" s="5">
        <v>24</v>
      </c>
      <c r="P343" s="13">
        <v>0.92600000000000005</v>
      </c>
      <c r="Q343" s="13">
        <v>0.502</v>
      </c>
      <c r="R343" s="13">
        <v>0.48899999999999999</v>
      </c>
      <c r="S343" s="17">
        <v>0.59028008413594601</v>
      </c>
    </row>
    <row r="344" spans="1:19" s="5" customFormat="1" x14ac:dyDescent="0.2">
      <c r="A344" s="7" t="s">
        <v>516</v>
      </c>
      <c r="B344" t="s">
        <v>95</v>
      </c>
      <c r="C344" s="73" t="s">
        <v>397</v>
      </c>
      <c r="D344" s="73"/>
      <c r="E344" s="5" t="s">
        <v>17</v>
      </c>
      <c r="F344" s="39" t="s">
        <v>25</v>
      </c>
      <c r="G344" s="5" t="s">
        <v>406</v>
      </c>
      <c r="L344" s="5">
        <v>64</v>
      </c>
      <c r="M344" s="5">
        <v>64</v>
      </c>
      <c r="P344" s="15">
        <v>0.39</v>
      </c>
      <c r="Q344" s="13">
        <v>0.72799999999999998</v>
      </c>
      <c r="R344" s="13">
        <v>0.58199999999999996</v>
      </c>
      <c r="S344" s="17">
        <v>0.61817779253847005</v>
      </c>
    </row>
    <row r="345" spans="1:19" s="5" customFormat="1" x14ac:dyDescent="0.2">
      <c r="A345" s="7" t="s">
        <v>540</v>
      </c>
      <c r="B345" t="s">
        <v>95</v>
      </c>
      <c r="C345" t="s">
        <v>96</v>
      </c>
      <c r="D345"/>
      <c r="E345" s="5" t="s">
        <v>17</v>
      </c>
      <c r="F345"/>
      <c r="G345" s="5" t="s">
        <v>406</v>
      </c>
      <c r="L345" s="5">
        <v>3</v>
      </c>
      <c r="M345" s="5">
        <v>3</v>
      </c>
      <c r="P345" s="13">
        <v>0.28799999999999998</v>
      </c>
      <c r="Q345" s="13">
        <v>0.438</v>
      </c>
      <c r="R345" s="13">
        <v>0.86599999999999999</v>
      </c>
      <c r="S345" s="17">
        <v>0.66865936012398897</v>
      </c>
    </row>
    <row r="346" spans="1:19" s="5" customFormat="1" x14ac:dyDescent="0.2">
      <c r="A346" s="7" t="s">
        <v>554</v>
      </c>
      <c r="B346" t="s">
        <v>95</v>
      </c>
      <c r="C346" t="s">
        <v>158</v>
      </c>
      <c r="D346"/>
      <c r="E346" s="5" t="s">
        <v>17</v>
      </c>
      <c r="F346"/>
      <c r="G346" s="5" t="s">
        <v>406</v>
      </c>
      <c r="L346" s="5">
        <v>56</v>
      </c>
      <c r="M346" s="5">
        <v>56</v>
      </c>
      <c r="P346" s="13">
        <v>0.92600000000000005</v>
      </c>
      <c r="Q346" s="13">
        <v>0.502</v>
      </c>
      <c r="R346" s="13">
        <v>0.48899999999999999</v>
      </c>
      <c r="S346" s="17">
        <v>0.59028008413594601</v>
      </c>
    </row>
    <row r="347" spans="1:19" s="5" customFormat="1" x14ac:dyDescent="0.2">
      <c r="A347" s="7" t="s">
        <v>593</v>
      </c>
      <c r="B347" t="s">
        <v>95</v>
      </c>
      <c r="C347" t="s">
        <v>594</v>
      </c>
      <c r="D347"/>
      <c r="E347" s="5" t="s">
        <v>17</v>
      </c>
      <c r="F347"/>
      <c r="G347" s="5" t="s">
        <v>406</v>
      </c>
      <c r="L347" s="5">
        <v>6</v>
      </c>
      <c r="M347" s="5">
        <v>6</v>
      </c>
      <c r="P347" s="13">
        <v>0.193</v>
      </c>
      <c r="Q347" s="13">
        <v>0.5</v>
      </c>
      <c r="R347" s="13">
        <v>0.89</v>
      </c>
      <c r="S347" s="17">
        <v>0.67474814568803199</v>
      </c>
    </row>
    <row r="348" spans="1:19" s="5" customFormat="1" x14ac:dyDescent="0.2">
      <c r="A348" s="7" t="s">
        <v>641</v>
      </c>
      <c r="B348" t="s">
        <v>95</v>
      </c>
      <c r="C348" s="73" t="s">
        <v>642</v>
      </c>
      <c r="D348" s="73"/>
      <c r="E348" s="5" t="s">
        <v>17</v>
      </c>
      <c r="F348" s="39" t="s">
        <v>25</v>
      </c>
      <c r="G348" s="5" t="s">
        <v>406</v>
      </c>
      <c r="L348" s="5">
        <v>63</v>
      </c>
      <c r="M348" s="5">
        <v>62</v>
      </c>
      <c r="P348" s="15">
        <v>0.28999999999999998</v>
      </c>
      <c r="Q348" s="15">
        <v>0.74299999999999999</v>
      </c>
      <c r="R348" s="13">
        <v>0.53</v>
      </c>
      <c r="S348" s="17">
        <v>0.60367541237683997</v>
      </c>
    </row>
    <row r="349" spans="1:19" s="5" customFormat="1" x14ac:dyDescent="0.2">
      <c r="A349" s="7" t="s">
        <v>688</v>
      </c>
      <c r="B349" t="s">
        <v>95</v>
      </c>
      <c r="C349" s="73" t="s">
        <v>662</v>
      </c>
      <c r="D349" s="73"/>
      <c r="E349" s="5" t="s">
        <v>17</v>
      </c>
      <c r="F349" t="s">
        <v>25</v>
      </c>
      <c r="G349" s="5" t="s">
        <v>406</v>
      </c>
      <c r="L349" s="5">
        <v>260</v>
      </c>
      <c r="M349" s="5">
        <v>256</v>
      </c>
      <c r="P349" s="15">
        <v>0.31</v>
      </c>
      <c r="Q349" s="15">
        <v>0.48899999999999999</v>
      </c>
      <c r="R349" s="13">
        <v>0.44</v>
      </c>
      <c r="S349" s="17">
        <v>0.48212111148012798</v>
      </c>
    </row>
    <row r="350" spans="1:19" s="5" customFormat="1" x14ac:dyDescent="0.2">
      <c r="A350" s="79" t="s">
        <v>711</v>
      </c>
      <c r="B350" t="s">
        <v>95</v>
      </c>
      <c r="C350" s="73" t="s">
        <v>246</v>
      </c>
      <c r="D350" s="73"/>
      <c r="E350" s="5" t="s">
        <v>17</v>
      </c>
      <c r="F350"/>
      <c r="G350" s="5" t="s">
        <v>406</v>
      </c>
      <c r="L350" s="67">
        <v>26</v>
      </c>
      <c r="M350" s="67"/>
      <c r="P350" s="15">
        <v>0.51</v>
      </c>
      <c r="Q350" s="15">
        <v>0.29399999999999998</v>
      </c>
      <c r="R350" s="13">
        <v>0.215</v>
      </c>
      <c r="S350" s="17">
        <v>0.87534595372522905</v>
      </c>
    </row>
    <row r="351" spans="1:19" s="5" customFormat="1" x14ac:dyDescent="0.2">
      <c r="A351" s="7" t="s">
        <v>730</v>
      </c>
      <c r="B351" t="s">
        <v>95</v>
      </c>
      <c r="C351" t="s">
        <v>731</v>
      </c>
      <c r="D351"/>
      <c r="E351" s="5" t="s">
        <v>17</v>
      </c>
      <c r="F351"/>
      <c r="G351" s="5" t="s">
        <v>406</v>
      </c>
      <c r="L351" s="5">
        <v>5</v>
      </c>
      <c r="M351" s="5">
        <v>5</v>
      </c>
      <c r="P351" s="13">
        <v>0.307</v>
      </c>
      <c r="Q351" s="13">
        <v>0.79300000000000004</v>
      </c>
      <c r="R351" s="13">
        <v>0.435</v>
      </c>
      <c r="S351" s="17">
        <v>0.29978966013505998</v>
      </c>
    </row>
    <row r="352" spans="1:19" s="5" customFormat="1" x14ac:dyDescent="0.2">
      <c r="A352" s="7" t="s">
        <v>735</v>
      </c>
      <c r="B352" t="s">
        <v>95</v>
      </c>
      <c r="C352" s="73" t="s">
        <v>549</v>
      </c>
      <c r="D352" s="73"/>
      <c r="E352" s="5" t="s">
        <v>17</v>
      </c>
      <c r="F352" s="39" t="s">
        <v>25</v>
      </c>
      <c r="G352" s="5" t="s">
        <v>406</v>
      </c>
      <c r="L352" s="68"/>
      <c r="M352" s="67">
        <v>19</v>
      </c>
      <c r="P352" s="15">
        <v>0.38</v>
      </c>
      <c r="Q352" s="15">
        <v>0.25700000000000001</v>
      </c>
      <c r="R352" s="13">
        <v>0.68899999999999995</v>
      </c>
      <c r="S352" s="17">
        <v>0.69235027122771997</v>
      </c>
    </row>
    <row r="353" spans="1:19" s="5" customFormat="1" x14ac:dyDescent="0.2">
      <c r="A353" s="7" t="s">
        <v>754</v>
      </c>
      <c r="B353" t="s">
        <v>95</v>
      </c>
      <c r="C353" t="s">
        <v>755</v>
      </c>
      <c r="D353"/>
      <c r="E353" s="5" t="s">
        <v>17</v>
      </c>
      <c r="F353"/>
      <c r="G353" s="5" t="s">
        <v>406</v>
      </c>
      <c r="L353" s="5">
        <v>7</v>
      </c>
      <c r="M353" s="5">
        <v>7</v>
      </c>
      <c r="P353" s="13">
        <v>0.318</v>
      </c>
      <c r="Q353" s="13">
        <v>0.60399999999999998</v>
      </c>
      <c r="R353" s="13">
        <v>0.68899999999999995</v>
      </c>
      <c r="S353" s="17">
        <v>0.53913428539798502</v>
      </c>
    </row>
    <row r="354" spans="1:19" s="5" customFormat="1" x14ac:dyDescent="0.2">
      <c r="A354" s="7" t="s">
        <v>756</v>
      </c>
      <c r="B354" t="s">
        <v>95</v>
      </c>
      <c r="C354" s="73" t="s">
        <v>755</v>
      </c>
      <c r="D354" s="73"/>
      <c r="E354" s="5" t="s">
        <v>17</v>
      </c>
      <c r="F354" s="39" t="s">
        <v>25</v>
      </c>
      <c r="G354" s="5" t="s">
        <v>406</v>
      </c>
      <c r="L354" s="67">
        <v>22</v>
      </c>
      <c r="M354" s="67"/>
      <c r="P354" s="15">
        <v>0.32</v>
      </c>
      <c r="Q354" s="15">
        <v>0.60399999999999998</v>
      </c>
      <c r="R354" s="13">
        <v>0.68899999999999995</v>
      </c>
      <c r="S354" s="17">
        <v>0.53913428539798502</v>
      </c>
    </row>
    <row r="355" spans="1:19" s="5" customFormat="1" x14ac:dyDescent="0.2">
      <c r="A355" s="7" t="s">
        <v>770</v>
      </c>
      <c r="B355" t="s">
        <v>95</v>
      </c>
      <c r="C355" t="s">
        <v>158</v>
      </c>
      <c r="D355"/>
      <c r="E355" s="5" t="s">
        <v>17</v>
      </c>
      <c r="F355"/>
      <c r="G355" s="5" t="s">
        <v>406</v>
      </c>
      <c r="L355" s="5">
        <v>20</v>
      </c>
      <c r="M355" s="5">
        <v>20</v>
      </c>
      <c r="P355" s="13">
        <v>0.92600000000000005</v>
      </c>
      <c r="Q355" s="13">
        <v>0.502</v>
      </c>
      <c r="R355" s="13">
        <v>0.48899999999999999</v>
      </c>
      <c r="S355" s="17">
        <v>0.59028008413594601</v>
      </c>
    </row>
    <row r="356" spans="1:19" s="5" customFormat="1" x14ac:dyDescent="0.2">
      <c r="A356" s="7" t="s">
        <v>771</v>
      </c>
      <c r="B356" t="s">
        <v>95</v>
      </c>
      <c r="C356" t="s">
        <v>158</v>
      </c>
      <c r="D356"/>
      <c r="E356" s="5" t="s">
        <v>17</v>
      </c>
      <c r="F356"/>
      <c r="G356" s="5" t="s">
        <v>406</v>
      </c>
      <c r="L356" s="5">
        <v>10</v>
      </c>
      <c r="M356" s="5">
        <v>10</v>
      </c>
      <c r="P356" s="13">
        <v>0.92600000000000005</v>
      </c>
      <c r="Q356" s="13">
        <v>0.502</v>
      </c>
      <c r="R356" s="13">
        <v>0.48899999999999999</v>
      </c>
      <c r="S356" s="17">
        <v>0.59028008413594601</v>
      </c>
    </row>
    <row r="357" spans="1:19" s="5" customFormat="1" x14ac:dyDescent="0.2">
      <c r="A357" s="7" t="s">
        <v>772</v>
      </c>
      <c r="B357" t="s">
        <v>95</v>
      </c>
      <c r="C357" t="s">
        <v>158</v>
      </c>
      <c r="D357"/>
      <c r="E357" s="5" t="s">
        <v>17</v>
      </c>
      <c r="F357"/>
      <c r="G357" s="5" t="s">
        <v>406</v>
      </c>
      <c r="L357" s="5">
        <v>10</v>
      </c>
      <c r="M357" s="5">
        <v>10</v>
      </c>
      <c r="P357" s="13">
        <v>0.92600000000000005</v>
      </c>
      <c r="Q357" s="13">
        <v>0.502</v>
      </c>
      <c r="R357" s="13">
        <v>0.48899999999999999</v>
      </c>
      <c r="S357" s="17">
        <v>0.59028008413594601</v>
      </c>
    </row>
    <row r="358" spans="1:19" s="5" customFormat="1" x14ac:dyDescent="0.2">
      <c r="A358" s="7" t="s">
        <v>396</v>
      </c>
      <c r="B358" t="s">
        <v>95</v>
      </c>
      <c r="C358" t="s">
        <v>397</v>
      </c>
      <c r="D358"/>
      <c r="E358" s="5" t="s">
        <v>17</v>
      </c>
      <c r="F358"/>
      <c r="J358" s="5" t="s">
        <v>26</v>
      </c>
      <c r="L358" s="5">
        <v>4</v>
      </c>
      <c r="M358" s="5">
        <v>4</v>
      </c>
      <c r="P358" s="13">
        <v>0.38600000000000001</v>
      </c>
      <c r="Q358" s="13">
        <v>0.72799999999999998</v>
      </c>
      <c r="R358" s="13">
        <v>0.58199999999999996</v>
      </c>
      <c r="S358" s="17">
        <v>0.61817779253847005</v>
      </c>
    </row>
    <row r="359" spans="1:19" s="5" customFormat="1" x14ac:dyDescent="0.2">
      <c r="A359" s="7" t="s">
        <v>303</v>
      </c>
      <c r="B359" t="s">
        <v>95</v>
      </c>
      <c r="C359" s="73" t="s">
        <v>304</v>
      </c>
      <c r="D359" s="73"/>
      <c r="E359" s="5" t="s">
        <v>17</v>
      </c>
      <c r="F359" s="39" t="s">
        <v>25</v>
      </c>
      <c r="J359" s="5" t="s">
        <v>26</v>
      </c>
      <c r="L359" s="5">
        <v>50</v>
      </c>
      <c r="M359" s="5">
        <v>49</v>
      </c>
      <c r="P359" s="15">
        <v>0.71</v>
      </c>
      <c r="Q359" s="15">
        <v>0.28100000000000003</v>
      </c>
      <c r="R359" s="13">
        <v>0.35699999999999998</v>
      </c>
      <c r="S359" s="13">
        <v>0.76663345510904402</v>
      </c>
    </row>
    <row r="360" spans="1:19" s="5" customFormat="1" x14ac:dyDescent="0.2">
      <c r="A360" s="7" t="s">
        <v>364</v>
      </c>
      <c r="B360" t="s">
        <v>95</v>
      </c>
      <c r="C360" s="73" t="s">
        <v>365</v>
      </c>
      <c r="D360" s="73"/>
      <c r="E360" s="5" t="s">
        <v>17</v>
      </c>
      <c r="F360" s="39" t="s">
        <v>25</v>
      </c>
      <c r="J360" s="5" t="s">
        <v>26</v>
      </c>
      <c r="L360" s="5">
        <v>333</v>
      </c>
      <c r="M360" s="5">
        <v>332</v>
      </c>
      <c r="P360" s="15">
        <v>0.45</v>
      </c>
      <c r="Q360" s="15">
        <v>0.15</v>
      </c>
      <c r="R360" s="13">
        <v>0.63600000000000001</v>
      </c>
      <c r="S360" s="13">
        <v>0.80892283848112401</v>
      </c>
    </row>
    <row r="361" spans="1:19" s="5" customFormat="1" x14ac:dyDescent="0.2">
      <c r="A361" s="7" t="s">
        <v>366</v>
      </c>
      <c r="B361" t="s">
        <v>95</v>
      </c>
      <c r="C361" s="73" t="s">
        <v>304</v>
      </c>
      <c r="D361" s="73"/>
      <c r="E361" s="5" t="s">
        <v>17</v>
      </c>
      <c r="F361" s="39" t="s">
        <v>25</v>
      </c>
      <c r="J361" s="5" t="s">
        <v>26</v>
      </c>
      <c r="L361" s="5">
        <v>83</v>
      </c>
      <c r="M361" s="5">
        <v>82</v>
      </c>
      <c r="P361" s="15">
        <v>0.71</v>
      </c>
      <c r="Q361" s="15">
        <v>0.28100000000000003</v>
      </c>
      <c r="R361" s="13">
        <v>0.35699999999999998</v>
      </c>
      <c r="S361" s="13">
        <v>0.76663345510904402</v>
      </c>
    </row>
    <row r="362" spans="1:19" s="5" customFormat="1" x14ac:dyDescent="0.2">
      <c r="A362" s="7" t="s">
        <v>514</v>
      </c>
      <c r="B362" t="s">
        <v>95</v>
      </c>
      <c r="C362" t="s">
        <v>357</v>
      </c>
      <c r="D362"/>
      <c r="E362" s="5" t="s">
        <v>17</v>
      </c>
      <c r="F362"/>
      <c r="J362" s="5" t="s">
        <v>26</v>
      </c>
      <c r="L362" s="5">
        <v>6</v>
      </c>
      <c r="M362" s="5">
        <v>6</v>
      </c>
      <c r="P362" s="13">
        <v>0.19600000000000001</v>
      </c>
      <c r="Q362" s="13">
        <v>0.21099999999999999</v>
      </c>
      <c r="R362" s="13">
        <v>0.70399999999999996</v>
      </c>
      <c r="S362" s="17">
        <v>0.62614856636776195</v>
      </c>
    </row>
    <row r="363" spans="1:19" s="5" customFormat="1" x14ac:dyDescent="0.2">
      <c r="A363" s="7" t="s">
        <v>521</v>
      </c>
      <c r="B363" t="s">
        <v>95</v>
      </c>
      <c r="C363" t="s">
        <v>397</v>
      </c>
      <c r="D363"/>
      <c r="E363" s="5" t="s">
        <v>17</v>
      </c>
      <c r="F363"/>
      <c r="J363" s="5" t="s">
        <v>26</v>
      </c>
      <c r="L363" s="5">
        <v>33</v>
      </c>
      <c r="M363" s="5">
        <v>17</v>
      </c>
      <c r="P363" s="13">
        <v>0.38600000000000001</v>
      </c>
      <c r="Q363" s="13">
        <v>0.72799999999999998</v>
      </c>
      <c r="R363" s="13">
        <v>0.58199999999999996</v>
      </c>
      <c r="S363" s="17">
        <v>0.61817779253847005</v>
      </c>
    </row>
    <row r="364" spans="1:19" s="5" customFormat="1" x14ac:dyDescent="0.2">
      <c r="A364" s="7" t="s">
        <v>548</v>
      </c>
      <c r="B364" t="s">
        <v>95</v>
      </c>
      <c r="C364" t="s">
        <v>549</v>
      </c>
      <c r="D364"/>
      <c r="E364" s="5" t="s">
        <v>17</v>
      </c>
      <c r="F364"/>
      <c r="J364" s="5" t="s">
        <v>26</v>
      </c>
      <c r="L364" s="5">
        <v>15</v>
      </c>
      <c r="M364" s="5">
        <v>15</v>
      </c>
      <c r="P364" s="13">
        <v>0.379</v>
      </c>
      <c r="Q364" s="13">
        <v>0.25700000000000001</v>
      </c>
      <c r="R364" s="13">
        <v>0.68899999999999995</v>
      </c>
      <c r="S364" s="17">
        <v>0.69235027122771997</v>
      </c>
    </row>
    <row r="365" spans="1:19" s="5" customFormat="1" x14ac:dyDescent="0.2">
      <c r="A365" s="7" t="s">
        <v>661</v>
      </c>
      <c r="B365" t="s">
        <v>95</v>
      </c>
      <c r="C365" s="73" t="s">
        <v>662</v>
      </c>
      <c r="D365" s="73"/>
      <c r="E365" s="5" t="s">
        <v>17</v>
      </c>
      <c r="F365" s="39" t="s">
        <v>25</v>
      </c>
      <c r="J365" s="5" t="s">
        <v>26</v>
      </c>
      <c r="L365" s="5">
        <v>20</v>
      </c>
      <c r="M365" s="5">
        <v>19</v>
      </c>
      <c r="P365" s="15">
        <v>0.31</v>
      </c>
      <c r="Q365" s="15">
        <v>0.48899999999999999</v>
      </c>
      <c r="R365" s="13">
        <v>0.44</v>
      </c>
      <c r="S365" s="17">
        <v>0.48212111148012798</v>
      </c>
    </row>
    <row r="366" spans="1:19" s="5" customFormat="1" x14ac:dyDescent="0.2">
      <c r="A366" s="7" t="s">
        <v>703</v>
      </c>
      <c r="B366" t="s">
        <v>95</v>
      </c>
      <c r="C366" t="s">
        <v>357</v>
      </c>
      <c r="D366"/>
      <c r="E366" s="5" t="s">
        <v>17</v>
      </c>
      <c r="F366" s="39" t="s">
        <v>25</v>
      </c>
      <c r="J366" s="5" t="s">
        <v>26</v>
      </c>
      <c r="L366" s="5">
        <v>75</v>
      </c>
      <c r="M366" s="5">
        <v>75</v>
      </c>
      <c r="P366" s="13">
        <v>0.19600000000000001</v>
      </c>
      <c r="Q366" s="13">
        <v>0.21099999999999999</v>
      </c>
      <c r="R366" s="13">
        <v>0.70399999999999996</v>
      </c>
      <c r="S366" s="17">
        <v>0.62614856636776195</v>
      </c>
    </row>
    <row r="367" spans="1:19" s="5" customFormat="1" x14ac:dyDescent="0.2">
      <c r="A367" s="79" t="s">
        <v>692</v>
      </c>
      <c r="B367" t="s">
        <v>95</v>
      </c>
      <c r="C367" s="73" t="s">
        <v>549</v>
      </c>
      <c r="D367" s="73"/>
      <c r="E367" s="5" t="s">
        <v>17</v>
      </c>
      <c r="F367" t="s">
        <v>25</v>
      </c>
      <c r="H367" s="5" t="s">
        <v>105</v>
      </c>
      <c r="J367" s="5" t="s">
        <v>26</v>
      </c>
      <c r="L367" s="5">
        <v>166</v>
      </c>
      <c r="M367" s="5">
        <v>166</v>
      </c>
      <c r="P367" s="15">
        <v>0.38</v>
      </c>
      <c r="Q367" s="15">
        <v>0.25700000000000001</v>
      </c>
      <c r="R367" s="13">
        <v>0.68899999999999995</v>
      </c>
      <c r="S367" s="17">
        <v>0.69235027122771997</v>
      </c>
    </row>
    <row r="368" spans="1:19" s="5" customFormat="1" ht="15.75" customHeight="1" x14ac:dyDescent="0.2">
      <c r="A368" s="7" t="s">
        <v>192</v>
      </c>
      <c r="B368" t="s">
        <v>68</v>
      </c>
      <c r="C368" t="s">
        <v>193</v>
      </c>
      <c r="D368"/>
      <c r="E368" s="5" t="s">
        <v>17</v>
      </c>
      <c r="F368"/>
      <c r="G368" s="5" t="s">
        <v>406</v>
      </c>
      <c r="L368" s="5">
        <v>104</v>
      </c>
      <c r="M368" s="5">
        <v>10</v>
      </c>
      <c r="P368" s="13">
        <v>0.64</v>
      </c>
      <c r="Q368" s="13">
        <v>0.47199999999999998</v>
      </c>
      <c r="R368" s="13">
        <v>0.29499999999999998</v>
      </c>
      <c r="S368" s="13">
        <v>0.66744160301118105</v>
      </c>
    </row>
    <row r="369" spans="1:19" s="5" customFormat="1" x14ac:dyDescent="0.2">
      <c r="A369" s="7" t="s">
        <v>67</v>
      </c>
      <c r="B369" t="s">
        <v>68</v>
      </c>
      <c r="C369" s="73" t="s">
        <v>69</v>
      </c>
      <c r="D369" t="s">
        <v>70</v>
      </c>
      <c r="E369" s="5" t="s">
        <v>17</v>
      </c>
      <c r="F369"/>
      <c r="G369" s="5" t="s">
        <v>406</v>
      </c>
      <c r="L369" s="5">
        <v>58</v>
      </c>
      <c r="M369" s="5">
        <v>58</v>
      </c>
      <c r="P369" s="17">
        <v>0.215</v>
      </c>
      <c r="Q369" s="17">
        <v>0.81899999999999995</v>
      </c>
      <c r="R369" s="17">
        <v>0.21</v>
      </c>
      <c r="S369" s="13">
        <v>0.38602900476032298</v>
      </c>
    </row>
    <row r="370" spans="1:19" s="5" customFormat="1" x14ac:dyDescent="0.2">
      <c r="A370" s="7" t="s">
        <v>579</v>
      </c>
      <c r="B370" t="s">
        <v>68</v>
      </c>
      <c r="C370" t="s">
        <v>580</v>
      </c>
      <c r="D370"/>
      <c r="E370" s="5" t="s">
        <v>17</v>
      </c>
      <c r="F370"/>
      <c r="G370" s="5" t="s">
        <v>406</v>
      </c>
      <c r="L370" s="5">
        <v>6</v>
      </c>
      <c r="M370" s="5">
        <v>6</v>
      </c>
      <c r="P370" s="13">
        <v>0.441</v>
      </c>
      <c r="Q370" s="13">
        <v>0.33800000000000002</v>
      </c>
      <c r="R370" s="13">
        <v>0.86099999999999999</v>
      </c>
      <c r="S370" s="17">
        <v>0.82696778478910604</v>
      </c>
    </row>
    <row r="371" spans="1:19" s="5" customFormat="1" x14ac:dyDescent="0.2">
      <c r="A371" s="7" t="s">
        <v>728</v>
      </c>
      <c r="B371" t="s">
        <v>68</v>
      </c>
      <c r="C371" s="73" t="s">
        <v>729</v>
      </c>
      <c r="D371" s="73"/>
      <c r="E371" s="5" t="s">
        <v>17</v>
      </c>
      <c r="F371" s="39" t="s">
        <v>25</v>
      </c>
      <c r="G371" s="5" t="s">
        <v>406</v>
      </c>
      <c r="L371" s="5">
        <v>55</v>
      </c>
      <c r="M371" s="5">
        <v>54</v>
      </c>
      <c r="P371" s="15">
        <v>0.92</v>
      </c>
      <c r="Q371" s="15">
        <v>0.05</v>
      </c>
      <c r="R371" s="13">
        <v>0.95499999999999996</v>
      </c>
      <c r="S371" s="17">
        <v>0.941879774161408</v>
      </c>
    </row>
    <row r="372" spans="1:19" s="5" customFormat="1" x14ac:dyDescent="0.2">
      <c r="A372" s="7" t="s">
        <v>627</v>
      </c>
      <c r="B372" t="s">
        <v>68</v>
      </c>
      <c r="C372" s="73" t="s">
        <v>629</v>
      </c>
      <c r="D372" s="73"/>
      <c r="E372" s="5" t="s">
        <v>17</v>
      </c>
      <c r="F372" s="39" t="s">
        <v>25</v>
      </c>
      <c r="J372" s="5" t="s">
        <v>26</v>
      </c>
      <c r="L372" s="68">
        <v>21</v>
      </c>
      <c r="M372" s="67"/>
      <c r="P372" s="15">
        <v>0.6</v>
      </c>
      <c r="Q372" s="15">
        <v>0.377</v>
      </c>
      <c r="R372" s="13">
        <v>0.20200000000000001</v>
      </c>
      <c r="S372" s="17">
        <v>0.40086350049817299</v>
      </c>
    </row>
    <row r="373" spans="1:19" s="5" customFormat="1" x14ac:dyDescent="0.2">
      <c r="A373" s="7" t="s">
        <v>550</v>
      </c>
      <c r="B373" t="s">
        <v>68</v>
      </c>
      <c r="C373" s="73" t="s">
        <v>551</v>
      </c>
      <c r="D373" s="73"/>
      <c r="E373" s="5" t="s">
        <v>17</v>
      </c>
      <c r="F373" t="s">
        <v>25</v>
      </c>
      <c r="I373" s="5" t="s">
        <v>236</v>
      </c>
      <c r="L373" s="5">
        <v>50</v>
      </c>
      <c r="M373" s="5">
        <v>49</v>
      </c>
      <c r="P373" s="15">
        <v>0.03</v>
      </c>
      <c r="Q373" s="15">
        <v>4.0000000000000001E-3</v>
      </c>
      <c r="R373" s="15">
        <v>0</v>
      </c>
      <c r="S373" s="17"/>
    </row>
    <row r="374" spans="1:19" s="5" customFormat="1" x14ac:dyDescent="0.2">
      <c r="A374" s="7" t="s">
        <v>717</v>
      </c>
      <c r="B374" t="s">
        <v>718</v>
      </c>
      <c r="C374" t="s">
        <v>719</v>
      </c>
      <c r="D374"/>
      <c r="E374" s="5" t="s">
        <v>17</v>
      </c>
      <c r="F374"/>
      <c r="G374" s="5" t="s">
        <v>406</v>
      </c>
      <c r="L374" s="5">
        <v>225</v>
      </c>
      <c r="M374" s="5">
        <v>23</v>
      </c>
      <c r="P374" s="13">
        <v>0.59099999999999997</v>
      </c>
      <c r="Q374" s="13">
        <v>0.49399999999999999</v>
      </c>
      <c r="R374" s="13">
        <v>0.154</v>
      </c>
      <c r="S374" s="17">
        <v>0.14469168604007501</v>
      </c>
    </row>
    <row r="375" spans="1:19" s="5" customFormat="1" x14ac:dyDescent="0.2">
      <c r="A375" s="7" t="s">
        <v>223</v>
      </c>
      <c r="B375" t="s">
        <v>90</v>
      </c>
      <c r="C375" t="s">
        <v>198</v>
      </c>
      <c r="D375"/>
      <c r="E375" s="5" t="s">
        <v>17</v>
      </c>
      <c r="F375"/>
      <c r="G375" s="5" t="s">
        <v>406</v>
      </c>
      <c r="L375" s="5">
        <v>6</v>
      </c>
      <c r="M375" s="5">
        <v>6</v>
      </c>
      <c r="P375" s="13">
        <v>0.75700000000000001</v>
      </c>
      <c r="Q375" s="13">
        <v>2.8000000000000001E-2</v>
      </c>
      <c r="R375" s="13">
        <v>0.93200000000000005</v>
      </c>
      <c r="S375" s="13">
        <v>0.601018487767076</v>
      </c>
    </row>
    <row r="376" spans="1:19" s="5" customFormat="1" x14ac:dyDescent="0.2">
      <c r="A376" s="7" t="s">
        <v>295</v>
      </c>
      <c r="B376" t="s">
        <v>90</v>
      </c>
      <c r="C376" s="73" t="s">
        <v>296</v>
      </c>
      <c r="D376" s="73"/>
      <c r="E376" s="5" t="s">
        <v>17</v>
      </c>
      <c r="F376" s="39" t="s">
        <v>25</v>
      </c>
      <c r="G376" s="5" t="s">
        <v>406</v>
      </c>
      <c r="L376" s="67">
        <v>18</v>
      </c>
      <c r="M376" s="67"/>
      <c r="P376" s="15">
        <v>0.41</v>
      </c>
      <c r="Q376" s="15">
        <v>0.36599999999999999</v>
      </c>
      <c r="R376" s="13">
        <v>0.32800000000000001</v>
      </c>
      <c r="S376" s="13">
        <v>0.178567474814568</v>
      </c>
    </row>
    <row r="377" spans="1:19" s="5" customFormat="1" x14ac:dyDescent="0.2">
      <c r="A377" s="7" t="s">
        <v>197</v>
      </c>
      <c r="B377" t="s">
        <v>90</v>
      </c>
      <c r="C377" t="s">
        <v>198</v>
      </c>
      <c r="D377"/>
      <c r="E377" s="5" t="s">
        <v>17</v>
      </c>
      <c r="F377"/>
      <c r="G377" s="5" t="s">
        <v>406</v>
      </c>
      <c r="L377" s="5">
        <v>12</v>
      </c>
      <c r="M377" s="5">
        <v>12</v>
      </c>
      <c r="P377" s="13">
        <v>0.75700000000000001</v>
      </c>
      <c r="Q377" s="13">
        <v>2.8000000000000001E-2</v>
      </c>
      <c r="R377" s="13">
        <v>0.93200000000000005</v>
      </c>
      <c r="S377" s="13">
        <v>0.601018487767076</v>
      </c>
    </row>
    <row r="378" spans="1:19" s="5" customFormat="1" x14ac:dyDescent="0.2">
      <c r="A378" s="7" t="s">
        <v>370</v>
      </c>
      <c r="B378" t="s">
        <v>90</v>
      </c>
      <c r="C378" s="73" t="s">
        <v>371</v>
      </c>
      <c r="D378" s="73" t="s">
        <v>372</v>
      </c>
      <c r="E378" s="5" t="s">
        <v>17</v>
      </c>
      <c r="F378" t="s">
        <v>25</v>
      </c>
      <c r="K378" s="5" t="s">
        <v>373</v>
      </c>
      <c r="L378" s="5">
        <v>6</v>
      </c>
      <c r="M378" s="5">
        <v>6</v>
      </c>
      <c r="P378" s="17">
        <v>4.8000000000000001E-2</v>
      </c>
      <c r="Q378" s="17">
        <v>0.65900000000000003</v>
      </c>
      <c r="R378" s="17">
        <v>0.64600000000000002</v>
      </c>
      <c r="S378" s="13">
        <v>0.196833831506697</v>
      </c>
    </row>
    <row r="379" spans="1:19" s="5" customFormat="1" x14ac:dyDescent="0.2">
      <c r="A379" s="7" t="s">
        <v>89</v>
      </c>
      <c r="B379" t="s">
        <v>90</v>
      </c>
      <c r="C379" t="s">
        <v>91</v>
      </c>
      <c r="D379"/>
      <c r="E379" s="5" t="s">
        <v>17</v>
      </c>
      <c r="F379" s="39" t="s">
        <v>25</v>
      </c>
      <c r="G379" s="5" t="s">
        <v>406</v>
      </c>
      <c r="L379" s="5">
        <v>186</v>
      </c>
      <c r="M379" s="5">
        <v>185</v>
      </c>
      <c r="P379" s="13">
        <v>0.25700000000000001</v>
      </c>
      <c r="Q379" s="13">
        <v>0.89900000000000002</v>
      </c>
      <c r="R379" s="13">
        <v>0.14199999999999999</v>
      </c>
      <c r="S379" s="13">
        <v>2.6347835713494899E-2</v>
      </c>
    </row>
    <row r="380" spans="1:19" s="5" customFormat="1" x14ac:dyDescent="0.2">
      <c r="A380" s="7" t="s">
        <v>669</v>
      </c>
      <c r="B380" t="s">
        <v>90</v>
      </c>
      <c r="C380" s="73" t="s">
        <v>91</v>
      </c>
      <c r="D380" s="73"/>
      <c r="E380" s="5" t="s">
        <v>17</v>
      </c>
      <c r="F380" s="39" t="s">
        <v>25</v>
      </c>
      <c r="G380" s="5" t="s">
        <v>406</v>
      </c>
      <c r="L380" s="67">
        <v>123</v>
      </c>
      <c r="M380" s="67"/>
      <c r="P380" s="15">
        <v>0.26</v>
      </c>
      <c r="Q380" s="15">
        <v>0.89900000000000002</v>
      </c>
      <c r="R380" s="13">
        <v>0.14199999999999999</v>
      </c>
      <c r="S380" s="17">
        <v>2.6347835713494899E-2</v>
      </c>
    </row>
    <row r="381" spans="1:19" s="5" customFormat="1" x14ac:dyDescent="0.2">
      <c r="A381" s="7" t="s">
        <v>670</v>
      </c>
      <c r="B381" t="s">
        <v>90</v>
      </c>
      <c r="C381" s="73" t="s">
        <v>91</v>
      </c>
      <c r="D381" s="73"/>
      <c r="E381" s="5" t="s">
        <v>17</v>
      </c>
      <c r="F381" s="39" t="s">
        <v>25</v>
      </c>
      <c r="G381" s="5" t="s">
        <v>406</v>
      </c>
      <c r="L381" s="67">
        <v>61</v>
      </c>
      <c r="M381" s="67"/>
      <c r="P381" s="15">
        <v>0.26</v>
      </c>
      <c r="Q381" s="15">
        <v>0.89900000000000002</v>
      </c>
      <c r="R381" s="13">
        <v>0.14199999999999999</v>
      </c>
      <c r="S381" s="17">
        <v>2.6347835713494899E-2</v>
      </c>
    </row>
    <row r="382" spans="1:19" s="5" customFormat="1" x14ac:dyDescent="0.2">
      <c r="A382" s="7" t="s">
        <v>696</v>
      </c>
      <c r="B382" t="s">
        <v>90</v>
      </c>
      <c r="C382" s="73" t="s">
        <v>298</v>
      </c>
      <c r="D382" s="73"/>
      <c r="E382" s="5" t="s">
        <v>17</v>
      </c>
      <c r="F382" s="39" t="s">
        <v>25</v>
      </c>
      <c r="G382" s="5" t="s">
        <v>406</v>
      </c>
      <c r="L382" s="67">
        <v>71</v>
      </c>
      <c r="M382" s="67"/>
      <c r="P382" s="15">
        <v>0.64</v>
      </c>
      <c r="Q382" s="15">
        <v>0.52700000000000002</v>
      </c>
      <c r="R382" s="13">
        <v>0.36899999999999999</v>
      </c>
      <c r="S382" s="17">
        <v>0.16495073618952699</v>
      </c>
    </row>
    <row r="383" spans="1:19" s="5" customFormat="1" x14ac:dyDescent="0.2">
      <c r="A383" s="7" t="s">
        <v>474</v>
      </c>
      <c r="B383" t="s">
        <v>90</v>
      </c>
      <c r="C383" t="s">
        <v>298</v>
      </c>
      <c r="D383"/>
      <c r="E383" s="5" t="s">
        <v>17</v>
      </c>
      <c r="F383"/>
      <c r="J383" s="5" t="s">
        <v>26</v>
      </c>
      <c r="L383" s="5">
        <v>72</v>
      </c>
      <c r="M383" s="5">
        <v>72</v>
      </c>
      <c r="P383" s="13">
        <v>0.64100000000000001</v>
      </c>
      <c r="Q383" s="13">
        <v>0.52700000000000002</v>
      </c>
      <c r="R383" s="13">
        <v>0.36899999999999999</v>
      </c>
      <c r="S383" s="17">
        <v>0.16495073618952699</v>
      </c>
    </row>
    <row r="384" spans="1:19" s="5" customFormat="1" x14ac:dyDescent="0.2">
      <c r="A384" s="7" t="s">
        <v>297</v>
      </c>
      <c r="B384" t="s">
        <v>90</v>
      </c>
      <c r="C384" t="s">
        <v>298</v>
      </c>
      <c r="D384"/>
      <c r="E384" s="5" t="s">
        <v>17</v>
      </c>
      <c r="F384" t="s">
        <v>25</v>
      </c>
      <c r="J384" s="5" t="s">
        <v>26</v>
      </c>
      <c r="L384" s="5">
        <v>75</v>
      </c>
      <c r="M384" s="5">
        <v>27</v>
      </c>
      <c r="P384" s="13">
        <v>0.64100000000000001</v>
      </c>
      <c r="Q384" s="13">
        <v>0.52700000000000002</v>
      </c>
      <c r="R384" s="13">
        <v>0.36899999999999999</v>
      </c>
      <c r="S384" s="13">
        <v>0.16495073618952699</v>
      </c>
    </row>
    <row r="385" spans="1:19" s="5" customFormat="1" x14ac:dyDescent="0.2">
      <c r="A385" s="7" t="s">
        <v>630</v>
      </c>
      <c r="B385" t="s">
        <v>90</v>
      </c>
      <c r="C385" s="73" t="s">
        <v>298</v>
      </c>
      <c r="D385" s="73"/>
      <c r="E385" s="5" t="s">
        <v>17</v>
      </c>
      <c r="F385" s="39" t="s">
        <v>25</v>
      </c>
      <c r="J385" s="5" t="s">
        <v>26</v>
      </c>
      <c r="L385" s="67">
        <v>75</v>
      </c>
      <c r="M385" s="67"/>
      <c r="P385" s="15">
        <v>0.64</v>
      </c>
      <c r="Q385" s="15">
        <v>0.52700000000000002</v>
      </c>
      <c r="R385" s="13">
        <v>0.36899999999999999</v>
      </c>
      <c r="S385" s="17">
        <v>0.16495073618952699</v>
      </c>
    </row>
    <row r="386" spans="1:19" s="5" customFormat="1" x14ac:dyDescent="0.2">
      <c r="A386" s="7" t="s">
        <v>746</v>
      </c>
      <c r="B386" t="s">
        <v>90</v>
      </c>
      <c r="C386" s="73" t="s">
        <v>747</v>
      </c>
      <c r="D386" s="73"/>
      <c r="E386" s="5" t="s">
        <v>17</v>
      </c>
      <c r="F386" s="39" t="s">
        <v>25</v>
      </c>
      <c r="J386" s="5" t="s">
        <v>26</v>
      </c>
      <c r="L386" s="5">
        <v>122</v>
      </c>
      <c r="M386" s="5">
        <v>122</v>
      </c>
      <c r="P386" s="15">
        <v>0.94</v>
      </c>
      <c r="Q386" s="15">
        <v>0.40600000000000003</v>
      </c>
      <c r="R386" s="13">
        <v>9.1999999999999998E-2</v>
      </c>
      <c r="S386" s="17">
        <v>0.23856968891840999</v>
      </c>
    </row>
    <row r="387" spans="1:19" s="5" customFormat="1" x14ac:dyDescent="0.2">
      <c r="A387" s="7" t="s">
        <v>1396</v>
      </c>
      <c r="B387" t="s">
        <v>610</v>
      </c>
      <c r="C387"/>
      <c r="D387"/>
      <c r="F387"/>
      <c r="G387" s="5" t="s">
        <v>406</v>
      </c>
      <c r="L387" s="5">
        <v>24</v>
      </c>
      <c r="M387" s="5">
        <v>24</v>
      </c>
      <c r="P387" s="13"/>
      <c r="Q387" s="13"/>
      <c r="R387" s="13"/>
      <c r="S387" s="17"/>
    </row>
    <row r="388" spans="1:19" s="5" customFormat="1" x14ac:dyDescent="0.2">
      <c r="A388" s="7" t="s">
        <v>633</v>
      </c>
      <c r="B388" t="s">
        <v>610</v>
      </c>
      <c r="C388" t="s">
        <v>611</v>
      </c>
      <c r="D388"/>
      <c r="E388" s="5" t="s">
        <v>17</v>
      </c>
      <c r="F388"/>
      <c r="J388" s="5" t="s">
        <v>26</v>
      </c>
      <c r="L388" s="5">
        <v>150</v>
      </c>
      <c r="M388" s="5">
        <v>150</v>
      </c>
      <c r="P388" s="13">
        <v>0.251</v>
      </c>
      <c r="Q388" s="13">
        <v>0.66400000000000003</v>
      </c>
      <c r="R388" s="13">
        <v>0.49299999999999999</v>
      </c>
      <c r="S388" s="17">
        <v>0.45311635115686899</v>
      </c>
    </row>
    <row r="389" spans="1:19" s="5" customFormat="1" x14ac:dyDescent="0.2">
      <c r="A389" s="7" t="s">
        <v>682</v>
      </c>
      <c r="B389" t="s">
        <v>610</v>
      </c>
      <c r="C389" t="s">
        <v>611</v>
      </c>
      <c r="D389"/>
      <c r="E389" s="5" t="s">
        <v>17</v>
      </c>
      <c r="F389" t="s">
        <v>25</v>
      </c>
      <c r="H389" s="5" t="s">
        <v>39</v>
      </c>
      <c r="J389" s="5" t="s">
        <v>26</v>
      </c>
      <c r="L389" s="5">
        <v>75</v>
      </c>
      <c r="M389" s="5">
        <v>74</v>
      </c>
      <c r="P389" s="13">
        <v>0.251</v>
      </c>
      <c r="Q389" s="13">
        <v>0.66400000000000003</v>
      </c>
      <c r="R389" s="13">
        <v>0.49299999999999999</v>
      </c>
      <c r="S389" s="17">
        <v>0.45311635115686899</v>
      </c>
    </row>
    <row r="390" spans="1:19" s="5" customFormat="1" x14ac:dyDescent="0.2">
      <c r="A390" s="7" t="s">
        <v>732</v>
      </c>
      <c r="B390" t="s">
        <v>610</v>
      </c>
      <c r="C390" t="s">
        <v>611</v>
      </c>
      <c r="D390"/>
      <c r="E390" s="5" t="s">
        <v>17</v>
      </c>
      <c r="F390" s="39" t="s">
        <v>25</v>
      </c>
      <c r="J390" s="5" t="s">
        <v>26</v>
      </c>
      <c r="L390" s="5">
        <v>84</v>
      </c>
      <c r="M390" s="5">
        <v>66</v>
      </c>
      <c r="P390" s="13">
        <v>0.251</v>
      </c>
      <c r="Q390" s="13">
        <v>0.66400000000000003</v>
      </c>
      <c r="R390" s="13">
        <v>0.49299999999999999</v>
      </c>
      <c r="S390" s="17">
        <v>0.45311635115686899</v>
      </c>
    </row>
    <row r="391" spans="1:19" s="5" customFormat="1" x14ac:dyDescent="0.2">
      <c r="A391" s="7" t="s">
        <v>609</v>
      </c>
      <c r="B391" t="s">
        <v>610</v>
      </c>
      <c r="C391" t="s">
        <v>611</v>
      </c>
      <c r="D391"/>
      <c r="E391" s="5" t="s">
        <v>17</v>
      </c>
      <c r="F391" t="s">
        <v>25</v>
      </c>
      <c r="G391" s="5" t="s">
        <v>406</v>
      </c>
      <c r="H391" s="5" t="s">
        <v>39</v>
      </c>
      <c r="L391" s="5">
        <v>50</v>
      </c>
      <c r="M391" s="5">
        <v>49</v>
      </c>
      <c r="P391" s="13">
        <v>0.251</v>
      </c>
      <c r="Q391" s="13">
        <v>0.66400000000000003</v>
      </c>
      <c r="R391" s="13">
        <v>0.49299999999999999</v>
      </c>
      <c r="S391" s="17">
        <v>0.45311635115686899</v>
      </c>
    </row>
    <row r="392" spans="1:19" s="5" customFormat="1" x14ac:dyDescent="0.2">
      <c r="A392" s="7" t="s">
        <v>289</v>
      </c>
      <c r="B392" t="s">
        <v>42</v>
      </c>
      <c r="C392" t="s">
        <v>290</v>
      </c>
      <c r="D392"/>
      <c r="E392" s="5" t="s">
        <v>17</v>
      </c>
      <c r="F392"/>
      <c r="G392" s="5" t="s">
        <v>406</v>
      </c>
      <c r="L392" s="5">
        <v>4</v>
      </c>
      <c r="M392" s="5">
        <v>4</v>
      </c>
      <c r="P392" s="13">
        <v>0.65900000000000003</v>
      </c>
      <c r="Q392" s="13">
        <v>2.5999999999999999E-2</v>
      </c>
      <c r="R392" s="13">
        <v>0.36199999999999999</v>
      </c>
      <c r="S392" s="13">
        <v>0.92305989150891099</v>
      </c>
    </row>
    <row r="393" spans="1:19" s="5" customFormat="1" x14ac:dyDescent="0.2">
      <c r="A393" s="7" t="s">
        <v>173</v>
      </c>
      <c r="B393" t="s">
        <v>42</v>
      </c>
      <c r="C393" t="s">
        <v>43</v>
      </c>
      <c r="D393"/>
      <c r="E393" s="5" t="s">
        <v>17</v>
      </c>
      <c r="F393"/>
      <c r="G393" s="5" t="s">
        <v>406</v>
      </c>
      <c r="L393" s="5">
        <v>6</v>
      </c>
      <c r="M393" s="5">
        <v>4</v>
      </c>
      <c r="P393" s="13">
        <v>0.27300000000000002</v>
      </c>
      <c r="Q393" s="13">
        <v>0.16700000000000001</v>
      </c>
      <c r="R393" s="13">
        <v>0.82199999999999995</v>
      </c>
      <c r="S393" s="13">
        <v>0.86250415144470205</v>
      </c>
    </row>
    <row r="394" spans="1:19" s="5" customFormat="1" x14ac:dyDescent="0.2">
      <c r="A394" s="7" t="s">
        <v>377</v>
      </c>
      <c r="B394" t="s">
        <v>42</v>
      </c>
      <c r="C394" t="s">
        <v>378</v>
      </c>
      <c r="D394"/>
      <c r="E394" s="5" t="s">
        <v>17</v>
      </c>
      <c r="F394"/>
      <c r="G394" s="5" t="s">
        <v>406</v>
      </c>
      <c r="L394" s="5">
        <v>6</v>
      </c>
      <c r="M394" s="5">
        <v>6</v>
      </c>
      <c r="P394" s="13">
        <v>5.5E-2</v>
      </c>
      <c r="Q394" s="13">
        <v>0.33300000000000002</v>
      </c>
      <c r="R394" s="13">
        <v>0.83899999999999997</v>
      </c>
      <c r="S394" s="17">
        <v>0.88254179121000698</v>
      </c>
    </row>
    <row r="395" spans="1:19" s="5" customFormat="1" x14ac:dyDescent="0.2">
      <c r="A395" s="7" t="s">
        <v>383</v>
      </c>
      <c r="B395" t="s">
        <v>42</v>
      </c>
      <c r="C395" t="s">
        <v>109</v>
      </c>
      <c r="D395"/>
      <c r="E395" s="5" t="s">
        <v>17</v>
      </c>
      <c r="F395"/>
      <c r="G395" s="5" t="s">
        <v>406</v>
      </c>
      <c r="L395" s="5">
        <v>8</v>
      </c>
      <c r="M395" s="5">
        <v>6</v>
      </c>
      <c r="P395" s="13">
        <v>0.50800000000000001</v>
      </c>
      <c r="Q395" s="13">
        <v>6.3E-2</v>
      </c>
      <c r="R395" s="13">
        <v>0.92100000000000004</v>
      </c>
      <c r="S395" s="17">
        <v>0.83217092881656096</v>
      </c>
    </row>
    <row r="396" spans="1:19" s="5" customFormat="1" x14ac:dyDescent="0.2">
      <c r="A396" s="7" t="s">
        <v>384</v>
      </c>
      <c r="B396" t="s">
        <v>42</v>
      </c>
      <c r="C396" t="s">
        <v>385</v>
      </c>
      <c r="D396"/>
      <c r="E396" s="5" t="s">
        <v>17</v>
      </c>
      <c r="F396"/>
      <c r="G396" s="5" t="s">
        <v>406</v>
      </c>
      <c r="L396" s="5">
        <v>12</v>
      </c>
      <c r="M396" s="5">
        <v>6</v>
      </c>
      <c r="P396" s="13">
        <v>0.14899999999999999</v>
      </c>
      <c r="Q396" s="13">
        <v>0.41199999999999998</v>
      </c>
      <c r="R396" s="13">
        <v>0.21199999999999999</v>
      </c>
      <c r="S396" s="17">
        <v>0.84445920513672001</v>
      </c>
    </row>
    <row r="397" spans="1:19" s="5" customFormat="1" x14ac:dyDescent="0.2">
      <c r="A397" s="7" t="s">
        <v>79</v>
      </c>
      <c r="B397" t="s">
        <v>42</v>
      </c>
      <c r="C397" t="s">
        <v>80</v>
      </c>
      <c r="D397"/>
      <c r="E397" s="5" t="s">
        <v>17</v>
      </c>
      <c r="F397"/>
      <c r="G397" s="5" t="s">
        <v>406</v>
      </c>
      <c r="L397" s="5">
        <v>3</v>
      </c>
      <c r="M397" s="5">
        <v>3</v>
      </c>
      <c r="P397" s="13">
        <v>0.17899999999999999</v>
      </c>
      <c r="Q397" s="13">
        <v>0.59399999999999997</v>
      </c>
      <c r="R397" s="13">
        <v>0.38500000000000001</v>
      </c>
      <c r="S397" s="13">
        <v>0.70098527620945394</v>
      </c>
    </row>
    <row r="398" spans="1:19" s="5" customFormat="1" x14ac:dyDescent="0.2">
      <c r="A398" s="7" t="s">
        <v>123</v>
      </c>
      <c r="B398" t="s">
        <v>42</v>
      </c>
      <c r="C398" t="s">
        <v>124</v>
      </c>
      <c r="D398"/>
      <c r="E398" s="5" t="s">
        <v>17</v>
      </c>
      <c r="F398"/>
      <c r="G398" s="5" t="s">
        <v>406</v>
      </c>
      <c r="L398" s="5">
        <v>6</v>
      </c>
      <c r="M398" s="5">
        <v>6</v>
      </c>
      <c r="P398" s="13">
        <v>0.17899999999999999</v>
      </c>
      <c r="Q398" s="13">
        <v>0.59499999999999997</v>
      </c>
      <c r="R398" s="13">
        <v>0.72599999999999998</v>
      </c>
      <c r="S398" s="13">
        <v>0.86283626702092298</v>
      </c>
    </row>
    <row r="399" spans="1:19" s="5" customFormat="1" x14ac:dyDescent="0.2">
      <c r="A399" s="7" t="s">
        <v>247</v>
      </c>
      <c r="B399" t="s">
        <v>42</v>
      </c>
      <c r="C399" t="s">
        <v>109</v>
      </c>
      <c r="D399"/>
      <c r="E399" s="5" t="s">
        <v>17</v>
      </c>
      <c r="F399"/>
      <c r="G399" s="5" t="s">
        <v>406</v>
      </c>
      <c r="L399" s="5">
        <v>70</v>
      </c>
      <c r="M399" s="5">
        <v>69</v>
      </c>
      <c r="P399" s="13">
        <v>0.50800000000000001</v>
      </c>
      <c r="Q399" s="13">
        <v>6.3E-2</v>
      </c>
      <c r="R399" s="13">
        <v>0.92100000000000004</v>
      </c>
      <c r="S399" s="13">
        <v>0.83217092881656096</v>
      </c>
    </row>
    <row r="400" spans="1:19" s="5" customFormat="1" x14ac:dyDescent="0.2">
      <c r="A400" s="7" t="s">
        <v>279</v>
      </c>
      <c r="B400" t="s">
        <v>42</v>
      </c>
      <c r="C400" s="73" t="s">
        <v>280</v>
      </c>
      <c r="D400" s="73"/>
      <c r="E400" s="5" t="s">
        <v>17</v>
      </c>
      <c r="F400" s="39" t="s">
        <v>25</v>
      </c>
      <c r="G400" s="5" t="s">
        <v>406</v>
      </c>
      <c r="L400" s="5">
        <v>274</v>
      </c>
      <c r="M400" s="5">
        <v>55</v>
      </c>
      <c r="P400" s="15">
        <v>0.61</v>
      </c>
      <c r="Q400" s="15">
        <v>0.49399999999999999</v>
      </c>
      <c r="R400" s="13">
        <v>0.69699999999999995</v>
      </c>
      <c r="S400" s="13">
        <v>0.75788774493523703</v>
      </c>
    </row>
    <row r="401" spans="1:19" s="5" customFormat="1" x14ac:dyDescent="0.2">
      <c r="A401" s="7" t="s">
        <v>267</v>
      </c>
      <c r="B401" t="s">
        <v>42</v>
      </c>
      <c r="C401" s="73" t="s">
        <v>268</v>
      </c>
      <c r="D401" s="73"/>
      <c r="E401" s="5" t="s">
        <v>17</v>
      </c>
      <c r="F401" s="39" t="s">
        <v>25</v>
      </c>
      <c r="G401" s="5" t="s">
        <v>406</v>
      </c>
      <c r="L401" s="5">
        <v>127</v>
      </c>
      <c r="M401" s="5">
        <v>126</v>
      </c>
      <c r="P401" s="15">
        <v>0.63</v>
      </c>
      <c r="Q401" s="15">
        <v>1.4E-2</v>
      </c>
      <c r="R401" s="13">
        <v>0.92900000000000005</v>
      </c>
      <c r="S401" s="13">
        <v>0.94697221299678902</v>
      </c>
    </row>
    <row r="402" spans="1:19" s="5" customFormat="1" x14ac:dyDescent="0.2">
      <c r="A402" s="7" t="s">
        <v>87</v>
      </c>
      <c r="B402" t="s">
        <v>42</v>
      </c>
      <c r="C402" s="73" t="s">
        <v>88</v>
      </c>
      <c r="D402" s="73"/>
      <c r="E402" s="5" t="s">
        <v>17</v>
      </c>
      <c r="F402" s="39" t="s">
        <v>25</v>
      </c>
      <c r="G402" s="5" t="s">
        <v>406</v>
      </c>
      <c r="L402" s="67">
        <v>343</v>
      </c>
      <c r="M402" s="67"/>
      <c r="P402" s="15">
        <v>0.77</v>
      </c>
      <c r="Q402" s="15">
        <v>0.38100000000000001</v>
      </c>
      <c r="R402" s="13">
        <v>0.32300000000000001</v>
      </c>
      <c r="S402" s="13">
        <v>0.81634008635004895</v>
      </c>
    </row>
    <row r="403" spans="1:19" s="5" customFormat="1" x14ac:dyDescent="0.2">
      <c r="A403" s="7" t="s">
        <v>229</v>
      </c>
      <c r="B403" t="s">
        <v>42</v>
      </c>
      <c r="C403" s="73" t="s">
        <v>88</v>
      </c>
      <c r="D403" s="73"/>
      <c r="E403" s="5" t="s">
        <v>17</v>
      </c>
      <c r="F403" s="39" t="s">
        <v>25</v>
      </c>
      <c r="G403" s="5" t="s">
        <v>406</v>
      </c>
      <c r="L403" s="67">
        <v>204</v>
      </c>
      <c r="M403" s="67"/>
      <c r="P403" s="15">
        <v>0.77</v>
      </c>
      <c r="Q403" s="15">
        <v>0.38100000000000001</v>
      </c>
      <c r="R403" s="13">
        <v>0.32300000000000001</v>
      </c>
      <c r="S403" s="13">
        <v>0.81634008635004895</v>
      </c>
    </row>
    <row r="404" spans="1:19" s="5" customFormat="1" x14ac:dyDescent="0.2">
      <c r="A404" s="7" t="s">
        <v>230</v>
      </c>
      <c r="B404" t="s">
        <v>42</v>
      </c>
      <c r="C404" s="73" t="s">
        <v>231</v>
      </c>
      <c r="D404" s="73"/>
      <c r="E404" s="5" t="s">
        <v>17</v>
      </c>
      <c r="F404" s="39" t="s">
        <v>25</v>
      </c>
      <c r="G404" s="5" t="s">
        <v>406</v>
      </c>
      <c r="L404" s="67">
        <v>68</v>
      </c>
      <c r="M404" s="67"/>
      <c r="P404" s="15">
        <v>0.5</v>
      </c>
      <c r="Q404" s="15">
        <v>0.56699999999999995</v>
      </c>
      <c r="R404" s="13">
        <v>0.17899999999999999</v>
      </c>
      <c r="S404" s="13">
        <v>0.45045942654710502</v>
      </c>
    </row>
    <row r="405" spans="1:19" s="5" customFormat="1" x14ac:dyDescent="0.2">
      <c r="A405" s="7" t="s">
        <v>309</v>
      </c>
      <c r="B405" t="s">
        <v>42</v>
      </c>
      <c r="C405" t="s">
        <v>310</v>
      </c>
      <c r="D405"/>
      <c r="E405" s="5" t="s">
        <v>17</v>
      </c>
      <c r="F405"/>
      <c r="G405" s="5" t="s">
        <v>406</v>
      </c>
      <c r="L405" s="5">
        <v>12</v>
      </c>
      <c r="M405" s="5">
        <v>12</v>
      </c>
      <c r="P405" s="13">
        <v>0.3</v>
      </c>
      <c r="Q405" s="13">
        <v>0.17899999999999999</v>
      </c>
      <c r="R405" s="13">
        <v>0.88100000000000001</v>
      </c>
      <c r="S405" s="13">
        <v>0.77593269124321895</v>
      </c>
    </row>
    <row r="406" spans="1:19" s="5" customFormat="1" x14ac:dyDescent="0.2">
      <c r="A406" s="7" t="s">
        <v>108</v>
      </c>
      <c r="B406" t="s">
        <v>42</v>
      </c>
      <c r="C406" t="s">
        <v>109</v>
      </c>
      <c r="D406"/>
      <c r="E406" s="5" t="s">
        <v>17</v>
      </c>
      <c r="F406"/>
      <c r="G406" s="5" t="s">
        <v>406</v>
      </c>
      <c r="L406" s="5">
        <v>7</v>
      </c>
      <c r="M406" s="5">
        <v>4</v>
      </c>
      <c r="P406" s="13">
        <v>0.50800000000000001</v>
      </c>
      <c r="Q406" s="13">
        <v>6.3E-2</v>
      </c>
      <c r="R406" s="13">
        <v>0.92100000000000004</v>
      </c>
      <c r="S406" s="13">
        <v>0.83217092881656096</v>
      </c>
    </row>
    <row r="407" spans="1:19" s="5" customFormat="1" x14ac:dyDescent="0.2">
      <c r="A407" s="7" t="s">
        <v>314</v>
      </c>
      <c r="B407" t="s">
        <v>42</v>
      </c>
      <c r="C407" s="73" t="s">
        <v>290</v>
      </c>
      <c r="D407" s="73"/>
      <c r="E407" s="5" t="s">
        <v>17</v>
      </c>
      <c r="F407"/>
      <c r="G407" s="5" t="s">
        <v>406</v>
      </c>
      <c r="L407" s="67">
        <v>8</v>
      </c>
      <c r="M407" s="67"/>
      <c r="P407" s="15">
        <v>0.66</v>
      </c>
      <c r="Q407" s="15">
        <v>2.5999999999999999E-2</v>
      </c>
      <c r="R407" s="13">
        <v>0.36199999999999999</v>
      </c>
      <c r="S407" s="13">
        <v>0.92305989150891099</v>
      </c>
    </row>
    <row r="408" spans="1:19" s="5" customFormat="1" x14ac:dyDescent="0.2">
      <c r="A408" s="7" t="s">
        <v>286</v>
      </c>
      <c r="B408" t="s">
        <v>42</v>
      </c>
      <c r="C408" s="73" t="s">
        <v>124</v>
      </c>
      <c r="D408" s="73"/>
      <c r="E408" s="5" t="s">
        <v>17</v>
      </c>
      <c r="F408" s="39" t="s">
        <v>25</v>
      </c>
      <c r="G408" s="5" t="s">
        <v>406</v>
      </c>
      <c r="L408" s="67">
        <v>6</v>
      </c>
      <c r="M408" s="67"/>
      <c r="P408" s="15">
        <v>0.18</v>
      </c>
      <c r="Q408" s="15">
        <v>0.59499999999999997</v>
      </c>
      <c r="R408" s="13">
        <v>0.72599999999999998</v>
      </c>
      <c r="S408" s="13">
        <v>0.86283626702092298</v>
      </c>
    </row>
    <row r="409" spans="1:19" s="5" customFormat="1" x14ac:dyDescent="0.2">
      <c r="A409" s="7" t="s">
        <v>211</v>
      </c>
      <c r="B409" t="s">
        <v>42</v>
      </c>
      <c r="C409" s="73" t="s">
        <v>212</v>
      </c>
      <c r="D409" s="73" t="s">
        <v>213</v>
      </c>
      <c r="E409" s="5" t="s">
        <v>17</v>
      </c>
      <c r="F409"/>
      <c r="G409" s="5" t="s">
        <v>406</v>
      </c>
      <c r="L409" s="67">
        <v>51</v>
      </c>
      <c r="M409" s="67">
        <v>50</v>
      </c>
      <c r="O409" s="5" t="s">
        <v>214</v>
      </c>
      <c r="P409" s="15">
        <v>0.13</v>
      </c>
      <c r="Q409" s="15">
        <v>0.247</v>
      </c>
      <c r="R409" s="13">
        <v>0.55100000000000005</v>
      </c>
      <c r="S409" s="13">
        <v>0.92726668880770502</v>
      </c>
    </row>
    <row r="410" spans="1:19" s="5" customFormat="1" x14ac:dyDescent="0.2">
      <c r="A410" s="7" t="s">
        <v>254</v>
      </c>
      <c r="B410" t="s">
        <v>42</v>
      </c>
      <c r="C410" s="73" t="s">
        <v>98</v>
      </c>
      <c r="D410" s="73"/>
      <c r="E410" s="5" t="s">
        <v>17</v>
      </c>
      <c r="F410" s="39" t="s">
        <v>25</v>
      </c>
      <c r="G410" s="5" t="s">
        <v>406</v>
      </c>
      <c r="L410" s="67">
        <v>34</v>
      </c>
      <c r="M410" s="67"/>
      <c r="P410" s="15">
        <v>0.39</v>
      </c>
      <c r="Q410" s="15">
        <v>6.7000000000000004E-2</v>
      </c>
      <c r="R410" s="13">
        <v>0.88700000000000001</v>
      </c>
      <c r="S410" s="13">
        <v>0.95549651278644898</v>
      </c>
    </row>
    <row r="411" spans="1:19" s="5" customFormat="1" x14ac:dyDescent="0.2">
      <c r="A411" s="7" t="s">
        <v>311</v>
      </c>
      <c r="B411" t="s">
        <v>42</v>
      </c>
      <c r="C411" s="73" t="s">
        <v>88</v>
      </c>
      <c r="D411" s="73"/>
      <c r="E411" s="5" t="s">
        <v>17</v>
      </c>
      <c r="F411" s="39" t="s">
        <v>25</v>
      </c>
      <c r="G411" s="5" t="s">
        <v>406</v>
      </c>
      <c r="L411" s="67">
        <v>415</v>
      </c>
      <c r="M411" s="67"/>
      <c r="P411" s="15">
        <v>0.77</v>
      </c>
      <c r="Q411" s="15">
        <v>0.38100000000000001</v>
      </c>
      <c r="R411" s="13">
        <v>0.32300000000000001</v>
      </c>
      <c r="S411" s="13">
        <v>0.81634008635004895</v>
      </c>
    </row>
    <row r="412" spans="1:19" s="5" customFormat="1" x14ac:dyDescent="0.2">
      <c r="A412" s="7" t="s">
        <v>578</v>
      </c>
      <c r="B412" t="s">
        <v>42</v>
      </c>
      <c r="C412" s="73" t="s">
        <v>385</v>
      </c>
      <c r="D412" s="73"/>
      <c r="E412" s="5" t="s">
        <v>17</v>
      </c>
      <c r="F412" s="39" t="s">
        <v>25</v>
      </c>
      <c r="G412" s="5" t="s">
        <v>406</v>
      </c>
      <c r="L412" s="5">
        <v>6</v>
      </c>
      <c r="M412" s="5">
        <v>2</v>
      </c>
      <c r="P412" s="15">
        <v>0.15</v>
      </c>
      <c r="Q412" s="15">
        <v>0.41199999999999998</v>
      </c>
      <c r="R412" s="13">
        <v>0.21199999999999999</v>
      </c>
      <c r="S412" s="17">
        <v>0.84445920513672001</v>
      </c>
    </row>
    <row r="413" spans="1:19" s="5" customFormat="1" x14ac:dyDescent="0.2">
      <c r="A413" s="7" t="s">
        <v>600</v>
      </c>
      <c r="B413" t="s">
        <v>42</v>
      </c>
      <c r="C413" s="73" t="s">
        <v>601</v>
      </c>
      <c r="D413" s="73"/>
      <c r="E413" s="5" t="s">
        <v>17</v>
      </c>
      <c r="F413" s="39" t="s">
        <v>25</v>
      </c>
      <c r="G413" s="5" t="s">
        <v>406</v>
      </c>
      <c r="L413" s="67">
        <v>48</v>
      </c>
      <c r="M413" s="67"/>
      <c r="P413" s="15">
        <v>0.59</v>
      </c>
      <c r="Q413" s="15">
        <v>3.7999999999999999E-2</v>
      </c>
      <c r="R413" s="13">
        <v>0.996</v>
      </c>
      <c r="S413" s="17">
        <v>0.90877892173142905</v>
      </c>
    </row>
    <row r="414" spans="1:19" s="5" customFormat="1" x14ac:dyDescent="0.2">
      <c r="A414" s="7" t="s">
        <v>623</v>
      </c>
      <c r="B414" t="s">
        <v>42</v>
      </c>
      <c r="C414" t="s">
        <v>98</v>
      </c>
      <c r="D414"/>
      <c r="E414" s="5" t="s">
        <v>17</v>
      </c>
      <c r="F414"/>
      <c r="G414" s="5" t="s">
        <v>406</v>
      </c>
      <c r="L414" s="5">
        <v>113</v>
      </c>
      <c r="M414" s="5">
        <v>112</v>
      </c>
      <c r="P414" s="13">
        <v>0.38500000000000001</v>
      </c>
      <c r="Q414" s="13">
        <v>6.7000000000000004E-2</v>
      </c>
      <c r="R414" s="13">
        <v>0.88700000000000001</v>
      </c>
      <c r="S414" s="17">
        <v>0.95549651278644898</v>
      </c>
    </row>
    <row r="415" spans="1:19" s="5" customFormat="1" x14ac:dyDescent="0.2">
      <c r="A415" s="7" t="s">
        <v>664</v>
      </c>
      <c r="B415" t="s">
        <v>42</v>
      </c>
      <c r="C415" s="73" t="s">
        <v>378</v>
      </c>
      <c r="D415" s="73"/>
      <c r="E415" s="5" t="s">
        <v>17</v>
      </c>
      <c r="F415" s="39" t="s">
        <v>25</v>
      </c>
      <c r="G415" s="5" t="s">
        <v>406</v>
      </c>
      <c r="L415" s="5">
        <v>54</v>
      </c>
      <c r="M415" s="5">
        <v>54</v>
      </c>
      <c r="P415" s="15">
        <v>0.06</v>
      </c>
      <c r="Q415" s="15">
        <v>0.33300000000000002</v>
      </c>
      <c r="R415" s="13">
        <v>0.83899999999999997</v>
      </c>
      <c r="S415" s="17">
        <v>0.88254179121000698</v>
      </c>
    </row>
    <row r="416" spans="1:19" s="5" customFormat="1" x14ac:dyDescent="0.2">
      <c r="A416" s="7" t="s">
        <v>702</v>
      </c>
      <c r="B416" t="s">
        <v>42</v>
      </c>
      <c r="C416" t="s">
        <v>238</v>
      </c>
      <c r="D416"/>
      <c r="E416" s="5" t="s">
        <v>17</v>
      </c>
      <c r="F416"/>
      <c r="G416" s="5" t="s">
        <v>406</v>
      </c>
      <c r="L416" s="5">
        <v>63</v>
      </c>
      <c r="M416" s="5">
        <v>48</v>
      </c>
      <c r="P416" s="13">
        <v>0.30099999999999999</v>
      </c>
      <c r="Q416" s="13">
        <v>2.1999999999999999E-2</v>
      </c>
      <c r="R416" s="13">
        <v>0.93600000000000005</v>
      </c>
      <c r="S416" s="17">
        <v>0.94752573895715697</v>
      </c>
    </row>
    <row r="417" spans="1:19" s="5" customFormat="1" x14ac:dyDescent="0.2">
      <c r="A417" s="7" t="s">
        <v>724</v>
      </c>
      <c r="B417" t="s">
        <v>42</v>
      </c>
      <c r="C417" t="s">
        <v>725</v>
      </c>
      <c r="D417"/>
      <c r="E417" s="5" t="s">
        <v>17</v>
      </c>
      <c r="F417"/>
      <c r="G417" s="5" t="s">
        <v>406</v>
      </c>
      <c r="L417" s="5">
        <v>562</v>
      </c>
      <c r="M417" s="5">
        <v>114</v>
      </c>
      <c r="P417" s="13">
        <v>0.751</v>
      </c>
      <c r="Q417" s="13">
        <v>0.17299999999999999</v>
      </c>
      <c r="R417" s="13">
        <v>0.79</v>
      </c>
      <c r="S417" s="17">
        <v>0.77571128085907204</v>
      </c>
    </row>
    <row r="418" spans="1:19" s="5" customFormat="1" x14ac:dyDescent="0.2">
      <c r="A418" s="7" t="s">
        <v>750</v>
      </c>
      <c r="B418" t="s">
        <v>42</v>
      </c>
      <c r="C418" s="73" t="s">
        <v>751</v>
      </c>
      <c r="D418" s="73"/>
      <c r="E418" s="5" t="s">
        <v>17</v>
      </c>
      <c r="F418" s="39" t="s">
        <v>25</v>
      </c>
      <c r="G418" s="5" t="s">
        <v>406</v>
      </c>
      <c r="L418" s="5">
        <v>41</v>
      </c>
      <c r="M418" s="5">
        <v>40</v>
      </c>
      <c r="P418" s="15">
        <v>0.55000000000000004</v>
      </c>
      <c r="Q418" s="15">
        <v>0.66900000000000004</v>
      </c>
      <c r="R418" s="13">
        <v>0.53200000000000003</v>
      </c>
      <c r="S418" s="17">
        <v>0.76209454223402995</v>
      </c>
    </row>
    <row r="419" spans="1:19" s="5" customFormat="1" x14ac:dyDescent="0.2">
      <c r="A419" s="7" t="s">
        <v>758</v>
      </c>
      <c r="B419" t="s">
        <v>42</v>
      </c>
      <c r="C419" s="73" t="s">
        <v>558</v>
      </c>
      <c r="D419" s="73"/>
      <c r="E419" s="5" t="s">
        <v>17</v>
      </c>
      <c r="F419" s="39" t="s">
        <v>25</v>
      </c>
      <c r="G419" s="5" t="s">
        <v>406</v>
      </c>
      <c r="L419" s="5">
        <v>500</v>
      </c>
      <c r="M419" s="5">
        <v>500</v>
      </c>
      <c r="P419" s="15">
        <v>0.19</v>
      </c>
      <c r="Q419" s="15">
        <v>5.2999999999999999E-2</v>
      </c>
      <c r="R419" s="13">
        <v>0.77900000000000003</v>
      </c>
      <c r="S419" s="17">
        <v>0.94420458319495104</v>
      </c>
    </row>
    <row r="420" spans="1:19" s="5" customFormat="1" x14ac:dyDescent="0.2">
      <c r="A420" s="7" t="s">
        <v>768</v>
      </c>
      <c r="B420" t="s">
        <v>42</v>
      </c>
      <c r="C420" s="73" t="s">
        <v>769</v>
      </c>
      <c r="D420" s="73"/>
      <c r="E420" s="5" t="s">
        <v>17</v>
      </c>
      <c r="F420" s="39" t="s">
        <v>25</v>
      </c>
      <c r="G420" s="5" t="s">
        <v>406</v>
      </c>
      <c r="L420" s="67">
        <v>143</v>
      </c>
      <c r="M420" s="67"/>
      <c r="P420" s="15">
        <v>0.6</v>
      </c>
      <c r="Q420" s="15">
        <v>0.17499999999999999</v>
      </c>
      <c r="R420" s="13">
        <v>0.56100000000000005</v>
      </c>
      <c r="S420" s="17">
        <v>0.722129967895494</v>
      </c>
    </row>
    <row r="421" spans="1:19" s="5" customFormat="1" x14ac:dyDescent="0.2">
      <c r="A421" s="7" t="s">
        <v>622</v>
      </c>
      <c r="B421" t="s">
        <v>42</v>
      </c>
      <c r="C421" s="73" t="s">
        <v>98</v>
      </c>
      <c r="D421" s="73"/>
      <c r="E421" s="5" t="s">
        <v>17</v>
      </c>
      <c r="F421" s="39" t="s">
        <v>25</v>
      </c>
      <c r="G421" s="5" t="s">
        <v>406</v>
      </c>
      <c r="L421" s="67">
        <v>50</v>
      </c>
      <c r="M421" s="67"/>
      <c r="P421" s="15">
        <v>0.39</v>
      </c>
      <c r="Q421" s="15">
        <v>6.7000000000000004E-2</v>
      </c>
      <c r="R421" s="13">
        <v>0.88700000000000001</v>
      </c>
      <c r="S421" s="17">
        <v>0.95549651278644898</v>
      </c>
    </row>
    <row r="422" spans="1:19" s="5" customFormat="1" x14ac:dyDescent="0.2">
      <c r="A422" s="7" t="s">
        <v>41</v>
      </c>
      <c r="B422" t="s">
        <v>42</v>
      </c>
      <c r="C422" t="s">
        <v>43</v>
      </c>
      <c r="D422"/>
      <c r="E422" s="5" t="s">
        <v>17</v>
      </c>
      <c r="F422" s="39" t="s">
        <v>25</v>
      </c>
      <c r="J422" s="5" t="s">
        <v>26</v>
      </c>
      <c r="L422" s="5">
        <v>199</v>
      </c>
      <c r="M422" s="5">
        <v>199</v>
      </c>
      <c r="P422" s="13">
        <v>0.27300000000000002</v>
      </c>
      <c r="Q422" s="13">
        <v>0.16700000000000001</v>
      </c>
      <c r="R422" s="13">
        <v>0.82199999999999995</v>
      </c>
      <c r="S422" s="13">
        <v>0.86250415144470205</v>
      </c>
    </row>
    <row r="423" spans="1:19" s="5" customFormat="1" x14ac:dyDescent="0.2">
      <c r="A423" s="7" t="s">
        <v>60</v>
      </c>
      <c r="B423" t="s">
        <v>42</v>
      </c>
      <c r="C423" s="73" t="s">
        <v>61</v>
      </c>
      <c r="D423" s="73"/>
      <c r="E423" s="5" t="s">
        <v>17</v>
      </c>
      <c r="F423" s="39" t="s">
        <v>25</v>
      </c>
      <c r="J423" s="5" t="s">
        <v>26</v>
      </c>
      <c r="L423" s="5">
        <v>199</v>
      </c>
      <c r="M423" s="5">
        <v>140</v>
      </c>
      <c r="P423" s="15">
        <v>0.09</v>
      </c>
      <c r="Q423" s="15">
        <v>0.29499999999999998</v>
      </c>
      <c r="R423" s="13">
        <v>0.621</v>
      </c>
      <c r="S423" s="13">
        <v>0.85741171260932103</v>
      </c>
    </row>
    <row r="424" spans="1:19" s="5" customFormat="1" x14ac:dyDescent="0.2">
      <c r="A424" s="7" t="s">
        <v>262</v>
      </c>
      <c r="B424" t="s">
        <v>42</v>
      </c>
      <c r="C424" s="73" t="s">
        <v>238</v>
      </c>
      <c r="D424" s="73"/>
      <c r="E424" s="5" t="s">
        <v>17</v>
      </c>
      <c r="F424" s="39" t="s">
        <v>25</v>
      </c>
      <c r="J424" s="5" t="s">
        <v>26</v>
      </c>
      <c r="L424" s="5">
        <v>58</v>
      </c>
      <c r="M424" s="5">
        <v>58</v>
      </c>
      <c r="P424" s="15">
        <v>0.3</v>
      </c>
      <c r="Q424" s="15">
        <v>2.1999999999999999E-2</v>
      </c>
      <c r="R424" s="13">
        <v>0.93600000000000005</v>
      </c>
      <c r="S424" s="13">
        <v>0.94752573895715697</v>
      </c>
    </row>
    <row r="425" spans="1:19" s="5" customFormat="1" x14ac:dyDescent="0.2">
      <c r="A425" s="7" t="s">
        <v>602</v>
      </c>
      <c r="B425" t="s">
        <v>42</v>
      </c>
      <c r="C425" t="s">
        <v>238</v>
      </c>
      <c r="D425"/>
      <c r="E425" s="5" t="s">
        <v>17</v>
      </c>
      <c r="F425"/>
      <c r="J425" s="5" t="s">
        <v>26</v>
      </c>
      <c r="L425" s="5">
        <v>199</v>
      </c>
      <c r="M425" s="5">
        <v>199</v>
      </c>
      <c r="P425" s="13">
        <v>0.30099999999999999</v>
      </c>
      <c r="Q425" s="13">
        <v>2.1999999999999999E-2</v>
      </c>
      <c r="R425" s="13">
        <v>0.93600000000000005</v>
      </c>
      <c r="S425" s="17">
        <v>0.94752573895715697</v>
      </c>
    </row>
    <row r="426" spans="1:19" s="5" customFormat="1" x14ac:dyDescent="0.2">
      <c r="A426" s="7" t="s">
        <v>626</v>
      </c>
      <c r="B426" t="s">
        <v>42</v>
      </c>
      <c r="C426" s="73" t="s">
        <v>238</v>
      </c>
      <c r="D426" s="73"/>
      <c r="E426" s="5" t="s">
        <v>17</v>
      </c>
      <c r="F426" s="39" t="s">
        <v>25</v>
      </c>
      <c r="J426" s="5" t="s">
        <v>26</v>
      </c>
      <c r="L426" s="5">
        <v>199</v>
      </c>
      <c r="M426" s="5">
        <v>198</v>
      </c>
      <c r="P426" s="15">
        <v>0.3</v>
      </c>
      <c r="Q426" s="15">
        <v>2.1999999999999999E-2</v>
      </c>
      <c r="R426" s="13">
        <v>0.93600000000000005</v>
      </c>
      <c r="S426" s="17">
        <v>0.94752573895715697</v>
      </c>
    </row>
    <row r="427" spans="1:19" s="5" customFormat="1" x14ac:dyDescent="0.2">
      <c r="A427" s="7" t="s">
        <v>416</v>
      </c>
      <c r="B427" t="s">
        <v>42</v>
      </c>
      <c r="C427" s="73" t="s">
        <v>153</v>
      </c>
      <c r="D427" s="73"/>
      <c r="E427" s="5" t="s">
        <v>17</v>
      </c>
      <c r="F427" t="s">
        <v>25</v>
      </c>
      <c r="H427" s="5" t="s">
        <v>39</v>
      </c>
      <c r="L427" s="67">
        <v>75</v>
      </c>
      <c r="M427" s="67"/>
      <c r="P427" s="15">
        <v>0.6</v>
      </c>
      <c r="Q427" s="15">
        <v>3.1E-2</v>
      </c>
      <c r="R427" s="13">
        <v>0.95299999999999996</v>
      </c>
      <c r="S427" s="17">
        <v>0.90269013616738603</v>
      </c>
    </row>
    <row r="428" spans="1:19" s="5" customFormat="1" x14ac:dyDescent="0.2">
      <c r="A428" s="7" t="s">
        <v>487</v>
      </c>
      <c r="B428" t="s">
        <v>42</v>
      </c>
      <c r="C428" s="73" t="s">
        <v>290</v>
      </c>
      <c r="D428" s="73"/>
      <c r="E428" s="5" t="s">
        <v>17</v>
      </c>
      <c r="F428" t="s">
        <v>25</v>
      </c>
      <c r="H428" s="5" t="s">
        <v>39</v>
      </c>
      <c r="K428" s="5" t="s">
        <v>373</v>
      </c>
      <c r="L428" s="5">
        <v>56</v>
      </c>
      <c r="M428" s="5">
        <v>56</v>
      </c>
      <c r="P428" s="15">
        <v>0.66</v>
      </c>
      <c r="Q428" s="15">
        <v>2.5999999999999999E-2</v>
      </c>
      <c r="R428" s="13">
        <v>0.36199999999999999</v>
      </c>
      <c r="S428" s="17">
        <v>0.92305989150891099</v>
      </c>
    </row>
    <row r="429" spans="1:19" s="5" customFormat="1" x14ac:dyDescent="0.2">
      <c r="A429" s="7" t="s">
        <v>97</v>
      </c>
      <c r="B429" t="s">
        <v>42</v>
      </c>
      <c r="C429" t="s">
        <v>98</v>
      </c>
      <c r="D429"/>
      <c r="E429" s="5" t="s">
        <v>17</v>
      </c>
      <c r="F429" t="s">
        <v>25</v>
      </c>
      <c r="G429" s="5" t="s">
        <v>406</v>
      </c>
      <c r="H429" s="5" t="s">
        <v>39</v>
      </c>
      <c r="L429" s="5">
        <v>70</v>
      </c>
      <c r="M429" s="5">
        <v>69</v>
      </c>
      <c r="P429" s="13">
        <v>0.38500000000000001</v>
      </c>
      <c r="Q429" s="13">
        <v>6.7000000000000004E-2</v>
      </c>
      <c r="R429" s="13">
        <v>0.88700000000000001</v>
      </c>
      <c r="S429" s="13">
        <v>0.95549651278644898</v>
      </c>
    </row>
    <row r="430" spans="1:19" s="5" customFormat="1" x14ac:dyDescent="0.2">
      <c r="A430" s="7" t="s">
        <v>85</v>
      </c>
      <c r="B430" t="s">
        <v>42</v>
      </c>
      <c r="C430" s="73" t="s">
        <v>86</v>
      </c>
      <c r="D430" s="73"/>
      <c r="E430" s="5" t="s">
        <v>17</v>
      </c>
      <c r="F430" t="s">
        <v>25</v>
      </c>
      <c r="G430" s="5" t="s">
        <v>406</v>
      </c>
      <c r="H430" s="5" t="s">
        <v>39</v>
      </c>
      <c r="L430" s="67">
        <v>37</v>
      </c>
      <c r="M430" s="67"/>
      <c r="P430" s="15">
        <v>0.43</v>
      </c>
      <c r="Q430" s="15">
        <v>9.2999999999999999E-2</v>
      </c>
      <c r="R430" s="13">
        <v>0.74399999999999999</v>
      </c>
      <c r="S430" s="13">
        <v>0.90114026347835696</v>
      </c>
    </row>
    <row r="431" spans="1:19" s="5" customFormat="1" x14ac:dyDescent="0.2">
      <c r="A431" s="7" t="s">
        <v>269</v>
      </c>
      <c r="B431" t="s">
        <v>42</v>
      </c>
      <c r="C431" s="73" t="s">
        <v>98</v>
      </c>
      <c r="D431" s="73"/>
      <c r="E431" s="5" t="s">
        <v>17</v>
      </c>
      <c r="F431" t="s">
        <v>25</v>
      </c>
      <c r="H431" s="5" t="s">
        <v>39</v>
      </c>
      <c r="L431" s="5">
        <v>16</v>
      </c>
      <c r="M431" s="5">
        <v>16</v>
      </c>
      <c r="P431" s="15">
        <v>0.39</v>
      </c>
      <c r="Q431" s="15">
        <v>6.7000000000000004E-2</v>
      </c>
      <c r="R431" s="13">
        <v>0.88700000000000001</v>
      </c>
      <c r="S431" s="13">
        <v>0.95549651278644898</v>
      </c>
    </row>
    <row r="432" spans="1:19" s="5" customFormat="1" x14ac:dyDescent="0.2">
      <c r="A432" s="7" t="s">
        <v>237</v>
      </c>
      <c r="B432" t="s">
        <v>42</v>
      </c>
      <c r="C432" s="73" t="s">
        <v>238</v>
      </c>
      <c r="D432" s="73"/>
      <c r="E432" s="5" t="s">
        <v>17</v>
      </c>
      <c r="F432" t="s">
        <v>25</v>
      </c>
      <c r="H432" s="5" t="s">
        <v>105</v>
      </c>
      <c r="L432" s="68">
        <v>92</v>
      </c>
      <c r="M432" s="68">
        <v>16</v>
      </c>
      <c r="P432" s="15">
        <v>0.3</v>
      </c>
      <c r="Q432" s="15">
        <v>2.1999999999999999E-2</v>
      </c>
      <c r="R432" s="13">
        <v>0.93600000000000005</v>
      </c>
      <c r="S432" s="13">
        <v>0.94752573895715697</v>
      </c>
    </row>
    <row r="433" spans="1:19" s="5" customFormat="1" x14ac:dyDescent="0.2">
      <c r="A433" s="7" t="s">
        <v>621</v>
      </c>
      <c r="B433" t="s">
        <v>42</v>
      </c>
      <c r="C433" s="73" t="s">
        <v>246</v>
      </c>
      <c r="D433" s="73"/>
      <c r="E433" s="5" t="s">
        <v>17</v>
      </c>
      <c r="F433" t="s">
        <v>25</v>
      </c>
      <c r="G433" s="5" t="s">
        <v>406</v>
      </c>
      <c r="H433" s="5" t="s">
        <v>39</v>
      </c>
      <c r="L433" s="5">
        <v>58</v>
      </c>
      <c r="M433" s="5">
        <v>43</v>
      </c>
      <c r="P433" s="15">
        <v>0.51</v>
      </c>
      <c r="Q433" s="15">
        <v>0.29399999999999998</v>
      </c>
      <c r="R433" s="13">
        <v>0.215</v>
      </c>
      <c r="S433" s="17">
        <v>0.87534595372522905</v>
      </c>
    </row>
    <row r="434" spans="1:19" s="5" customFormat="1" x14ac:dyDescent="0.2">
      <c r="A434" s="7" t="s">
        <v>281</v>
      </c>
      <c r="B434" t="s">
        <v>42</v>
      </c>
      <c r="C434" s="73" t="s">
        <v>282</v>
      </c>
      <c r="D434" s="73"/>
      <c r="E434" s="5" t="s">
        <v>17</v>
      </c>
      <c r="F434" t="s">
        <v>25</v>
      </c>
      <c r="G434" s="5" t="s">
        <v>406</v>
      </c>
      <c r="H434" s="5" t="s">
        <v>39</v>
      </c>
      <c r="L434" s="67">
        <v>43</v>
      </c>
      <c r="M434" s="67"/>
      <c r="P434" s="15">
        <v>0.25</v>
      </c>
      <c r="Q434" s="15">
        <v>0.32500000000000001</v>
      </c>
      <c r="R434" s="13">
        <v>0.66100000000000003</v>
      </c>
      <c r="S434" s="13">
        <v>0.92029226170707401</v>
      </c>
    </row>
    <row r="435" spans="1:19" s="5" customFormat="1" x14ac:dyDescent="0.2">
      <c r="A435" s="7" t="s">
        <v>234</v>
      </c>
      <c r="B435" t="s">
        <v>42</v>
      </c>
      <c r="C435" s="73" t="s">
        <v>235</v>
      </c>
      <c r="D435" s="73"/>
      <c r="E435" s="5" t="s">
        <v>17</v>
      </c>
      <c r="F435" s="39" t="s">
        <v>25</v>
      </c>
      <c r="H435" s="5" t="s">
        <v>39</v>
      </c>
      <c r="I435" s="5" t="s">
        <v>236</v>
      </c>
      <c r="L435" s="5">
        <v>76</v>
      </c>
      <c r="M435" s="5">
        <v>75</v>
      </c>
      <c r="P435" s="15">
        <v>0.14000000000000001</v>
      </c>
      <c r="Q435" s="15">
        <v>0.14599999999999999</v>
      </c>
      <c r="R435" s="13">
        <v>0.77500000000000002</v>
      </c>
      <c r="S435" s="13">
        <v>0.77416140817004298</v>
      </c>
    </row>
    <row r="436" spans="1:19" s="5" customFormat="1" x14ac:dyDescent="0.2">
      <c r="A436" s="7" t="s">
        <v>473</v>
      </c>
      <c r="B436" t="s">
        <v>139</v>
      </c>
      <c r="C436" t="s">
        <v>140</v>
      </c>
      <c r="D436"/>
      <c r="E436" s="5" t="s">
        <v>17</v>
      </c>
      <c r="F436"/>
      <c r="G436" s="5" t="s">
        <v>406</v>
      </c>
      <c r="L436" s="5">
        <v>10</v>
      </c>
      <c r="M436" s="5">
        <v>9</v>
      </c>
      <c r="P436" s="13">
        <v>0.89300000000000002</v>
      </c>
      <c r="Q436" s="13">
        <v>0.307</v>
      </c>
      <c r="R436" s="13">
        <v>0.61399999999999999</v>
      </c>
      <c r="S436" s="17">
        <v>0.77681833277980705</v>
      </c>
    </row>
    <row r="437" spans="1:19" s="5" customFormat="1" x14ac:dyDescent="0.2">
      <c r="A437" s="7" t="s">
        <v>341</v>
      </c>
      <c r="B437" t="s">
        <v>139</v>
      </c>
      <c r="C437" s="73" t="s">
        <v>342</v>
      </c>
      <c r="D437" s="73"/>
      <c r="E437" s="5" t="s">
        <v>17</v>
      </c>
      <c r="F437" s="39" t="s">
        <v>25</v>
      </c>
      <c r="G437" s="5" t="s">
        <v>406</v>
      </c>
      <c r="L437" s="5">
        <v>297</v>
      </c>
      <c r="M437" s="5">
        <v>297</v>
      </c>
      <c r="P437" s="15">
        <v>0.56999999999999995</v>
      </c>
      <c r="Q437" s="15">
        <v>0.11</v>
      </c>
      <c r="R437" s="13">
        <v>0.68300000000000005</v>
      </c>
      <c r="S437" s="13">
        <v>0.97210229159747596</v>
      </c>
    </row>
    <row r="438" spans="1:19" s="5" customFormat="1" x14ac:dyDescent="0.2">
      <c r="A438" s="7" t="s">
        <v>555</v>
      </c>
      <c r="B438" t="s">
        <v>139</v>
      </c>
      <c r="C438" t="s">
        <v>537</v>
      </c>
      <c r="D438"/>
      <c r="E438" s="5" t="s">
        <v>17</v>
      </c>
      <c r="F438"/>
      <c r="G438" s="5" t="s">
        <v>406</v>
      </c>
      <c r="L438" s="5">
        <v>104</v>
      </c>
      <c r="M438" s="5">
        <v>102</v>
      </c>
      <c r="P438" s="13">
        <v>0.90200000000000002</v>
      </c>
      <c r="Q438" s="13">
        <v>3.1E-2</v>
      </c>
      <c r="R438" s="13">
        <v>0.876</v>
      </c>
      <c r="S438" s="17">
        <v>0.93811579763090802</v>
      </c>
    </row>
    <row r="439" spans="1:19" s="5" customFormat="1" x14ac:dyDescent="0.2">
      <c r="A439" s="7" t="s">
        <v>536</v>
      </c>
      <c r="B439" t="s">
        <v>139</v>
      </c>
      <c r="C439" t="s">
        <v>537</v>
      </c>
      <c r="D439"/>
      <c r="E439" s="5" t="s">
        <v>17</v>
      </c>
      <c r="F439"/>
      <c r="J439" s="5" t="s">
        <v>26</v>
      </c>
      <c r="L439" s="5">
        <v>335</v>
      </c>
      <c r="M439" s="5">
        <v>334</v>
      </c>
      <c r="P439" s="13">
        <v>0.90200000000000002</v>
      </c>
      <c r="Q439" s="13">
        <v>3.1E-2</v>
      </c>
      <c r="R439" s="13">
        <v>0.876</v>
      </c>
      <c r="S439" s="17">
        <v>0.93811579763090802</v>
      </c>
    </row>
    <row r="440" spans="1:19" s="5" customFormat="1" x14ac:dyDescent="0.2">
      <c r="A440" s="79" t="s">
        <v>348</v>
      </c>
      <c r="B440" t="s">
        <v>139</v>
      </c>
      <c r="C440" s="73" t="s">
        <v>349</v>
      </c>
      <c r="D440" s="73"/>
      <c r="E440" s="5" t="s">
        <v>17</v>
      </c>
      <c r="F440" t="s">
        <v>25</v>
      </c>
      <c r="G440" s="5" t="s">
        <v>406</v>
      </c>
      <c r="H440" s="5" t="s">
        <v>39</v>
      </c>
      <c r="I440" s="5" t="s">
        <v>236</v>
      </c>
      <c r="L440" s="5">
        <v>20</v>
      </c>
      <c r="M440" s="5">
        <v>20</v>
      </c>
      <c r="N440" s="5">
        <v>20</v>
      </c>
      <c r="P440" s="15">
        <v>0.56000000000000005</v>
      </c>
      <c r="Q440" s="15">
        <v>0.17499999999999999</v>
      </c>
      <c r="R440" s="13">
        <v>0.89400000000000002</v>
      </c>
      <c r="S440" s="13">
        <v>0.92106719805158799</v>
      </c>
    </row>
    <row r="441" spans="1:19" s="5" customFormat="1" x14ac:dyDescent="0.2">
      <c r="A441" s="7" t="s">
        <v>353</v>
      </c>
      <c r="B441" t="s">
        <v>139</v>
      </c>
      <c r="C441" s="73" t="s">
        <v>349</v>
      </c>
      <c r="D441" s="73"/>
      <c r="E441" s="5" t="s">
        <v>17</v>
      </c>
      <c r="F441" t="s">
        <v>25</v>
      </c>
      <c r="G441" s="5" t="s">
        <v>406</v>
      </c>
      <c r="H441" s="5" t="s">
        <v>39</v>
      </c>
      <c r="L441" s="68"/>
      <c r="M441" s="67"/>
      <c r="P441" s="15">
        <v>0.56000000000000005</v>
      </c>
      <c r="Q441" s="15">
        <v>0.17499999999999999</v>
      </c>
      <c r="R441" s="13">
        <v>0.89400000000000002</v>
      </c>
      <c r="S441" s="13">
        <v>0.92106719805158799</v>
      </c>
    </row>
    <row r="442" spans="1:19" s="5" customFormat="1" x14ac:dyDescent="0.2">
      <c r="A442" s="7" t="s">
        <v>138</v>
      </c>
      <c r="B442" t="s">
        <v>139</v>
      </c>
      <c r="C442" s="73" t="s">
        <v>140</v>
      </c>
      <c r="D442" s="73"/>
      <c r="E442" s="5" t="s">
        <v>17</v>
      </c>
      <c r="F442" t="s">
        <v>25</v>
      </c>
      <c r="G442" s="5" t="s">
        <v>406</v>
      </c>
      <c r="H442" s="5" t="s">
        <v>39</v>
      </c>
      <c r="L442" s="68"/>
      <c r="M442" s="67"/>
      <c r="P442" s="15">
        <v>0.89</v>
      </c>
      <c r="Q442" s="15">
        <v>0.307</v>
      </c>
      <c r="R442" s="13">
        <v>0.61399999999999999</v>
      </c>
      <c r="S442" s="13">
        <v>0.77681833277980705</v>
      </c>
    </row>
    <row r="443" spans="1:19" s="5" customFormat="1" x14ac:dyDescent="0.2">
      <c r="A443" s="7" t="s">
        <v>255</v>
      </c>
      <c r="B443" t="s">
        <v>136</v>
      </c>
      <c r="C443">
        <v>75518</v>
      </c>
      <c r="D443" s="20" t="s">
        <v>256</v>
      </c>
      <c r="E443" s="5" t="s">
        <v>17</v>
      </c>
      <c r="F443"/>
      <c r="G443" s="5" t="s">
        <v>406</v>
      </c>
      <c r="L443" s="5">
        <v>533</v>
      </c>
      <c r="M443" s="5">
        <v>37</v>
      </c>
      <c r="O443" s="5" t="s">
        <v>257</v>
      </c>
      <c r="P443" s="17">
        <v>0.85399999999999998</v>
      </c>
      <c r="Q443" s="17">
        <v>0.84499999999999997</v>
      </c>
      <c r="R443" s="17">
        <v>0.68200000000000005</v>
      </c>
      <c r="S443" s="13">
        <v>0.55020480460533505</v>
      </c>
    </row>
    <row r="444" spans="1:19" s="5" customFormat="1" x14ac:dyDescent="0.2">
      <c r="A444" s="7" t="s">
        <v>410</v>
      </c>
      <c r="B444" t="s">
        <v>136</v>
      </c>
      <c r="C444" s="73" t="s">
        <v>411</v>
      </c>
      <c r="D444" s="73"/>
      <c r="E444" s="5" t="s">
        <v>17</v>
      </c>
      <c r="F444"/>
      <c r="G444" s="5" t="s">
        <v>406</v>
      </c>
      <c r="L444" s="67">
        <v>161</v>
      </c>
      <c r="M444" s="67"/>
      <c r="P444" s="15">
        <v>0.43</v>
      </c>
      <c r="Q444" s="15">
        <v>0.38200000000000001</v>
      </c>
      <c r="R444" s="13">
        <v>0.32900000000000001</v>
      </c>
      <c r="S444" s="17">
        <v>0.62581645079154202</v>
      </c>
    </row>
    <row r="445" spans="1:19" s="5" customFormat="1" x14ac:dyDescent="0.2">
      <c r="A445" s="7" t="s">
        <v>302</v>
      </c>
      <c r="B445" t="s">
        <v>136</v>
      </c>
      <c r="C445" t="s">
        <v>164</v>
      </c>
      <c r="D445"/>
      <c r="E445" s="5" t="s">
        <v>17</v>
      </c>
      <c r="F445"/>
      <c r="G445" s="5" t="s">
        <v>406</v>
      </c>
      <c r="L445" s="5">
        <v>335</v>
      </c>
      <c r="M445" s="5">
        <v>210</v>
      </c>
      <c r="P445" s="13">
        <v>0.77500000000000002</v>
      </c>
      <c r="Q445" s="13">
        <v>4.5999999999999999E-2</v>
      </c>
      <c r="R445" s="13">
        <v>0.879</v>
      </c>
      <c r="S445" s="13">
        <v>0.93745156647846695</v>
      </c>
    </row>
    <row r="446" spans="1:19" s="5" customFormat="1" x14ac:dyDescent="0.2">
      <c r="A446" s="7" t="s">
        <v>761</v>
      </c>
      <c r="B446" t="s">
        <v>136</v>
      </c>
      <c r="C446" s="73" t="s">
        <v>411</v>
      </c>
      <c r="D446" s="73"/>
      <c r="E446" s="5" t="s">
        <v>17</v>
      </c>
      <c r="F446" s="39" t="s">
        <v>25</v>
      </c>
      <c r="G446" s="5" t="s">
        <v>406</v>
      </c>
      <c r="L446" s="5">
        <v>150</v>
      </c>
      <c r="M446" s="5">
        <v>149</v>
      </c>
      <c r="P446" s="15">
        <v>0.43</v>
      </c>
      <c r="Q446" s="15">
        <v>0.38200000000000001</v>
      </c>
      <c r="R446" s="13">
        <v>0.32900000000000001</v>
      </c>
      <c r="S446" s="17">
        <v>0.62581645079154202</v>
      </c>
    </row>
    <row r="447" spans="1:19" s="5" customFormat="1" x14ac:dyDescent="0.2">
      <c r="A447" s="7" t="s">
        <v>203</v>
      </c>
      <c r="B447" t="s">
        <v>136</v>
      </c>
      <c r="C447" s="73" t="s">
        <v>204</v>
      </c>
      <c r="D447" s="73"/>
      <c r="E447" s="5" t="s">
        <v>17</v>
      </c>
      <c r="F447" s="39" t="s">
        <v>25</v>
      </c>
      <c r="G447" s="5" t="s">
        <v>406</v>
      </c>
      <c r="L447" s="67">
        <v>97</v>
      </c>
      <c r="M447" s="67"/>
      <c r="P447" s="15">
        <v>0.85</v>
      </c>
      <c r="Q447" s="15">
        <v>0.84499999999999997</v>
      </c>
      <c r="R447" s="13">
        <v>0.68200000000000005</v>
      </c>
      <c r="S447" s="13">
        <v>0.55020480460533505</v>
      </c>
    </row>
    <row r="448" spans="1:19" s="5" customFormat="1" x14ac:dyDescent="0.2">
      <c r="A448" s="7" t="s">
        <v>135</v>
      </c>
      <c r="B448" t="s">
        <v>136</v>
      </c>
      <c r="C448" t="s">
        <v>137</v>
      </c>
      <c r="D448"/>
      <c r="E448" s="5" t="s">
        <v>17</v>
      </c>
      <c r="F448"/>
      <c r="G448" s="5" t="s">
        <v>406</v>
      </c>
      <c r="L448" s="67">
        <v>57</v>
      </c>
      <c r="M448" s="67"/>
      <c r="P448" s="13">
        <v>0.53</v>
      </c>
      <c r="Q448" s="13">
        <v>0.121</v>
      </c>
      <c r="R448" s="13">
        <v>0.47299999999999998</v>
      </c>
      <c r="S448" s="13">
        <v>0.80925495405734504</v>
      </c>
    </row>
    <row r="449" spans="1:19" s="5" customFormat="1" x14ac:dyDescent="0.2">
      <c r="A449" s="7" t="s">
        <v>163</v>
      </c>
      <c r="B449" t="s">
        <v>136</v>
      </c>
      <c r="C449" s="73" t="s">
        <v>164</v>
      </c>
      <c r="D449" s="73"/>
      <c r="E449" s="5" t="s">
        <v>17</v>
      </c>
      <c r="F449" s="39" t="s">
        <v>25</v>
      </c>
      <c r="G449" s="5" t="s">
        <v>406</v>
      </c>
      <c r="L449" s="67">
        <v>212</v>
      </c>
      <c r="M449" s="67"/>
      <c r="P449" s="15">
        <v>0.78</v>
      </c>
      <c r="Q449" s="15">
        <v>4.5999999999999999E-2</v>
      </c>
      <c r="R449" s="13">
        <v>0.879</v>
      </c>
      <c r="S449" s="13">
        <v>0.93745156647846695</v>
      </c>
    </row>
    <row r="450" spans="1:19" s="5" customFormat="1" x14ac:dyDescent="0.2">
      <c r="A450" s="7" t="s">
        <v>350</v>
      </c>
      <c r="B450" t="s">
        <v>136</v>
      </c>
      <c r="C450" s="73" t="s">
        <v>351</v>
      </c>
      <c r="D450" s="73"/>
      <c r="E450" s="5" t="s">
        <v>17</v>
      </c>
      <c r="F450" s="39" t="s">
        <v>25</v>
      </c>
      <c r="J450" s="5" t="s">
        <v>26</v>
      </c>
      <c r="L450" s="5">
        <v>54</v>
      </c>
      <c r="M450" s="5">
        <v>53</v>
      </c>
      <c r="P450" s="15">
        <v>0.33</v>
      </c>
      <c r="Q450" s="15">
        <v>0.443</v>
      </c>
      <c r="R450" s="13">
        <v>0.98799999999999999</v>
      </c>
      <c r="S450" s="13">
        <v>0.84844459205136702</v>
      </c>
    </row>
    <row r="451" spans="1:19" x14ac:dyDescent="0.2">
      <c r="A451" s="7" t="s">
        <v>404</v>
      </c>
      <c r="B451" t="s">
        <v>183</v>
      </c>
      <c r="C451">
        <v>99801</v>
      </c>
      <c r="D451" t="s">
        <v>405</v>
      </c>
      <c r="E451" s="5" t="s">
        <v>17</v>
      </c>
      <c r="F451" t="s">
        <v>406</v>
      </c>
      <c r="G451" s="5" t="s">
        <v>406</v>
      </c>
      <c r="L451" s="5">
        <v>36</v>
      </c>
      <c r="M451" s="5">
        <v>35</v>
      </c>
      <c r="P451" s="17">
        <v>0.878</v>
      </c>
      <c r="Q451" s="17">
        <v>0.21299999999999999</v>
      </c>
      <c r="R451" s="17">
        <v>0.78700000000000003</v>
      </c>
      <c r="S451" s="17">
        <v>0.91852097863389703</v>
      </c>
    </row>
    <row r="452" spans="1:19" x14ac:dyDescent="0.2">
      <c r="A452" s="7" t="s">
        <v>182</v>
      </c>
      <c r="B452" t="s">
        <v>183</v>
      </c>
      <c r="C452" t="s">
        <v>184</v>
      </c>
      <c r="D452"/>
      <c r="E452" s="5" t="s">
        <v>17</v>
      </c>
      <c r="F452" t="s">
        <v>25</v>
      </c>
      <c r="G452" s="5" t="s">
        <v>406</v>
      </c>
      <c r="L452" s="5">
        <v>50</v>
      </c>
      <c r="M452" s="5">
        <v>25</v>
      </c>
      <c r="P452" s="13">
        <v>0.32700000000000001</v>
      </c>
      <c r="Q452" s="13">
        <v>0.08</v>
      </c>
      <c r="R452" s="13">
        <v>0.88</v>
      </c>
      <c r="S452" s="13">
        <v>0.83925606110926598</v>
      </c>
    </row>
    <row r="453" spans="1:19" x14ac:dyDescent="0.2">
      <c r="A453" s="7" t="s">
        <v>201</v>
      </c>
      <c r="B453" t="s">
        <v>183</v>
      </c>
      <c r="C453" t="s">
        <v>202</v>
      </c>
      <c r="D453"/>
      <c r="E453" s="5" t="s">
        <v>17</v>
      </c>
      <c r="G453" s="5" t="s">
        <v>406</v>
      </c>
      <c r="L453" s="5">
        <v>12</v>
      </c>
      <c r="M453" s="5">
        <v>12</v>
      </c>
      <c r="P453" s="13">
        <v>0.754</v>
      </c>
      <c r="Q453" s="13">
        <v>7.2999999999999995E-2</v>
      </c>
      <c r="R453" s="13">
        <v>0.90900000000000003</v>
      </c>
      <c r="S453" s="13">
        <v>0.91708181113694198</v>
      </c>
    </row>
    <row r="454" spans="1:19" x14ac:dyDescent="0.2">
      <c r="A454" s="7" t="s">
        <v>739</v>
      </c>
      <c r="B454" t="s">
        <v>183</v>
      </c>
      <c r="C454" t="s">
        <v>202</v>
      </c>
      <c r="D454"/>
      <c r="E454" s="5" t="s">
        <v>17</v>
      </c>
      <c r="G454" s="5" t="s">
        <v>406</v>
      </c>
      <c r="L454" s="5">
        <v>4</v>
      </c>
      <c r="M454" s="5">
        <v>4</v>
      </c>
      <c r="P454" s="13">
        <v>0.754</v>
      </c>
      <c r="Q454" s="13">
        <v>7.2999999999999995E-2</v>
      </c>
      <c r="R454" s="13">
        <v>0.90900000000000003</v>
      </c>
      <c r="S454" s="17">
        <v>0.91708181113694198</v>
      </c>
    </row>
    <row r="455" spans="1:19" x14ac:dyDescent="0.2">
      <c r="A455" s="7" t="s">
        <v>603</v>
      </c>
      <c r="B455" t="s">
        <v>183</v>
      </c>
      <c r="C455" s="73" t="s">
        <v>604</v>
      </c>
      <c r="E455" s="5" t="s">
        <v>17</v>
      </c>
      <c r="F455" s="39" t="s">
        <v>25</v>
      </c>
      <c r="G455" s="5" t="s">
        <v>406</v>
      </c>
      <c r="L455" s="67">
        <v>35</v>
      </c>
      <c r="M455" s="67"/>
      <c r="P455" s="15">
        <v>0.88</v>
      </c>
      <c r="Q455" s="15">
        <v>0.21299999999999999</v>
      </c>
      <c r="R455" s="13">
        <v>0.78700000000000003</v>
      </c>
      <c r="S455" s="17">
        <v>0.91852097863389703</v>
      </c>
    </row>
    <row r="456" spans="1:19" x14ac:dyDescent="0.2">
      <c r="A456" s="7" t="s">
        <v>277</v>
      </c>
      <c r="B456" t="s">
        <v>183</v>
      </c>
      <c r="C456" t="s">
        <v>278</v>
      </c>
      <c r="D456"/>
      <c r="E456" s="5" t="s">
        <v>17</v>
      </c>
      <c r="F456" s="39" t="s">
        <v>25</v>
      </c>
      <c r="J456" s="5" t="s">
        <v>26</v>
      </c>
      <c r="L456" s="5">
        <v>22</v>
      </c>
      <c r="M456" s="5">
        <v>21</v>
      </c>
      <c r="P456" s="13">
        <v>0.77100000000000002</v>
      </c>
      <c r="Q456" s="13">
        <v>0</v>
      </c>
      <c r="R456" s="13">
        <v>0.97799999999999998</v>
      </c>
      <c r="S456" s="13">
        <v>0.92372412266135195</v>
      </c>
    </row>
    <row r="457" spans="1:19" x14ac:dyDescent="0.2">
      <c r="A457" s="7" t="s">
        <v>319</v>
      </c>
      <c r="B457" t="s">
        <v>183</v>
      </c>
      <c r="C457" s="73" t="s">
        <v>278</v>
      </c>
      <c r="E457" s="5" t="s">
        <v>17</v>
      </c>
      <c r="F457" s="39" t="s">
        <v>25</v>
      </c>
      <c r="J457" s="5" t="s">
        <v>26</v>
      </c>
      <c r="L457" s="5">
        <v>76</v>
      </c>
      <c r="M457" s="5">
        <v>76</v>
      </c>
      <c r="P457" s="15">
        <v>0.77</v>
      </c>
      <c r="Q457" s="15">
        <v>0</v>
      </c>
      <c r="R457" s="13">
        <v>0.97799999999999998</v>
      </c>
      <c r="S457" s="13">
        <v>0.92372412266135195</v>
      </c>
    </row>
    <row r="458" spans="1:19" x14ac:dyDescent="0.2">
      <c r="A458" s="7" t="s">
        <v>598</v>
      </c>
      <c r="B458" t="s">
        <v>183</v>
      </c>
      <c r="C458" s="73" t="s">
        <v>599</v>
      </c>
      <c r="E458" s="5" t="s">
        <v>17</v>
      </c>
      <c r="F458" s="39" t="s">
        <v>25</v>
      </c>
      <c r="J458" s="5" t="s">
        <v>26</v>
      </c>
      <c r="L458" s="5">
        <v>132</v>
      </c>
      <c r="M458" s="5">
        <v>132</v>
      </c>
      <c r="P458" s="15">
        <v>0.53</v>
      </c>
      <c r="Q458" s="15">
        <v>0</v>
      </c>
      <c r="R458" s="13">
        <v>0.91100000000000003</v>
      </c>
      <c r="S458" s="17">
        <v>0.75799845012731104</v>
      </c>
    </row>
    <row r="459" spans="1:19" x14ac:dyDescent="0.2">
      <c r="A459" s="7" t="s">
        <v>665</v>
      </c>
      <c r="B459" t="s">
        <v>183</v>
      </c>
      <c r="C459" t="s">
        <v>666</v>
      </c>
      <c r="D459"/>
      <c r="E459" s="5" t="s">
        <v>17</v>
      </c>
      <c r="J459" s="5" t="s">
        <v>26</v>
      </c>
      <c r="L459" s="5">
        <v>117</v>
      </c>
      <c r="M459" s="5">
        <v>24</v>
      </c>
      <c r="P459" s="13">
        <v>0.86199999999999999</v>
      </c>
      <c r="Q459" s="13">
        <v>0.19</v>
      </c>
      <c r="R459" s="13">
        <v>0.86799999999999999</v>
      </c>
      <c r="S459" s="17">
        <v>0.66456326801726995</v>
      </c>
    </row>
    <row r="460" spans="1:19" x14ac:dyDescent="0.2">
      <c r="A460" s="7" t="s">
        <v>764</v>
      </c>
      <c r="B460" t="s">
        <v>183</v>
      </c>
      <c r="C460" s="73" t="s">
        <v>278</v>
      </c>
      <c r="E460" s="5" t="s">
        <v>17</v>
      </c>
      <c r="F460" s="39" t="s">
        <v>25</v>
      </c>
      <c r="J460" s="5" t="s">
        <v>26</v>
      </c>
      <c r="L460" s="5">
        <v>92</v>
      </c>
      <c r="M460" s="5">
        <v>91</v>
      </c>
      <c r="P460" s="15">
        <v>0.77</v>
      </c>
      <c r="Q460" s="15">
        <v>0</v>
      </c>
      <c r="R460" s="13">
        <v>0.97799999999999998</v>
      </c>
      <c r="S460" s="17">
        <v>0.92372412266135195</v>
      </c>
    </row>
    <row r="461" spans="1:19" x14ac:dyDescent="0.2">
      <c r="A461" s="7" t="s">
        <v>775</v>
      </c>
      <c r="B461" t="s">
        <v>183</v>
      </c>
      <c r="C461" s="73" t="s">
        <v>599</v>
      </c>
      <c r="E461" s="5" t="s">
        <v>17</v>
      </c>
      <c r="F461" s="39" t="s">
        <v>25</v>
      </c>
      <c r="G461" s="5" t="s">
        <v>406</v>
      </c>
      <c r="J461" s="5" t="s">
        <v>26</v>
      </c>
      <c r="L461" s="5">
        <v>86</v>
      </c>
      <c r="M461" s="5">
        <v>85</v>
      </c>
      <c r="P461" s="15">
        <v>0.53</v>
      </c>
      <c r="Q461" s="15">
        <v>0</v>
      </c>
      <c r="R461" s="13">
        <v>0.91100000000000003</v>
      </c>
      <c r="S461" s="17">
        <v>0.75799845012731104</v>
      </c>
    </row>
    <row r="462" spans="1:19" x14ac:dyDescent="0.2">
      <c r="A462" s="7" t="s">
        <v>762</v>
      </c>
      <c r="B462" t="s">
        <v>183</v>
      </c>
      <c r="C462" t="s">
        <v>202</v>
      </c>
      <c r="D462"/>
      <c r="E462" s="5" t="s">
        <v>17</v>
      </c>
      <c r="F462" t="s">
        <v>25</v>
      </c>
      <c r="G462" s="5" t="s">
        <v>406</v>
      </c>
      <c r="H462" s="5" t="s">
        <v>39</v>
      </c>
      <c r="L462" s="5">
        <v>65</v>
      </c>
      <c r="M462" s="5">
        <v>45</v>
      </c>
      <c r="P462" s="13">
        <v>0.754</v>
      </c>
      <c r="Q462" s="13">
        <v>7.2999999999999995E-2</v>
      </c>
      <c r="R462" s="13">
        <v>0.90900000000000003</v>
      </c>
      <c r="S462" s="17">
        <v>0.91708181113694198</v>
      </c>
    </row>
    <row r="463" spans="1:19" x14ac:dyDescent="0.2">
      <c r="A463" s="7" t="s">
        <v>503</v>
      </c>
      <c r="B463" t="s">
        <v>225</v>
      </c>
      <c r="C463" s="73" t="s">
        <v>502</v>
      </c>
      <c r="E463" s="5" t="s">
        <v>17</v>
      </c>
      <c r="F463" s="39" t="s">
        <v>25</v>
      </c>
      <c r="G463" s="5" t="s">
        <v>406</v>
      </c>
      <c r="L463" s="67">
        <v>68</v>
      </c>
      <c r="M463" s="67"/>
      <c r="P463" s="15">
        <v>0.56000000000000005</v>
      </c>
      <c r="Q463" s="15">
        <v>0.77500000000000002</v>
      </c>
      <c r="R463" s="13">
        <v>0.157</v>
      </c>
      <c r="S463" s="17">
        <v>0.36067751577548901</v>
      </c>
    </row>
    <row r="464" spans="1:19" x14ac:dyDescent="0.2">
      <c r="A464" s="7" t="s">
        <v>589</v>
      </c>
      <c r="B464" t="s">
        <v>225</v>
      </c>
      <c r="C464" t="s">
        <v>590</v>
      </c>
      <c r="D464"/>
      <c r="E464" s="5" t="s">
        <v>17</v>
      </c>
      <c r="G464" s="5" t="s">
        <v>406</v>
      </c>
      <c r="L464" s="5">
        <v>400</v>
      </c>
      <c r="M464" s="5">
        <v>100</v>
      </c>
      <c r="P464" s="13">
        <v>0.121</v>
      </c>
      <c r="Q464" s="13">
        <v>0.56999999999999995</v>
      </c>
      <c r="R464" s="13">
        <v>5.6000000000000001E-2</v>
      </c>
      <c r="S464" s="17">
        <v>0.37351931805601601</v>
      </c>
    </row>
    <row r="465" spans="1:19" x14ac:dyDescent="0.2">
      <c r="A465" s="7" t="s">
        <v>415</v>
      </c>
      <c r="B465" t="s">
        <v>225</v>
      </c>
      <c r="C465" s="73" t="s">
        <v>226</v>
      </c>
      <c r="E465" s="5" t="s">
        <v>17</v>
      </c>
      <c r="G465" s="5" t="s">
        <v>406</v>
      </c>
      <c r="L465" s="67">
        <v>66</v>
      </c>
      <c r="M465" s="67"/>
      <c r="P465" s="15">
        <v>0.44</v>
      </c>
      <c r="Q465" s="15">
        <v>0.79900000000000004</v>
      </c>
      <c r="R465" s="13">
        <v>0.308</v>
      </c>
      <c r="S465" s="17">
        <v>0.38248643861397102</v>
      </c>
    </row>
    <row r="466" spans="1:19" x14ac:dyDescent="0.2">
      <c r="A466" s="7" t="s">
        <v>733</v>
      </c>
      <c r="B466" t="s">
        <v>225</v>
      </c>
      <c r="C466" s="73" t="s">
        <v>226</v>
      </c>
      <c r="E466" s="5" t="s">
        <v>17</v>
      </c>
      <c r="F466" s="39" t="s">
        <v>25</v>
      </c>
      <c r="G466" s="5" t="s">
        <v>406</v>
      </c>
      <c r="L466" s="67">
        <v>75</v>
      </c>
      <c r="M466" s="67"/>
      <c r="P466" s="15">
        <v>0.44</v>
      </c>
      <c r="Q466" s="15">
        <v>0.79900000000000004</v>
      </c>
      <c r="R466" s="13">
        <v>0.308</v>
      </c>
      <c r="S466" s="17">
        <v>0.38248643861397102</v>
      </c>
    </row>
    <row r="467" spans="1:19" x14ac:dyDescent="0.2">
      <c r="A467" s="7" t="s">
        <v>742</v>
      </c>
      <c r="B467" t="s">
        <v>225</v>
      </c>
      <c r="C467" s="73" t="s">
        <v>716</v>
      </c>
      <c r="E467" s="5" t="s">
        <v>17</v>
      </c>
      <c r="F467" s="39" t="s">
        <v>25</v>
      </c>
      <c r="G467" s="5" t="s">
        <v>406</v>
      </c>
      <c r="L467" s="67">
        <v>124</v>
      </c>
      <c r="M467" s="67"/>
      <c r="P467" s="15">
        <v>0.39</v>
      </c>
      <c r="Q467" s="15">
        <v>0.80500000000000005</v>
      </c>
      <c r="R467" s="13">
        <v>0.372</v>
      </c>
      <c r="S467" s="17">
        <v>0.13982065758883999</v>
      </c>
    </row>
    <row r="468" spans="1:19" x14ac:dyDescent="0.2">
      <c r="A468" s="7" t="s">
        <v>787</v>
      </c>
      <c r="B468" t="s">
        <v>225</v>
      </c>
      <c r="C468" s="73" t="s">
        <v>226</v>
      </c>
      <c r="E468" s="5" t="s">
        <v>17</v>
      </c>
      <c r="F468" s="39" t="s">
        <v>25</v>
      </c>
      <c r="G468" s="5" t="s">
        <v>406</v>
      </c>
      <c r="L468" s="67">
        <v>43</v>
      </c>
      <c r="M468" s="67"/>
      <c r="P468" s="15">
        <v>0.44</v>
      </c>
      <c r="Q468" s="15">
        <v>0.79900000000000004</v>
      </c>
      <c r="R468" s="13">
        <v>0.308</v>
      </c>
      <c r="S468" s="17">
        <v>0.38248643861397102</v>
      </c>
    </row>
    <row r="469" spans="1:19" x14ac:dyDescent="0.2">
      <c r="A469" s="7" t="s">
        <v>403</v>
      </c>
      <c r="B469" t="s">
        <v>225</v>
      </c>
      <c r="C469" t="s">
        <v>226</v>
      </c>
      <c r="D469"/>
      <c r="E469" s="5" t="s">
        <v>17</v>
      </c>
      <c r="F469" t="s">
        <v>25</v>
      </c>
      <c r="J469" s="5" t="s">
        <v>26</v>
      </c>
      <c r="L469" s="5">
        <v>48</v>
      </c>
      <c r="M469" s="5">
        <v>38</v>
      </c>
      <c r="P469" s="13">
        <v>0.442</v>
      </c>
      <c r="Q469" s="13">
        <v>0.79900000000000004</v>
      </c>
      <c r="R469" s="13">
        <v>0.308</v>
      </c>
      <c r="S469" s="17">
        <v>0.38248643861397102</v>
      </c>
    </row>
    <row r="470" spans="1:19" x14ac:dyDescent="0.2">
      <c r="A470" s="7" t="s">
        <v>224</v>
      </c>
      <c r="B470" t="s">
        <v>225</v>
      </c>
      <c r="C470" t="s">
        <v>226</v>
      </c>
      <c r="D470"/>
      <c r="E470" s="5" t="s">
        <v>17</v>
      </c>
      <c r="J470" s="5" t="s">
        <v>26</v>
      </c>
      <c r="L470" s="5">
        <v>49</v>
      </c>
      <c r="M470" s="5">
        <v>28</v>
      </c>
      <c r="P470" s="13">
        <v>0.442</v>
      </c>
      <c r="Q470" s="13">
        <v>0.79900000000000004</v>
      </c>
      <c r="R470" s="13">
        <v>0.308</v>
      </c>
      <c r="S470" s="13">
        <v>0.38248643861397102</v>
      </c>
    </row>
    <row r="471" spans="1:19" x14ac:dyDescent="0.2">
      <c r="A471" s="7" t="s">
        <v>541</v>
      </c>
      <c r="B471" t="s">
        <v>225</v>
      </c>
      <c r="C471" s="73" t="s">
        <v>542</v>
      </c>
      <c r="E471" s="5" t="s">
        <v>17</v>
      </c>
      <c r="F471" s="39" t="s">
        <v>25</v>
      </c>
      <c r="J471" s="5" t="s">
        <v>26</v>
      </c>
      <c r="L471" s="5">
        <v>100</v>
      </c>
      <c r="M471" s="5">
        <v>100</v>
      </c>
      <c r="P471" s="15">
        <v>0.3</v>
      </c>
      <c r="Q471" s="15">
        <v>0.68700000000000006</v>
      </c>
      <c r="R471" s="13">
        <v>0.32</v>
      </c>
      <c r="S471" s="17">
        <v>0.17945311635115599</v>
      </c>
    </row>
    <row r="472" spans="1:19" x14ac:dyDescent="0.2">
      <c r="A472" s="7" t="s">
        <v>715</v>
      </c>
      <c r="B472" t="s">
        <v>225</v>
      </c>
      <c r="C472" t="s">
        <v>716</v>
      </c>
      <c r="D472"/>
      <c r="E472" s="5" t="s">
        <v>17</v>
      </c>
      <c r="J472" s="5" t="s">
        <v>26</v>
      </c>
      <c r="L472" s="67">
        <v>125</v>
      </c>
      <c r="M472" s="67"/>
      <c r="P472" s="13">
        <v>0.38500000000000001</v>
      </c>
      <c r="Q472" s="13">
        <v>0.80500000000000005</v>
      </c>
      <c r="R472" s="13">
        <v>0.372</v>
      </c>
      <c r="S472" s="17">
        <v>0.13982065758883999</v>
      </c>
    </row>
    <row r="473" spans="1:19" x14ac:dyDescent="0.2">
      <c r="A473" s="7" t="s">
        <v>501</v>
      </c>
      <c r="B473" t="s">
        <v>225</v>
      </c>
      <c r="C473" t="s">
        <v>502</v>
      </c>
      <c r="D473"/>
      <c r="E473" s="5" t="s">
        <v>17</v>
      </c>
      <c r="F473" t="s">
        <v>25</v>
      </c>
      <c r="G473" s="5" t="s">
        <v>406</v>
      </c>
      <c r="H473" s="5" t="s">
        <v>39</v>
      </c>
      <c r="L473" s="5">
        <v>54</v>
      </c>
      <c r="M473" s="5">
        <v>53</v>
      </c>
      <c r="P473" s="13">
        <v>0.56000000000000005</v>
      </c>
      <c r="Q473" s="13">
        <v>0.77500000000000002</v>
      </c>
      <c r="R473" s="13">
        <v>0.157</v>
      </c>
      <c r="S473" s="17">
        <v>0.36067751577548901</v>
      </c>
    </row>
  </sheetData>
  <autoFilter ref="A1:S1" xr:uid="{00000000-0009-0000-0000-000000000000}">
    <sortState xmlns:xlrd2="http://schemas.microsoft.com/office/spreadsheetml/2017/richdata2" ref="A2:S473">
      <sortCondition ref="B1"/>
    </sortState>
  </autoFilter>
  <conditionalFormatting sqref="A1:A1048576">
    <cfRule type="duplicateValues" dxfId="3" priority="2"/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0"/>
  <sheetViews>
    <sheetView zoomScale="79" zoomScaleNormal="79" workbookViewId="0">
      <pane xSplit="1" ySplit="1" topLeftCell="B286" activePane="bottomRight" state="frozen"/>
      <selection pane="topRight" activeCell="B1" sqref="B1"/>
      <selection pane="bottomLeft" activeCell="A2" sqref="A2"/>
      <selection pane="bottomRight" activeCell="A323" sqref="A323:D325"/>
    </sheetView>
  </sheetViews>
  <sheetFormatPr baseColWidth="10" defaultColWidth="8.83203125" defaultRowHeight="15" x14ac:dyDescent="0.2"/>
  <cols>
    <col min="1" max="1" width="58.1640625" customWidth="1"/>
    <col min="2" max="2" width="19.6640625" style="5" customWidth="1"/>
    <col min="3" max="3" width="16.6640625" style="6" customWidth="1"/>
    <col min="4" max="4" width="36.6640625" style="6" customWidth="1"/>
    <col min="5" max="5" width="19.6640625" style="5" customWidth="1"/>
    <col min="6" max="6" width="29.6640625" style="5" hidden="1" customWidth="1"/>
    <col min="7" max="7" width="26.6640625" customWidth="1"/>
    <col min="8" max="8" width="26.6640625" style="7" customWidth="1"/>
    <col min="9" max="9" width="26.6640625" customWidth="1"/>
    <col min="10" max="12" width="11.1640625" style="5" customWidth="1"/>
    <col min="13" max="13" width="14.6640625" style="5" customWidth="1"/>
    <col min="14" max="16" width="17.33203125" style="5" customWidth="1"/>
    <col min="17" max="17" width="17.1640625" style="5" customWidth="1"/>
  </cols>
  <sheetData>
    <row r="1" spans="1:17" s="12" customFormat="1" ht="111" customHeight="1" x14ac:dyDescent="0.2">
      <c r="A1" s="8" t="s">
        <v>0</v>
      </c>
      <c r="B1" s="8" t="s">
        <v>1</v>
      </c>
      <c r="C1" s="9" t="s">
        <v>2</v>
      </c>
      <c r="D1" s="10" t="s">
        <v>3</v>
      </c>
      <c r="E1" s="8" t="s">
        <v>4</v>
      </c>
      <c r="F1" s="8" t="s">
        <v>4</v>
      </c>
      <c r="G1" s="8" t="s">
        <v>5</v>
      </c>
      <c r="H1" s="8" t="s">
        <v>5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11" t="s">
        <v>10</v>
      </c>
      <c r="O1" s="11" t="s">
        <v>11</v>
      </c>
      <c r="P1" s="11" t="s">
        <v>12</v>
      </c>
      <c r="Q1" s="11" t="s">
        <v>13</v>
      </c>
    </row>
    <row r="2" spans="1:17" x14ac:dyDescent="0.2">
      <c r="A2" t="s">
        <v>14</v>
      </c>
      <c r="B2" s="5" t="s">
        <v>15</v>
      </c>
      <c r="C2" s="5" t="s">
        <v>16</v>
      </c>
      <c r="D2" s="5"/>
      <c r="E2" s="5" t="s">
        <v>17</v>
      </c>
      <c r="G2" s="7" t="s">
        <v>18</v>
      </c>
      <c r="J2" s="5">
        <v>76</v>
      </c>
      <c r="N2" s="13">
        <v>0.47099999999999997</v>
      </c>
      <c r="O2" s="13">
        <v>1.7000000000000001E-2</v>
      </c>
      <c r="P2" s="13">
        <v>1</v>
      </c>
      <c r="Q2" s="13">
        <v>0.84147016495073601</v>
      </c>
    </row>
    <row r="3" spans="1:17" x14ac:dyDescent="0.2">
      <c r="A3" t="s">
        <v>19</v>
      </c>
      <c r="B3" s="5" t="s">
        <v>20</v>
      </c>
      <c r="C3" s="5" t="s">
        <v>21</v>
      </c>
      <c r="D3" s="5"/>
      <c r="E3" s="5" t="s">
        <v>17</v>
      </c>
      <c r="G3" s="7" t="s">
        <v>18</v>
      </c>
      <c r="J3" s="5">
        <v>96</v>
      </c>
      <c r="N3" s="13">
        <v>0.371</v>
      </c>
      <c r="O3" s="13">
        <v>0.71899999999999997</v>
      </c>
      <c r="P3" s="13">
        <v>0.3</v>
      </c>
      <c r="Q3" s="13">
        <v>8.6460755009409904E-2</v>
      </c>
    </row>
    <row r="4" spans="1:17" x14ac:dyDescent="0.2">
      <c r="A4" t="s">
        <v>22</v>
      </c>
      <c r="B4" s="5" t="s">
        <v>23</v>
      </c>
      <c r="C4" s="6" t="s">
        <v>24</v>
      </c>
      <c r="E4" s="5" t="s">
        <v>17</v>
      </c>
      <c r="F4" s="14" t="s">
        <v>25</v>
      </c>
      <c r="G4" t="s">
        <v>26</v>
      </c>
      <c r="J4" s="5">
        <v>391</v>
      </c>
      <c r="N4" s="15">
        <v>0.65</v>
      </c>
      <c r="O4" s="15">
        <v>5.8000000000000003E-2</v>
      </c>
      <c r="P4" s="13">
        <v>0.77</v>
      </c>
      <c r="Q4" s="13">
        <v>0.85929370087457102</v>
      </c>
    </row>
    <row r="5" spans="1:17" x14ac:dyDescent="0.2">
      <c r="A5" t="s">
        <v>27</v>
      </c>
      <c r="B5" s="5" t="s">
        <v>15</v>
      </c>
      <c r="C5" s="5" t="s">
        <v>28</v>
      </c>
      <c r="D5" s="5"/>
      <c r="E5" s="5" t="s">
        <v>17</v>
      </c>
      <c r="G5" t="s">
        <v>26</v>
      </c>
      <c r="J5" s="5">
        <v>125</v>
      </c>
      <c r="N5" s="13">
        <v>0.76200000000000001</v>
      </c>
      <c r="O5" s="13">
        <v>0.01</v>
      </c>
      <c r="P5" s="13">
        <v>0.95799999999999996</v>
      </c>
      <c r="Q5" s="13">
        <v>0.82896047824642904</v>
      </c>
    </row>
    <row r="6" spans="1:17" x14ac:dyDescent="0.2">
      <c r="A6" t="s">
        <v>29</v>
      </c>
      <c r="B6" s="5" t="s">
        <v>30</v>
      </c>
      <c r="C6" s="5" t="s">
        <v>31</v>
      </c>
      <c r="D6" s="5"/>
      <c r="E6" s="5" t="s">
        <v>17</v>
      </c>
      <c r="G6" s="7" t="s">
        <v>18</v>
      </c>
      <c r="J6" s="5">
        <v>28</v>
      </c>
      <c r="N6" s="13">
        <v>0.76100000000000001</v>
      </c>
      <c r="O6" s="13">
        <v>4.9000000000000002E-2</v>
      </c>
      <c r="P6" s="13">
        <v>0.997</v>
      </c>
      <c r="Q6" s="13">
        <v>0.326580316616849</v>
      </c>
    </row>
    <row r="7" spans="1:17" x14ac:dyDescent="0.2">
      <c r="A7" t="s">
        <v>32</v>
      </c>
      <c r="B7" s="5" t="s">
        <v>33</v>
      </c>
      <c r="C7" s="5" t="s">
        <v>34</v>
      </c>
      <c r="D7" s="5"/>
      <c r="E7" s="5" t="s">
        <v>17</v>
      </c>
      <c r="G7" s="7" t="s">
        <v>18</v>
      </c>
      <c r="J7" s="5">
        <v>111</v>
      </c>
      <c r="N7" s="13">
        <v>0.98499999999999999</v>
      </c>
      <c r="O7" s="13">
        <v>0.92300000000000004</v>
      </c>
      <c r="P7" s="13">
        <v>4.4999999999999998E-2</v>
      </c>
      <c r="Q7" s="13">
        <v>7.9375622716705396E-2</v>
      </c>
    </row>
    <row r="8" spans="1:17" x14ac:dyDescent="0.2">
      <c r="A8" t="s">
        <v>35</v>
      </c>
      <c r="B8" s="5" t="s">
        <v>30</v>
      </c>
      <c r="C8" s="6" t="s">
        <v>36</v>
      </c>
      <c r="E8" s="5" t="s">
        <v>17</v>
      </c>
      <c r="F8" s="14" t="s">
        <v>25</v>
      </c>
      <c r="G8" s="7" t="s">
        <v>18</v>
      </c>
      <c r="J8" s="14"/>
      <c r="N8" s="15">
        <v>0.31</v>
      </c>
      <c r="O8" s="15">
        <v>0.78800000000000003</v>
      </c>
      <c r="P8" s="13">
        <v>0.52800000000000002</v>
      </c>
      <c r="Q8" s="13">
        <v>0.244547769290379</v>
      </c>
    </row>
    <row r="9" spans="1:17" x14ac:dyDescent="0.2">
      <c r="A9" t="s">
        <v>37</v>
      </c>
      <c r="B9" s="5" t="s">
        <v>30</v>
      </c>
      <c r="C9" s="5" t="s">
        <v>38</v>
      </c>
      <c r="D9" s="5"/>
      <c r="E9" s="5" t="s">
        <v>17</v>
      </c>
      <c r="F9" s="5" t="s">
        <v>25</v>
      </c>
      <c r="G9" t="s">
        <v>39</v>
      </c>
      <c r="H9" s="7" t="s">
        <v>18</v>
      </c>
      <c r="J9" s="5">
        <v>134</v>
      </c>
      <c r="K9" s="5">
        <v>133</v>
      </c>
      <c r="M9" s="5" t="s">
        <v>40</v>
      </c>
      <c r="N9" s="13">
        <v>3.5999999999999997E-2</v>
      </c>
      <c r="O9" s="13">
        <v>0.84699999999999998</v>
      </c>
      <c r="P9" s="13">
        <v>0.55900000000000005</v>
      </c>
      <c r="Q9" s="13">
        <v>0.10671980515886099</v>
      </c>
    </row>
    <row r="10" spans="1:17" x14ac:dyDescent="0.2">
      <c r="A10" t="s">
        <v>41</v>
      </c>
      <c r="B10" s="5" t="s">
        <v>42</v>
      </c>
      <c r="C10" s="5" t="s">
        <v>43</v>
      </c>
      <c r="D10" s="5"/>
      <c r="E10" s="5" t="s">
        <v>17</v>
      </c>
      <c r="F10" s="14" t="s">
        <v>25</v>
      </c>
      <c r="G10" t="s">
        <v>26</v>
      </c>
      <c r="J10" s="5">
        <v>199</v>
      </c>
      <c r="N10" s="13">
        <v>0.27300000000000002</v>
      </c>
      <c r="O10" s="13">
        <v>0.16700000000000001</v>
      </c>
      <c r="P10" s="13">
        <v>0.82199999999999995</v>
      </c>
      <c r="Q10" s="13">
        <v>0.86250415144470205</v>
      </c>
    </row>
    <row r="11" spans="1:17" x14ac:dyDescent="0.2">
      <c r="A11" t="s">
        <v>44</v>
      </c>
      <c r="B11" s="5" t="s">
        <v>45</v>
      </c>
      <c r="C11" s="6" t="s">
        <v>46</v>
      </c>
      <c r="E11" s="5" t="s">
        <v>17</v>
      </c>
      <c r="F11" s="14" t="s">
        <v>25</v>
      </c>
      <c r="G11" s="7" t="s">
        <v>18</v>
      </c>
      <c r="J11" s="5">
        <v>195</v>
      </c>
      <c r="N11" s="15">
        <v>0.67</v>
      </c>
      <c r="O11" s="15">
        <v>0.247</v>
      </c>
      <c r="P11" s="13">
        <v>0.55700000000000005</v>
      </c>
      <c r="Q11" s="13">
        <v>0.77803608989261497</v>
      </c>
    </row>
    <row r="12" spans="1:17" x14ac:dyDescent="0.2">
      <c r="A12" t="s">
        <v>47</v>
      </c>
      <c r="B12" s="5" t="s">
        <v>30</v>
      </c>
      <c r="C12" s="6" t="s">
        <v>48</v>
      </c>
      <c r="E12" s="5" t="s">
        <v>17</v>
      </c>
      <c r="F12" s="14" t="s">
        <v>25</v>
      </c>
      <c r="G12" s="7" t="s">
        <v>18</v>
      </c>
      <c r="J12" s="5">
        <v>116</v>
      </c>
      <c r="N12" s="15">
        <v>0.64</v>
      </c>
      <c r="O12" s="15">
        <v>0.63100000000000001</v>
      </c>
      <c r="P12" s="13">
        <v>0.13600000000000001</v>
      </c>
      <c r="Q12" s="13">
        <v>0.29336875899479598</v>
      </c>
    </row>
    <row r="13" spans="1:17" x14ac:dyDescent="0.2">
      <c r="A13" t="s">
        <v>49</v>
      </c>
      <c r="B13" s="5" t="s">
        <v>15</v>
      </c>
      <c r="C13" s="6" t="s">
        <v>50</v>
      </c>
      <c r="E13" s="5" t="s">
        <v>17</v>
      </c>
      <c r="F13" s="14" t="s">
        <v>25</v>
      </c>
      <c r="G13" t="s">
        <v>26</v>
      </c>
      <c r="J13" s="14">
        <v>40</v>
      </c>
      <c r="K13" s="14">
        <v>10</v>
      </c>
      <c r="N13" s="15">
        <v>0.77</v>
      </c>
      <c r="O13" s="15">
        <v>0.214</v>
      </c>
      <c r="P13" s="13">
        <v>0.98399999999999999</v>
      </c>
      <c r="Q13" s="13">
        <v>0.79264917524631895</v>
      </c>
    </row>
    <row r="14" spans="1:17" x14ac:dyDescent="0.2">
      <c r="A14" t="s">
        <v>51</v>
      </c>
      <c r="B14" s="5" t="s">
        <v>52</v>
      </c>
      <c r="C14" s="6" t="s">
        <v>53</v>
      </c>
      <c r="E14" s="5" t="s">
        <v>17</v>
      </c>
      <c r="F14" s="14" t="s">
        <v>25</v>
      </c>
      <c r="G14" s="7" t="s">
        <v>18</v>
      </c>
      <c r="J14" s="5">
        <v>71</v>
      </c>
      <c r="N14" s="15">
        <v>0.46</v>
      </c>
      <c r="O14" s="15">
        <v>0.16900000000000001</v>
      </c>
      <c r="P14" s="13">
        <v>0.85899999999999999</v>
      </c>
      <c r="Q14" s="13">
        <v>0.81301893058784402</v>
      </c>
    </row>
    <row r="15" spans="1:17" x14ac:dyDescent="0.2">
      <c r="A15" t="s">
        <v>54</v>
      </c>
      <c r="B15" s="5" t="s">
        <v>55</v>
      </c>
      <c r="C15" s="5" t="s">
        <v>56</v>
      </c>
      <c r="D15" s="5"/>
      <c r="E15" s="5" t="s">
        <v>17</v>
      </c>
      <c r="G15" t="s">
        <v>26</v>
      </c>
      <c r="J15" s="5">
        <v>11</v>
      </c>
      <c r="N15" s="13">
        <v>0.82099999999999995</v>
      </c>
      <c r="O15" s="13">
        <v>0.34599999999999997</v>
      </c>
      <c r="P15" s="13">
        <v>0.115</v>
      </c>
      <c r="Q15" s="13">
        <v>0.62482010406288002</v>
      </c>
    </row>
    <row r="16" spans="1:17" x14ac:dyDescent="0.2">
      <c r="A16" t="s">
        <v>57</v>
      </c>
      <c r="B16" s="5" t="s">
        <v>58</v>
      </c>
      <c r="C16" s="6" t="s">
        <v>59</v>
      </c>
      <c r="E16" s="5" t="s">
        <v>17</v>
      </c>
      <c r="F16" s="14" t="s">
        <v>25</v>
      </c>
      <c r="G16" t="s">
        <v>26</v>
      </c>
      <c r="J16" s="5">
        <v>150</v>
      </c>
      <c r="N16" s="15">
        <v>0.44</v>
      </c>
      <c r="O16" s="15">
        <v>0.44800000000000001</v>
      </c>
      <c r="P16" s="13">
        <v>0.57799999999999996</v>
      </c>
      <c r="Q16" s="13">
        <v>0.93169489649064496</v>
      </c>
    </row>
    <row r="17" spans="1:17" x14ac:dyDescent="0.2">
      <c r="A17" t="s">
        <v>60</v>
      </c>
      <c r="B17" s="5" t="s">
        <v>42</v>
      </c>
      <c r="C17" s="6" t="s">
        <v>61</v>
      </c>
      <c r="E17" s="5" t="s">
        <v>17</v>
      </c>
      <c r="F17" s="14" t="s">
        <v>25</v>
      </c>
      <c r="G17" t="s">
        <v>26</v>
      </c>
      <c r="J17" s="14" t="s">
        <v>62</v>
      </c>
      <c r="N17" s="15">
        <v>0.09</v>
      </c>
      <c r="O17" s="15">
        <v>0.29499999999999998</v>
      </c>
      <c r="P17" s="13">
        <v>0.621</v>
      </c>
      <c r="Q17" s="13">
        <v>0.85741171260932103</v>
      </c>
    </row>
    <row r="18" spans="1:17" x14ac:dyDescent="0.2">
      <c r="A18" t="s">
        <v>63</v>
      </c>
      <c r="B18" s="5" t="s">
        <v>64</v>
      </c>
      <c r="C18" s="6" t="s">
        <v>65</v>
      </c>
      <c r="E18" s="5" t="s">
        <v>17</v>
      </c>
      <c r="F18" s="14" t="s">
        <v>25</v>
      </c>
      <c r="G18" s="7" t="s">
        <v>18</v>
      </c>
      <c r="J18" s="5">
        <v>91</v>
      </c>
      <c r="N18" s="6" t="s">
        <v>66</v>
      </c>
      <c r="O18" s="15">
        <v>0.32800000000000001</v>
      </c>
      <c r="P18" s="13">
        <v>0.88300000000000001</v>
      </c>
      <c r="Q18" s="13">
        <v>0.618731318498837</v>
      </c>
    </row>
    <row r="19" spans="1:17" x14ac:dyDescent="0.2">
      <c r="A19" t="s">
        <v>67</v>
      </c>
      <c r="B19" s="5" t="s">
        <v>68</v>
      </c>
      <c r="C19" s="16" t="s">
        <v>69</v>
      </c>
      <c r="D19" s="5" t="s">
        <v>70</v>
      </c>
      <c r="E19" s="5" t="s">
        <v>17</v>
      </c>
      <c r="G19" s="7" t="s">
        <v>18</v>
      </c>
      <c r="J19" s="5">
        <v>58</v>
      </c>
      <c r="N19" s="17"/>
      <c r="O19" s="17">
        <v>0.81899999999999995</v>
      </c>
      <c r="P19" s="17">
        <v>0.21</v>
      </c>
      <c r="Q19" s="13">
        <v>0.38602900476032298</v>
      </c>
    </row>
    <row r="20" spans="1:17" x14ac:dyDescent="0.2">
      <c r="A20" t="s">
        <v>71</v>
      </c>
      <c r="B20" s="5" t="s">
        <v>15</v>
      </c>
      <c r="C20" s="6" t="s">
        <v>72</v>
      </c>
      <c r="E20" s="5" t="s">
        <v>17</v>
      </c>
      <c r="F20" s="14" t="s">
        <v>25</v>
      </c>
      <c r="G20" s="7" t="s">
        <v>18</v>
      </c>
      <c r="J20" s="5">
        <v>53</v>
      </c>
      <c r="N20" s="15">
        <v>0.09</v>
      </c>
      <c r="O20" s="15">
        <v>0.33800000000000002</v>
      </c>
      <c r="P20" s="13">
        <v>0.59</v>
      </c>
      <c r="Q20" s="13">
        <v>0.70386361120336505</v>
      </c>
    </row>
    <row r="21" spans="1:17" x14ac:dyDescent="0.2">
      <c r="A21" t="s">
        <v>73</v>
      </c>
      <c r="B21" s="5" t="s">
        <v>30</v>
      </c>
      <c r="C21" s="5" t="s">
        <v>74</v>
      </c>
      <c r="D21" s="5"/>
      <c r="E21" s="5" t="s">
        <v>17</v>
      </c>
      <c r="F21" s="14" t="s">
        <v>25</v>
      </c>
      <c r="G21" s="7" t="s">
        <v>18</v>
      </c>
      <c r="J21" s="5">
        <v>2</v>
      </c>
      <c r="N21" s="13">
        <v>0.64</v>
      </c>
      <c r="O21" s="13">
        <v>0.95099999999999996</v>
      </c>
      <c r="P21" s="13">
        <v>0.186</v>
      </c>
      <c r="Q21" s="13">
        <v>9.2549540573452799E-2</v>
      </c>
    </row>
    <row r="22" spans="1:17" x14ac:dyDescent="0.2">
      <c r="A22" t="s">
        <v>75</v>
      </c>
      <c r="B22" s="5" t="s">
        <v>15</v>
      </c>
      <c r="C22" s="6" t="s">
        <v>76</v>
      </c>
      <c r="E22" s="5" t="s">
        <v>17</v>
      </c>
      <c r="F22" s="14" t="s">
        <v>25</v>
      </c>
      <c r="G22" t="s">
        <v>39</v>
      </c>
      <c r="H22" s="7" t="s">
        <v>18</v>
      </c>
      <c r="J22" s="5">
        <v>59</v>
      </c>
      <c r="N22" s="15">
        <v>0.64</v>
      </c>
      <c r="O22" s="15">
        <v>0.41699999999999998</v>
      </c>
      <c r="P22" s="13">
        <v>0.35699999999999998</v>
      </c>
      <c r="Q22" s="13">
        <v>0.75611646186206105</v>
      </c>
    </row>
    <row r="23" spans="1:17" x14ac:dyDescent="0.2">
      <c r="A23" t="s">
        <v>77</v>
      </c>
      <c r="B23" s="5" t="s">
        <v>20</v>
      </c>
      <c r="C23" s="5" t="s">
        <v>78</v>
      </c>
      <c r="D23" s="5"/>
      <c r="E23" s="5" t="s">
        <v>17</v>
      </c>
      <c r="G23" s="7" t="s">
        <v>18</v>
      </c>
      <c r="J23" s="5">
        <v>14</v>
      </c>
      <c r="N23" s="13">
        <v>0.495</v>
      </c>
      <c r="O23" s="13">
        <v>3.2000000000000001E-2</v>
      </c>
      <c r="P23" s="13">
        <v>0.88900000000000001</v>
      </c>
      <c r="Q23" s="13">
        <v>0.69157533488320599</v>
      </c>
    </row>
    <row r="24" spans="1:17" x14ac:dyDescent="0.2">
      <c r="A24" t="s">
        <v>79</v>
      </c>
      <c r="B24" s="5" t="s">
        <v>42</v>
      </c>
      <c r="C24" s="5" t="s">
        <v>80</v>
      </c>
      <c r="D24" s="5"/>
      <c r="E24" s="5" t="s">
        <v>17</v>
      </c>
      <c r="G24" s="7" t="s">
        <v>18</v>
      </c>
      <c r="J24" s="5">
        <v>3</v>
      </c>
      <c r="N24" s="13">
        <v>0.17899999999999999</v>
      </c>
      <c r="O24" s="13">
        <v>0.59399999999999997</v>
      </c>
      <c r="P24" s="13">
        <v>0.38500000000000001</v>
      </c>
      <c r="Q24" s="13">
        <v>0.70098527620945394</v>
      </c>
    </row>
    <row r="25" spans="1:17" x14ac:dyDescent="0.2">
      <c r="A25" t="s">
        <v>81</v>
      </c>
      <c r="B25" s="5" t="s">
        <v>45</v>
      </c>
      <c r="C25" s="6" t="s">
        <v>82</v>
      </c>
      <c r="E25" s="5" t="s">
        <v>17</v>
      </c>
      <c r="F25" s="14" t="s">
        <v>25</v>
      </c>
      <c r="G25" t="s">
        <v>26</v>
      </c>
      <c r="J25" s="5">
        <v>164</v>
      </c>
      <c r="N25" s="15">
        <v>0.27</v>
      </c>
      <c r="O25" s="15">
        <v>0.77300000000000002</v>
      </c>
      <c r="P25" s="13">
        <v>0.106</v>
      </c>
      <c r="Q25" s="13">
        <v>0.381268681501162</v>
      </c>
    </row>
    <row r="26" spans="1:17" x14ac:dyDescent="0.2">
      <c r="A26" t="s">
        <v>83</v>
      </c>
      <c r="B26" s="5" t="s">
        <v>30</v>
      </c>
      <c r="C26" s="6" t="s">
        <v>84</v>
      </c>
      <c r="E26" s="5" t="s">
        <v>17</v>
      </c>
      <c r="F26" s="5" t="s">
        <v>25</v>
      </c>
      <c r="G26" s="7" t="s">
        <v>18</v>
      </c>
      <c r="J26" s="14"/>
      <c r="N26" s="15">
        <v>0.25</v>
      </c>
      <c r="O26" s="15">
        <v>0.92600000000000005</v>
      </c>
      <c r="P26" s="13">
        <v>0.66500000000000004</v>
      </c>
      <c r="Q26" s="13">
        <v>0.45643750691907398</v>
      </c>
    </row>
    <row r="27" spans="1:17" x14ac:dyDescent="0.2">
      <c r="A27" t="s">
        <v>85</v>
      </c>
      <c r="B27" s="5" t="s">
        <v>42</v>
      </c>
      <c r="C27" s="6" t="s">
        <v>86</v>
      </c>
      <c r="E27" s="5" t="s">
        <v>17</v>
      </c>
      <c r="F27" s="5" t="s">
        <v>25</v>
      </c>
      <c r="G27" t="s">
        <v>39</v>
      </c>
      <c r="H27" s="7" t="s">
        <v>18</v>
      </c>
      <c r="J27" s="5">
        <v>37</v>
      </c>
      <c r="N27" s="15">
        <v>0.43</v>
      </c>
      <c r="O27" s="15">
        <v>9.2999999999999999E-2</v>
      </c>
      <c r="P27" s="13">
        <v>0.74399999999999999</v>
      </c>
      <c r="Q27" s="13">
        <v>0.90114026347835696</v>
      </c>
    </row>
    <row r="28" spans="1:17" x14ac:dyDescent="0.2">
      <c r="A28" t="s">
        <v>87</v>
      </c>
      <c r="B28" s="5" t="s">
        <v>42</v>
      </c>
      <c r="C28" s="6" t="s">
        <v>88</v>
      </c>
      <c r="E28" s="5" t="s">
        <v>17</v>
      </c>
      <c r="F28" s="14" t="s">
        <v>25</v>
      </c>
      <c r="G28" s="7" t="s">
        <v>18</v>
      </c>
      <c r="J28" s="5">
        <v>343</v>
      </c>
      <c r="N28" s="15">
        <v>0.77</v>
      </c>
      <c r="O28" s="15">
        <v>0.38100000000000001</v>
      </c>
      <c r="P28" s="13">
        <v>0.32300000000000001</v>
      </c>
      <c r="Q28" s="13">
        <v>0.81634008635004895</v>
      </c>
    </row>
    <row r="29" spans="1:17" x14ac:dyDescent="0.2">
      <c r="A29" t="s">
        <v>89</v>
      </c>
      <c r="B29" s="5" t="s">
        <v>90</v>
      </c>
      <c r="C29" s="5" t="s">
        <v>91</v>
      </c>
      <c r="D29" s="5"/>
      <c r="E29" s="5" t="s">
        <v>17</v>
      </c>
      <c r="F29" s="14" t="s">
        <v>25</v>
      </c>
      <c r="G29" s="7" t="s">
        <v>18</v>
      </c>
      <c r="J29" s="5">
        <v>185</v>
      </c>
      <c r="N29" s="13">
        <v>0.25700000000000001</v>
      </c>
      <c r="O29" s="13">
        <v>0.89900000000000002</v>
      </c>
      <c r="P29" s="13">
        <v>0.14199999999999999</v>
      </c>
      <c r="Q29" s="13">
        <v>2.6347835713494899E-2</v>
      </c>
    </row>
    <row r="30" spans="1:17" x14ac:dyDescent="0.2">
      <c r="A30" t="s">
        <v>92</v>
      </c>
      <c r="B30" s="5" t="s">
        <v>30</v>
      </c>
      <c r="C30" s="6" t="s">
        <v>93</v>
      </c>
      <c r="E30" s="5" t="s">
        <v>17</v>
      </c>
      <c r="F30" s="14" t="s">
        <v>25</v>
      </c>
      <c r="G30" s="7" t="s">
        <v>18</v>
      </c>
      <c r="J30" s="5">
        <v>161</v>
      </c>
      <c r="N30" s="15">
        <v>0.05</v>
      </c>
      <c r="O30" s="15">
        <v>0.81100000000000005</v>
      </c>
      <c r="P30" s="13">
        <v>0.26600000000000001</v>
      </c>
      <c r="Q30" s="13">
        <v>0.24166943429646801</v>
      </c>
    </row>
    <row r="31" spans="1:17" x14ac:dyDescent="0.2">
      <c r="A31" t="s">
        <v>94</v>
      </c>
      <c r="B31" s="5" t="s">
        <v>95</v>
      </c>
      <c r="C31" s="5" t="s">
        <v>96</v>
      </c>
      <c r="D31" s="5"/>
      <c r="E31" s="5" t="s">
        <v>17</v>
      </c>
      <c r="G31" s="7" t="s">
        <v>18</v>
      </c>
      <c r="J31" s="5">
        <v>8</v>
      </c>
      <c r="N31" s="13">
        <v>0.28799999999999998</v>
      </c>
      <c r="O31" s="13">
        <v>0.438</v>
      </c>
      <c r="P31" s="13">
        <v>0.86599999999999999</v>
      </c>
      <c r="Q31" s="13">
        <v>0.66865936012398897</v>
      </c>
    </row>
    <row r="32" spans="1:17" x14ac:dyDescent="0.2">
      <c r="A32" t="s">
        <v>97</v>
      </c>
      <c r="B32" s="5" t="s">
        <v>42</v>
      </c>
      <c r="C32" s="5" t="s">
        <v>98</v>
      </c>
      <c r="D32" s="5"/>
      <c r="E32" s="5" t="s">
        <v>17</v>
      </c>
      <c r="F32" s="5" t="s">
        <v>25</v>
      </c>
      <c r="G32" t="s">
        <v>39</v>
      </c>
      <c r="H32" s="7" t="s">
        <v>18</v>
      </c>
      <c r="J32" s="5">
        <v>69</v>
      </c>
      <c r="N32" s="13">
        <v>0.38500000000000001</v>
      </c>
      <c r="O32" s="13">
        <v>6.7000000000000004E-2</v>
      </c>
      <c r="P32" s="13">
        <v>0.88700000000000001</v>
      </c>
      <c r="Q32" s="13">
        <v>0.95549651278644898</v>
      </c>
    </row>
    <row r="33" spans="1:17" x14ac:dyDescent="0.2">
      <c r="A33" t="s">
        <v>99</v>
      </c>
      <c r="B33" s="5" t="s">
        <v>15</v>
      </c>
      <c r="C33" s="6" t="s">
        <v>100</v>
      </c>
      <c r="E33" s="5" t="s">
        <v>17</v>
      </c>
      <c r="F33" s="5" t="s">
        <v>25</v>
      </c>
      <c r="G33" t="s">
        <v>39</v>
      </c>
      <c r="H33" s="7" t="s">
        <v>18</v>
      </c>
      <c r="J33" s="5">
        <v>24</v>
      </c>
      <c r="N33" s="15">
        <v>0.53</v>
      </c>
      <c r="O33" s="15">
        <v>0.19900000000000001</v>
      </c>
      <c r="P33" s="13">
        <v>0.89</v>
      </c>
      <c r="Q33" s="13">
        <v>0.92073508247536795</v>
      </c>
    </row>
    <row r="34" spans="1:17" x14ac:dyDescent="0.2">
      <c r="A34" t="s">
        <v>101</v>
      </c>
      <c r="B34" s="5" t="s">
        <v>15</v>
      </c>
      <c r="C34" s="6" t="s">
        <v>100</v>
      </c>
      <c r="E34" s="5" t="s">
        <v>17</v>
      </c>
      <c r="F34" s="14" t="s">
        <v>25</v>
      </c>
      <c r="G34" s="7" t="s">
        <v>18</v>
      </c>
      <c r="J34" s="5">
        <v>50</v>
      </c>
      <c r="N34" s="15">
        <v>0.53</v>
      </c>
      <c r="O34" s="15">
        <v>0.19900000000000001</v>
      </c>
      <c r="P34" s="13">
        <v>0.89</v>
      </c>
      <c r="Q34" s="13">
        <v>0.92073508247536795</v>
      </c>
    </row>
    <row r="35" spans="1:17" x14ac:dyDescent="0.2">
      <c r="A35" t="s">
        <v>102</v>
      </c>
      <c r="B35" s="5" t="s">
        <v>103</v>
      </c>
      <c r="C35" s="5" t="s">
        <v>104</v>
      </c>
      <c r="D35" s="5"/>
      <c r="E35" s="5" t="s">
        <v>17</v>
      </c>
      <c r="F35" s="5" t="s">
        <v>25</v>
      </c>
      <c r="G35" t="s">
        <v>105</v>
      </c>
      <c r="J35" s="5">
        <v>36</v>
      </c>
      <c r="N35" s="13">
        <v>0.69899999999999995</v>
      </c>
      <c r="O35" s="13">
        <v>7.0999999999999994E-2</v>
      </c>
      <c r="P35" s="13">
        <v>0.94699999999999995</v>
      </c>
      <c r="Q35" s="13">
        <v>0.90844680615520801</v>
      </c>
    </row>
    <row r="36" spans="1:17" x14ac:dyDescent="0.2">
      <c r="A36" t="s">
        <v>106</v>
      </c>
      <c r="B36" s="5" t="s">
        <v>33</v>
      </c>
      <c r="C36" s="6" t="s">
        <v>107</v>
      </c>
      <c r="E36" s="5" t="s">
        <v>17</v>
      </c>
      <c r="F36" s="14" t="s">
        <v>25</v>
      </c>
      <c r="G36" t="s">
        <v>26</v>
      </c>
      <c r="J36" s="5">
        <v>142</v>
      </c>
      <c r="N36" s="15">
        <v>0.94</v>
      </c>
      <c r="O36" s="15">
        <v>0.46600000000000003</v>
      </c>
      <c r="P36" s="13">
        <v>0.39900000000000002</v>
      </c>
      <c r="Q36" s="13">
        <v>0.360123989815122</v>
      </c>
    </row>
    <row r="37" spans="1:17" x14ac:dyDescent="0.2">
      <c r="A37" t="s">
        <v>108</v>
      </c>
      <c r="B37" s="5" t="s">
        <v>42</v>
      </c>
      <c r="C37" s="5" t="s">
        <v>109</v>
      </c>
      <c r="D37" s="5"/>
      <c r="E37" s="5" t="s">
        <v>17</v>
      </c>
      <c r="G37" s="7" t="s">
        <v>18</v>
      </c>
      <c r="J37" s="5">
        <v>4</v>
      </c>
      <c r="N37" s="13">
        <v>0.50800000000000001</v>
      </c>
      <c r="O37" s="13">
        <v>6.3E-2</v>
      </c>
      <c r="P37" s="13">
        <v>0.92100000000000004</v>
      </c>
      <c r="Q37" s="13">
        <v>0.83217092881656096</v>
      </c>
    </row>
    <row r="38" spans="1:17" x14ac:dyDescent="0.2">
      <c r="A38" t="s">
        <v>110</v>
      </c>
      <c r="B38" s="5" t="s">
        <v>103</v>
      </c>
      <c r="C38" s="5" t="s">
        <v>111</v>
      </c>
      <c r="D38" s="5"/>
      <c r="E38" s="5" t="s">
        <v>17</v>
      </c>
      <c r="G38" s="7" t="s">
        <v>18</v>
      </c>
      <c r="J38" s="14"/>
      <c r="N38" s="13">
        <v>0.92100000000000004</v>
      </c>
      <c r="O38" s="13">
        <v>0.26</v>
      </c>
      <c r="P38" s="13">
        <v>0.223</v>
      </c>
      <c r="Q38" s="13">
        <v>0.40108491088232001</v>
      </c>
    </row>
    <row r="39" spans="1:17" x14ac:dyDescent="0.2">
      <c r="A39" t="s">
        <v>112</v>
      </c>
      <c r="B39" s="5" t="s">
        <v>15</v>
      </c>
      <c r="C39" s="6" t="s">
        <v>113</v>
      </c>
      <c r="E39" s="5" t="s">
        <v>17</v>
      </c>
      <c r="G39" t="s">
        <v>39</v>
      </c>
      <c r="H39" s="7" t="s">
        <v>18</v>
      </c>
      <c r="J39" s="14"/>
      <c r="N39" s="15">
        <v>0.53</v>
      </c>
      <c r="O39" s="15">
        <v>4.4999999999999998E-2</v>
      </c>
      <c r="P39" s="13">
        <v>0.89800000000000002</v>
      </c>
      <c r="Q39" s="13">
        <v>0.91652828517657403</v>
      </c>
    </row>
    <row r="40" spans="1:17" x14ac:dyDescent="0.2">
      <c r="A40" t="s">
        <v>114</v>
      </c>
      <c r="B40" s="5" t="s">
        <v>23</v>
      </c>
      <c r="C40" s="5" t="s">
        <v>115</v>
      </c>
      <c r="D40" s="5"/>
      <c r="E40" s="5" t="s">
        <v>17</v>
      </c>
      <c r="G40" s="7" t="s">
        <v>18</v>
      </c>
      <c r="J40" s="5">
        <v>80</v>
      </c>
      <c r="N40" s="13">
        <v>0.68300000000000005</v>
      </c>
      <c r="O40" s="13">
        <v>0.151</v>
      </c>
      <c r="P40" s="13">
        <v>0.38400000000000001</v>
      </c>
      <c r="Q40" s="13">
        <v>0.81556515000553498</v>
      </c>
    </row>
    <row r="41" spans="1:17" x14ac:dyDescent="0.2">
      <c r="A41" t="s">
        <v>116</v>
      </c>
      <c r="B41" s="5" t="s">
        <v>55</v>
      </c>
      <c r="C41" s="6" t="s">
        <v>56</v>
      </c>
      <c r="E41" s="5" t="s">
        <v>17</v>
      </c>
      <c r="F41" s="14" t="s">
        <v>25</v>
      </c>
      <c r="G41" t="s">
        <v>26</v>
      </c>
      <c r="J41" s="5">
        <v>74</v>
      </c>
      <c r="N41" s="15">
        <v>0.82</v>
      </c>
      <c r="O41" s="15">
        <v>0.34599999999999997</v>
      </c>
      <c r="P41" s="13">
        <v>0.115</v>
      </c>
      <c r="Q41" s="13">
        <v>0.62482010406288002</v>
      </c>
    </row>
    <row r="42" spans="1:17" x14ac:dyDescent="0.2">
      <c r="A42" t="s">
        <v>117</v>
      </c>
      <c r="B42" s="5" t="s">
        <v>15</v>
      </c>
      <c r="C42" s="5" t="s">
        <v>118</v>
      </c>
      <c r="D42" s="5"/>
      <c r="E42" s="5" t="s">
        <v>17</v>
      </c>
      <c r="G42" t="s">
        <v>26</v>
      </c>
      <c r="J42" s="5">
        <v>6</v>
      </c>
      <c r="N42" s="13">
        <v>0.79700000000000004</v>
      </c>
      <c r="O42" s="13">
        <v>8.2000000000000003E-2</v>
      </c>
      <c r="P42" s="13">
        <v>0.73799999999999999</v>
      </c>
      <c r="Q42" s="13">
        <v>0.89649064541126899</v>
      </c>
    </row>
    <row r="43" spans="1:17" x14ac:dyDescent="0.2">
      <c r="A43" t="s">
        <v>119</v>
      </c>
      <c r="B43" s="5" t="s">
        <v>30</v>
      </c>
      <c r="C43" s="6" t="s">
        <v>120</v>
      </c>
      <c r="E43" s="5" t="s">
        <v>17</v>
      </c>
      <c r="F43" s="14" t="s">
        <v>25</v>
      </c>
      <c r="G43" s="7" t="s">
        <v>18</v>
      </c>
      <c r="J43" s="5">
        <v>192</v>
      </c>
      <c r="N43" s="15">
        <v>0.22</v>
      </c>
      <c r="O43" s="15">
        <v>0.59899999999999998</v>
      </c>
      <c r="P43" s="13">
        <v>0.98799999999999999</v>
      </c>
      <c r="Q43" s="13">
        <v>0.614745931584191</v>
      </c>
    </row>
    <row r="44" spans="1:17" x14ac:dyDescent="0.2">
      <c r="A44" t="s">
        <v>121</v>
      </c>
      <c r="B44" s="5" t="s">
        <v>58</v>
      </c>
      <c r="C44" s="5" t="s">
        <v>122</v>
      </c>
      <c r="D44" s="5"/>
      <c r="E44" s="5" t="s">
        <v>17</v>
      </c>
      <c r="G44" s="7" t="s">
        <v>18</v>
      </c>
      <c r="J44" s="5">
        <v>3</v>
      </c>
      <c r="N44" s="13">
        <v>0.33300000000000002</v>
      </c>
      <c r="O44" s="13">
        <v>0.5</v>
      </c>
      <c r="P44" s="13">
        <v>0.75</v>
      </c>
      <c r="Q44" s="13">
        <v>0.81124764751466805</v>
      </c>
    </row>
    <row r="45" spans="1:17" x14ac:dyDescent="0.2">
      <c r="A45" t="s">
        <v>123</v>
      </c>
      <c r="B45" s="5" t="s">
        <v>42</v>
      </c>
      <c r="C45" s="5" t="s">
        <v>124</v>
      </c>
      <c r="D45" s="5"/>
      <c r="E45" s="5" t="s">
        <v>17</v>
      </c>
      <c r="G45" s="7" t="s">
        <v>18</v>
      </c>
      <c r="J45" s="5">
        <v>6</v>
      </c>
      <c r="N45" s="13">
        <v>0.17899999999999999</v>
      </c>
      <c r="O45" s="13">
        <v>0.59499999999999997</v>
      </c>
      <c r="P45" s="13">
        <v>0.72599999999999998</v>
      </c>
      <c r="Q45" s="13">
        <v>0.86283626702092298</v>
      </c>
    </row>
    <row r="46" spans="1:17" x14ac:dyDescent="0.2">
      <c r="A46" t="s">
        <v>125</v>
      </c>
      <c r="B46" s="5" t="s">
        <v>30</v>
      </c>
      <c r="C46" s="5" t="s">
        <v>126</v>
      </c>
      <c r="D46" s="5"/>
      <c r="E46" s="5" t="s">
        <v>17</v>
      </c>
      <c r="F46" s="14" t="s">
        <v>25</v>
      </c>
      <c r="G46" s="7" t="s">
        <v>18</v>
      </c>
      <c r="J46" s="5">
        <v>17</v>
      </c>
      <c r="N46" s="13">
        <v>0.64100000000000001</v>
      </c>
      <c r="O46" s="13">
        <v>0.52800000000000002</v>
      </c>
      <c r="P46" s="13">
        <v>0.34799999999999998</v>
      </c>
      <c r="Q46" s="13">
        <v>0.348278534263256</v>
      </c>
    </row>
    <row r="47" spans="1:17" x14ac:dyDescent="0.2">
      <c r="A47" t="s">
        <v>127</v>
      </c>
      <c r="B47" s="5" t="s">
        <v>45</v>
      </c>
      <c r="C47" s="5" t="s">
        <v>128</v>
      </c>
      <c r="D47" s="5"/>
      <c r="E47" s="5" t="s">
        <v>17</v>
      </c>
      <c r="G47" s="7" t="s">
        <v>18</v>
      </c>
      <c r="J47" s="5">
        <v>274</v>
      </c>
      <c r="N47" s="13">
        <v>0.25</v>
      </c>
      <c r="O47" s="13">
        <v>0.59799999999999998</v>
      </c>
      <c r="P47" s="13">
        <v>0.54900000000000004</v>
      </c>
      <c r="Q47" s="13">
        <v>0.38547547879995497</v>
      </c>
    </row>
    <row r="48" spans="1:17" x14ac:dyDescent="0.2">
      <c r="A48" t="s">
        <v>129</v>
      </c>
      <c r="B48" s="5" t="s">
        <v>15</v>
      </c>
      <c r="C48" s="5" t="s">
        <v>130</v>
      </c>
      <c r="D48" s="5"/>
      <c r="E48" s="5" t="s">
        <v>17</v>
      </c>
      <c r="G48" t="s">
        <v>26</v>
      </c>
      <c r="J48" s="5">
        <v>130</v>
      </c>
      <c r="N48" s="13">
        <v>0.52900000000000003</v>
      </c>
      <c r="O48" s="13">
        <v>0.625</v>
      </c>
      <c r="P48" s="13">
        <v>0.106</v>
      </c>
      <c r="Q48" s="13">
        <v>0.30266799512897102</v>
      </c>
    </row>
    <row r="49" spans="1:17" x14ac:dyDescent="0.2">
      <c r="A49" t="s">
        <v>131</v>
      </c>
      <c r="B49" s="5" t="s">
        <v>103</v>
      </c>
      <c r="C49" s="6" t="s">
        <v>132</v>
      </c>
      <c r="E49" s="5" t="s">
        <v>17</v>
      </c>
      <c r="F49" s="14" t="s">
        <v>25</v>
      </c>
      <c r="G49" s="7" t="s">
        <v>18</v>
      </c>
      <c r="J49" s="5">
        <v>27</v>
      </c>
      <c r="N49" s="15">
        <v>0.64</v>
      </c>
      <c r="O49" s="15">
        <v>0.26800000000000002</v>
      </c>
      <c r="P49" s="13">
        <v>0.86</v>
      </c>
      <c r="Q49" s="13">
        <v>0.85099081146905697</v>
      </c>
    </row>
    <row r="50" spans="1:17" x14ac:dyDescent="0.2">
      <c r="A50" t="s">
        <v>133</v>
      </c>
      <c r="B50" s="5" t="s">
        <v>15</v>
      </c>
      <c r="C50" s="6" t="s">
        <v>134</v>
      </c>
      <c r="E50" s="5" t="s">
        <v>17</v>
      </c>
      <c r="F50" s="14" t="s">
        <v>25</v>
      </c>
      <c r="G50" s="7" t="s">
        <v>18</v>
      </c>
      <c r="J50" s="5">
        <v>51</v>
      </c>
      <c r="N50" s="15">
        <v>0.4</v>
      </c>
      <c r="O50" s="15">
        <v>0.17899999999999999</v>
      </c>
      <c r="P50" s="13">
        <v>0.19600000000000001</v>
      </c>
      <c r="Q50" s="13">
        <v>0.77261153548101402</v>
      </c>
    </row>
    <row r="51" spans="1:17" x14ac:dyDescent="0.2">
      <c r="A51" t="s">
        <v>135</v>
      </c>
      <c r="B51" s="5" t="s">
        <v>136</v>
      </c>
      <c r="C51" s="5" t="s">
        <v>137</v>
      </c>
      <c r="D51" s="5"/>
      <c r="E51" s="5" t="s">
        <v>17</v>
      </c>
      <c r="G51" s="7" t="s">
        <v>18</v>
      </c>
      <c r="J51" s="5">
        <v>57</v>
      </c>
      <c r="N51" s="13">
        <v>0.53</v>
      </c>
      <c r="O51" s="13">
        <v>0.121</v>
      </c>
      <c r="P51" s="13">
        <v>0.47299999999999998</v>
      </c>
      <c r="Q51" s="13">
        <v>0.80925495405734504</v>
      </c>
    </row>
    <row r="52" spans="1:17" x14ac:dyDescent="0.2">
      <c r="A52" t="s">
        <v>138</v>
      </c>
      <c r="B52" s="5" t="s">
        <v>139</v>
      </c>
      <c r="C52" s="6" t="s">
        <v>140</v>
      </c>
      <c r="E52" s="5" t="s">
        <v>17</v>
      </c>
      <c r="F52" s="5" t="s">
        <v>25</v>
      </c>
      <c r="G52" t="s">
        <v>39</v>
      </c>
      <c r="H52" s="7" t="s">
        <v>18</v>
      </c>
      <c r="J52" s="14"/>
      <c r="N52" s="15">
        <v>0.89</v>
      </c>
      <c r="O52" s="15">
        <v>0.307</v>
      </c>
      <c r="P52" s="13">
        <v>0.61399999999999999</v>
      </c>
      <c r="Q52" s="13">
        <v>0.77681833277980705</v>
      </c>
    </row>
    <row r="53" spans="1:17" x14ac:dyDescent="0.2">
      <c r="A53" t="s">
        <v>141</v>
      </c>
      <c r="B53" s="5" t="s">
        <v>30</v>
      </c>
      <c r="C53" s="6" t="s">
        <v>84</v>
      </c>
      <c r="E53" s="5" t="s">
        <v>17</v>
      </c>
      <c r="F53" s="14" t="s">
        <v>25</v>
      </c>
      <c r="G53" s="7" t="s">
        <v>18</v>
      </c>
      <c r="J53" s="14"/>
      <c r="N53" s="15">
        <v>0.25</v>
      </c>
      <c r="O53" s="15">
        <v>0.92600000000000005</v>
      </c>
      <c r="P53" s="13">
        <v>0.66500000000000004</v>
      </c>
      <c r="Q53" s="13">
        <v>0.45643750691907398</v>
      </c>
    </row>
    <row r="54" spans="1:17" x14ac:dyDescent="0.2">
      <c r="A54" t="s">
        <v>142</v>
      </c>
      <c r="B54" s="5" t="s">
        <v>58</v>
      </c>
      <c r="C54" s="6" t="s">
        <v>143</v>
      </c>
      <c r="E54" s="5" t="s">
        <v>17</v>
      </c>
      <c r="F54" s="14" t="s">
        <v>25</v>
      </c>
      <c r="G54" s="7" t="s">
        <v>18</v>
      </c>
      <c r="J54" s="5">
        <v>70</v>
      </c>
      <c r="N54" s="15">
        <v>0.78</v>
      </c>
      <c r="O54" s="15">
        <v>0.85699999999999998</v>
      </c>
      <c r="P54" s="13">
        <v>0.14299999999999999</v>
      </c>
      <c r="Q54" s="13">
        <v>0.72545112365769904</v>
      </c>
    </row>
    <row r="55" spans="1:17" x14ac:dyDescent="0.2">
      <c r="A55" t="s">
        <v>144</v>
      </c>
      <c r="B55" s="5" t="s">
        <v>145</v>
      </c>
      <c r="C55" s="5" t="s">
        <v>146</v>
      </c>
      <c r="D55" s="5"/>
      <c r="E55" s="5" t="s">
        <v>17</v>
      </c>
      <c r="G55" t="s">
        <v>26</v>
      </c>
      <c r="J55" s="5">
        <v>69</v>
      </c>
      <c r="N55" s="13">
        <v>0.94299999999999995</v>
      </c>
      <c r="O55" s="13">
        <v>0.57699999999999996</v>
      </c>
      <c r="P55" s="13">
        <v>0.51900000000000002</v>
      </c>
      <c r="Q55" s="13">
        <v>0.54433742942543994</v>
      </c>
    </row>
    <row r="56" spans="1:17" x14ac:dyDescent="0.2">
      <c r="A56" t="s">
        <v>147</v>
      </c>
      <c r="B56" s="5" t="s">
        <v>148</v>
      </c>
      <c r="C56" s="5" t="s">
        <v>149</v>
      </c>
      <c r="D56" s="5"/>
      <c r="E56" s="5" t="s">
        <v>17</v>
      </c>
      <c r="G56" s="7" t="s">
        <v>18</v>
      </c>
      <c r="J56" s="5">
        <v>24</v>
      </c>
      <c r="N56" s="13">
        <v>0.56999999999999995</v>
      </c>
      <c r="O56" s="13">
        <v>0.40100000000000002</v>
      </c>
      <c r="P56" s="13">
        <v>0.64900000000000002</v>
      </c>
      <c r="Q56" s="13">
        <v>0.240119561607439</v>
      </c>
    </row>
    <row r="57" spans="1:17" x14ac:dyDescent="0.2">
      <c r="A57" t="s">
        <v>150</v>
      </c>
      <c r="B57" s="5" t="s">
        <v>58</v>
      </c>
      <c r="C57" s="6" t="s">
        <v>151</v>
      </c>
      <c r="E57" s="5" t="s">
        <v>17</v>
      </c>
      <c r="F57" s="14" t="s">
        <v>25</v>
      </c>
      <c r="G57" t="s">
        <v>26</v>
      </c>
      <c r="J57" s="5">
        <v>58</v>
      </c>
      <c r="N57" s="15">
        <v>0.56999999999999995</v>
      </c>
      <c r="O57" s="15">
        <v>0.2</v>
      </c>
      <c r="P57" s="13">
        <v>0.4</v>
      </c>
      <c r="Q57" s="13">
        <v>0.90966456326801703</v>
      </c>
    </row>
    <row r="58" spans="1:17" x14ac:dyDescent="0.2">
      <c r="A58" t="s">
        <v>152</v>
      </c>
      <c r="B58" s="5" t="s">
        <v>23</v>
      </c>
      <c r="C58" s="6" t="s">
        <v>153</v>
      </c>
      <c r="E58" s="5" t="s">
        <v>17</v>
      </c>
      <c r="F58" s="14" t="s">
        <v>25</v>
      </c>
      <c r="G58" s="7" t="s">
        <v>18</v>
      </c>
      <c r="J58" s="5">
        <v>103</v>
      </c>
      <c r="N58" s="15">
        <v>0.6</v>
      </c>
      <c r="O58" s="15">
        <v>3.1E-2</v>
      </c>
      <c r="P58" s="13">
        <v>0.95299999999999996</v>
      </c>
      <c r="Q58" s="13">
        <v>0.90269013616738603</v>
      </c>
    </row>
    <row r="59" spans="1:17" x14ac:dyDescent="0.2">
      <c r="A59" t="s">
        <v>154</v>
      </c>
      <c r="B59" s="5" t="s">
        <v>20</v>
      </c>
      <c r="C59" s="5" t="s">
        <v>155</v>
      </c>
      <c r="D59" s="5"/>
      <c r="E59" s="5" t="s">
        <v>17</v>
      </c>
      <c r="G59" s="7" t="s">
        <v>18</v>
      </c>
      <c r="J59" s="5">
        <v>9</v>
      </c>
      <c r="N59" s="13">
        <v>0.55700000000000005</v>
      </c>
      <c r="O59" s="13">
        <v>0.25800000000000001</v>
      </c>
      <c r="P59" s="13">
        <v>0.43</v>
      </c>
      <c r="Q59" s="13">
        <v>0.55297243440717303</v>
      </c>
    </row>
    <row r="60" spans="1:17" x14ac:dyDescent="0.2">
      <c r="A60" t="s">
        <v>156</v>
      </c>
      <c r="B60" s="5" t="s">
        <v>30</v>
      </c>
      <c r="C60" s="5" t="s">
        <v>120</v>
      </c>
      <c r="D60" s="5"/>
      <c r="E60" s="5" t="s">
        <v>17</v>
      </c>
      <c r="F60" s="14" t="s">
        <v>25</v>
      </c>
      <c r="G60" s="7" t="s">
        <v>18</v>
      </c>
      <c r="J60" s="5">
        <v>27</v>
      </c>
      <c r="N60" s="13">
        <v>0.221</v>
      </c>
      <c r="O60" s="13">
        <v>0.59899999999999998</v>
      </c>
      <c r="P60" s="13">
        <v>0.98799999999999999</v>
      </c>
      <c r="Q60" s="13">
        <v>0.614745931584191</v>
      </c>
    </row>
    <row r="61" spans="1:17" x14ac:dyDescent="0.2">
      <c r="A61" t="s">
        <v>157</v>
      </c>
      <c r="B61" s="5" t="s">
        <v>95</v>
      </c>
      <c r="C61" s="5" t="s">
        <v>158</v>
      </c>
      <c r="D61" s="5"/>
      <c r="E61" s="5" t="s">
        <v>17</v>
      </c>
      <c r="G61" s="7" t="s">
        <v>18</v>
      </c>
      <c r="J61" s="5">
        <v>9</v>
      </c>
      <c r="N61" s="13">
        <v>0.92600000000000005</v>
      </c>
      <c r="O61" s="13">
        <v>0.502</v>
      </c>
      <c r="P61" s="13">
        <v>0.48899999999999999</v>
      </c>
      <c r="Q61" s="13">
        <v>0.59028008413594601</v>
      </c>
    </row>
    <row r="62" spans="1:17" x14ac:dyDescent="0.2">
      <c r="A62" t="s">
        <v>159</v>
      </c>
      <c r="B62" s="5" t="s">
        <v>58</v>
      </c>
      <c r="C62" s="6" t="s">
        <v>160</v>
      </c>
      <c r="E62" s="5" t="s">
        <v>17</v>
      </c>
      <c r="F62" s="14" t="s">
        <v>25</v>
      </c>
      <c r="G62" s="7" t="s">
        <v>18</v>
      </c>
      <c r="J62" s="5">
        <v>108</v>
      </c>
      <c r="N62" s="15">
        <v>1</v>
      </c>
      <c r="O62" s="15">
        <v>0.214</v>
      </c>
      <c r="P62" s="13">
        <v>0.92900000000000005</v>
      </c>
      <c r="Q62" s="13">
        <v>0.71283073176131895</v>
      </c>
    </row>
    <row r="63" spans="1:17" x14ac:dyDescent="0.2">
      <c r="A63" t="s">
        <v>161</v>
      </c>
      <c r="B63" s="5" t="s">
        <v>103</v>
      </c>
      <c r="C63" s="6" t="s">
        <v>162</v>
      </c>
      <c r="E63" s="5" t="s">
        <v>17</v>
      </c>
      <c r="F63" s="14" t="s">
        <v>25</v>
      </c>
      <c r="G63" s="7" t="s">
        <v>18</v>
      </c>
      <c r="J63" s="5">
        <v>136</v>
      </c>
      <c r="N63" s="15">
        <v>0.7</v>
      </c>
      <c r="O63" s="15">
        <v>0.28999999999999998</v>
      </c>
      <c r="P63" s="13">
        <v>0.60299999999999998</v>
      </c>
      <c r="Q63" s="13">
        <v>0.73475035979187397</v>
      </c>
    </row>
    <row r="64" spans="1:17" x14ac:dyDescent="0.2">
      <c r="A64" t="s">
        <v>163</v>
      </c>
      <c r="B64" s="5" t="s">
        <v>136</v>
      </c>
      <c r="C64" s="6" t="s">
        <v>164</v>
      </c>
      <c r="E64" s="5" t="s">
        <v>17</v>
      </c>
      <c r="F64" s="14" t="s">
        <v>25</v>
      </c>
      <c r="G64" s="7" t="s">
        <v>18</v>
      </c>
      <c r="J64" s="5">
        <v>212</v>
      </c>
      <c r="N64" s="15">
        <v>0.78</v>
      </c>
      <c r="O64" s="15">
        <v>4.5999999999999999E-2</v>
      </c>
      <c r="P64" s="13">
        <v>0.879</v>
      </c>
      <c r="Q64" s="13">
        <v>0.93745156647846695</v>
      </c>
    </row>
    <row r="65" spans="1:17" x14ac:dyDescent="0.2">
      <c r="A65" t="s">
        <v>165</v>
      </c>
      <c r="B65" s="5" t="s">
        <v>20</v>
      </c>
      <c r="C65" s="5" t="s">
        <v>166</v>
      </c>
      <c r="D65" s="5"/>
      <c r="E65" s="5" t="s">
        <v>17</v>
      </c>
      <c r="G65" s="7" t="s">
        <v>18</v>
      </c>
      <c r="J65" s="5">
        <v>15</v>
      </c>
      <c r="N65" s="13">
        <v>0.20699999999999999</v>
      </c>
      <c r="O65" s="13">
        <v>0.12</v>
      </c>
      <c r="P65" s="13">
        <v>0.252</v>
      </c>
      <c r="Q65" s="13">
        <v>0.53802723347725001</v>
      </c>
    </row>
    <row r="66" spans="1:17" x14ac:dyDescent="0.2">
      <c r="A66" t="s">
        <v>167</v>
      </c>
      <c r="B66" s="5" t="s">
        <v>30</v>
      </c>
      <c r="C66" s="6" t="s">
        <v>120</v>
      </c>
      <c r="E66" s="5" t="s">
        <v>17</v>
      </c>
      <c r="F66" s="14" t="s">
        <v>25</v>
      </c>
      <c r="G66" s="7" t="s">
        <v>18</v>
      </c>
      <c r="J66" s="14"/>
      <c r="N66" s="15">
        <v>0.22</v>
      </c>
      <c r="O66" s="15">
        <v>0.59899999999999998</v>
      </c>
      <c r="P66" s="13">
        <v>0.98799999999999999</v>
      </c>
      <c r="Q66" s="13">
        <v>0.614745931584191</v>
      </c>
    </row>
    <row r="67" spans="1:17" x14ac:dyDescent="0.2">
      <c r="A67" t="s">
        <v>168</v>
      </c>
      <c r="B67" s="5" t="s">
        <v>169</v>
      </c>
      <c r="C67" s="5" t="s">
        <v>170</v>
      </c>
      <c r="D67" s="5"/>
      <c r="E67" s="5" t="s">
        <v>17</v>
      </c>
      <c r="G67" s="7" t="s">
        <v>18</v>
      </c>
      <c r="J67" s="5">
        <v>17</v>
      </c>
      <c r="N67" s="13">
        <v>0.68600000000000005</v>
      </c>
      <c r="O67" s="13">
        <v>8.2000000000000003E-2</v>
      </c>
      <c r="P67" s="13">
        <v>1</v>
      </c>
      <c r="Q67" s="13">
        <v>0.85154433742942504</v>
      </c>
    </row>
    <row r="68" spans="1:17" x14ac:dyDescent="0.2">
      <c r="A68" t="s">
        <v>171</v>
      </c>
      <c r="B68" s="5" t="s">
        <v>45</v>
      </c>
      <c r="C68" s="5" t="s">
        <v>172</v>
      </c>
      <c r="D68" s="5"/>
      <c r="E68" s="5" t="s">
        <v>17</v>
      </c>
      <c r="G68" t="s">
        <v>26</v>
      </c>
      <c r="J68" s="5">
        <v>183</v>
      </c>
      <c r="N68" s="13">
        <v>0.50700000000000001</v>
      </c>
      <c r="O68" s="13">
        <v>0.13400000000000001</v>
      </c>
      <c r="P68" s="13">
        <v>0.80600000000000005</v>
      </c>
      <c r="Q68" s="13">
        <v>0.63378722462083403</v>
      </c>
    </row>
    <row r="69" spans="1:17" x14ac:dyDescent="0.2">
      <c r="A69" t="s">
        <v>173</v>
      </c>
      <c r="B69" s="5" t="s">
        <v>42</v>
      </c>
      <c r="C69" s="5" t="s">
        <v>43</v>
      </c>
      <c r="D69" s="5"/>
      <c r="E69" s="5" t="s">
        <v>17</v>
      </c>
      <c r="G69" s="7" t="s">
        <v>18</v>
      </c>
      <c r="J69" s="5">
        <v>4</v>
      </c>
      <c r="N69" s="13">
        <v>0.27300000000000002</v>
      </c>
      <c r="O69" s="13">
        <v>0.16700000000000001</v>
      </c>
      <c r="P69" s="13">
        <v>0.82199999999999995</v>
      </c>
      <c r="Q69" s="13">
        <v>0.86250415144470205</v>
      </c>
    </row>
    <row r="70" spans="1:17" x14ac:dyDescent="0.2">
      <c r="A70" t="s">
        <v>174</v>
      </c>
      <c r="B70" s="5" t="s">
        <v>103</v>
      </c>
      <c r="C70" s="6" t="s">
        <v>175</v>
      </c>
      <c r="E70" s="5" t="s">
        <v>17</v>
      </c>
      <c r="F70" s="14" t="s">
        <v>25</v>
      </c>
      <c r="G70" s="7" t="s">
        <v>18</v>
      </c>
      <c r="J70" s="5">
        <v>17</v>
      </c>
      <c r="N70" s="15">
        <v>0.86</v>
      </c>
      <c r="O70" s="15">
        <v>2.1000000000000001E-2</v>
      </c>
      <c r="P70" s="13">
        <v>0.995</v>
      </c>
      <c r="Q70" s="13">
        <v>0.79740949850547904</v>
      </c>
    </row>
    <row r="71" spans="1:17" x14ac:dyDescent="0.2">
      <c r="A71" t="s">
        <v>176</v>
      </c>
      <c r="B71" s="5" t="s">
        <v>30</v>
      </c>
      <c r="C71" s="5" t="s">
        <v>120</v>
      </c>
      <c r="D71" s="5"/>
      <c r="E71" s="5" t="s">
        <v>17</v>
      </c>
      <c r="F71" s="14" t="s">
        <v>25</v>
      </c>
      <c r="G71" s="7" t="s">
        <v>18</v>
      </c>
      <c r="J71" s="5">
        <v>71</v>
      </c>
      <c r="N71" s="13">
        <v>0.221</v>
      </c>
      <c r="O71" s="13">
        <v>0.59899999999999998</v>
      </c>
      <c r="P71" s="13">
        <v>0.98799999999999999</v>
      </c>
      <c r="Q71" s="13">
        <v>0.614745931584191</v>
      </c>
    </row>
    <row r="72" spans="1:17" x14ac:dyDescent="0.2">
      <c r="A72" t="s">
        <v>177</v>
      </c>
      <c r="B72" s="5" t="s">
        <v>178</v>
      </c>
      <c r="C72" s="5" t="s">
        <v>179</v>
      </c>
      <c r="D72" s="5"/>
      <c r="E72" s="5" t="s">
        <v>17</v>
      </c>
      <c r="G72" s="7" t="s">
        <v>18</v>
      </c>
      <c r="J72" s="5">
        <v>44</v>
      </c>
      <c r="N72" s="13">
        <v>0.95599999999999996</v>
      </c>
      <c r="O72" s="13">
        <v>0.94699999999999995</v>
      </c>
      <c r="P72" s="13">
        <v>1.7000000000000001E-2</v>
      </c>
      <c r="Q72" s="13">
        <v>9.6313517103952095E-3</v>
      </c>
    </row>
    <row r="73" spans="1:17" x14ac:dyDescent="0.2">
      <c r="A73" t="s">
        <v>180</v>
      </c>
      <c r="B73" s="5" t="s">
        <v>23</v>
      </c>
      <c r="C73" s="5" t="s">
        <v>181</v>
      </c>
      <c r="D73" s="5"/>
      <c r="E73" s="5" t="s">
        <v>17</v>
      </c>
      <c r="G73" s="7" t="s">
        <v>18</v>
      </c>
      <c r="J73" s="5">
        <v>31</v>
      </c>
      <c r="N73" s="13">
        <v>0.26600000000000001</v>
      </c>
      <c r="O73" s="13">
        <v>0.26200000000000001</v>
      </c>
      <c r="P73" s="13">
        <v>0.45100000000000001</v>
      </c>
      <c r="Q73" s="13">
        <v>0.75899479685597204</v>
      </c>
    </row>
    <row r="74" spans="1:17" x14ac:dyDescent="0.2">
      <c r="A74" t="s">
        <v>182</v>
      </c>
      <c r="B74" s="5" t="s">
        <v>183</v>
      </c>
      <c r="C74" s="5" t="s">
        <v>184</v>
      </c>
      <c r="D74" s="5"/>
      <c r="E74" s="5" t="s">
        <v>17</v>
      </c>
      <c r="F74" s="5" t="s">
        <v>25</v>
      </c>
      <c r="G74" s="7" t="s">
        <v>18</v>
      </c>
      <c r="J74" s="14">
        <v>49</v>
      </c>
      <c r="K74" s="14">
        <v>25</v>
      </c>
      <c r="N74" s="13">
        <v>0.32700000000000001</v>
      </c>
      <c r="O74" s="13">
        <v>0.08</v>
      </c>
      <c r="P74" s="13">
        <v>0.88</v>
      </c>
      <c r="Q74" s="13">
        <v>0.83925606110926598</v>
      </c>
    </row>
    <row r="75" spans="1:17" x14ac:dyDescent="0.2">
      <c r="A75" t="s">
        <v>185</v>
      </c>
      <c r="B75" s="5" t="s">
        <v>30</v>
      </c>
      <c r="C75" s="6" t="s">
        <v>186</v>
      </c>
      <c r="E75" s="5" t="s">
        <v>17</v>
      </c>
      <c r="F75" s="14" t="s">
        <v>25</v>
      </c>
      <c r="G75" s="7" t="s">
        <v>18</v>
      </c>
      <c r="J75" s="14"/>
      <c r="N75" s="15">
        <v>0.65</v>
      </c>
      <c r="O75" s="15">
        <v>0.13800000000000001</v>
      </c>
      <c r="P75" s="13">
        <v>0.97899999999999998</v>
      </c>
      <c r="Q75" s="13">
        <v>0.48057123879109898</v>
      </c>
    </row>
    <row r="76" spans="1:17" x14ac:dyDescent="0.2">
      <c r="A76" t="s">
        <v>187</v>
      </c>
      <c r="B76" s="5" t="s">
        <v>103</v>
      </c>
      <c r="C76" s="5" t="s">
        <v>188</v>
      </c>
      <c r="D76" s="5"/>
      <c r="E76" s="5" t="s">
        <v>17</v>
      </c>
      <c r="G76" s="7" t="s">
        <v>18</v>
      </c>
      <c r="J76" s="5">
        <v>148</v>
      </c>
      <c r="N76" s="13">
        <v>0.38200000000000001</v>
      </c>
      <c r="O76" s="13">
        <v>0.58499999999999996</v>
      </c>
      <c r="P76" s="13">
        <v>0.64600000000000002</v>
      </c>
      <c r="Q76" s="13">
        <v>0.639433189416583</v>
      </c>
    </row>
    <row r="77" spans="1:17" x14ac:dyDescent="0.2">
      <c r="A77" t="s">
        <v>189</v>
      </c>
      <c r="B77" s="5" t="s">
        <v>103</v>
      </c>
      <c r="C77" s="6" t="s">
        <v>162</v>
      </c>
      <c r="E77" s="5" t="s">
        <v>17</v>
      </c>
      <c r="F77" s="14" t="s">
        <v>25</v>
      </c>
      <c r="G77" t="s">
        <v>26</v>
      </c>
      <c r="J77" s="5">
        <v>59</v>
      </c>
      <c r="N77" s="15">
        <v>0.7</v>
      </c>
      <c r="O77" s="15">
        <v>0.28999999999999998</v>
      </c>
      <c r="P77" s="13">
        <v>0.60299999999999998</v>
      </c>
      <c r="Q77" s="13">
        <v>0.73475035979187397</v>
      </c>
    </row>
    <row r="78" spans="1:17" x14ac:dyDescent="0.2">
      <c r="A78" t="s">
        <v>190</v>
      </c>
      <c r="B78" s="5" t="s">
        <v>52</v>
      </c>
      <c r="C78" s="5" t="s">
        <v>191</v>
      </c>
      <c r="D78" s="5"/>
      <c r="E78" s="5" t="s">
        <v>17</v>
      </c>
      <c r="G78" s="7" t="s">
        <v>18</v>
      </c>
      <c r="J78" s="5">
        <v>4</v>
      </c>
      <c r="N78" s="13">
        <v>0.315</v>
      </c>
      <c r="O78" s="13">
        <v>0.27400000000000002</v>
      </c>
      <c r="P78" s="13">
        <v>0.53100000000000003</v>
      </c>
      <c r="Q78" s="13">
        <v>0.71559836156315704</v>
      </c>
    </row>
    <row r="79" spans="1:17" x14ac:dyDescent="0.2">
      <c r="A79" t="s">
        <v>192</v>
      </c>
      <c r="B79" s="5" t="s">
        <v>68</v>
      </c>
      <c r="C79" s="5" t="s">
        <v>193</v>
      </c>
      <c r="D79" s="5"/>
      <c r="E79" s="5" t="s">
        <v>17</v>
      </c>
      <c r="G79" s="7" t="s">
        <v>18</v>
      </c>
      <c r="J79" s="5">
        <v>10</v>
      </c>
      <c r="N79" s="13">
        <v>0.64</v>
      </c>
      <c r="O79" s="13">
        <v>0.47199999999999998</v>
      </c>
      <c r="P79" s="13">
        <v>0.29499999999999998</v>
      </c>
      <c r="Q79" s="13">
        <v>0.66744160301118105</v>
      </c>
    </row>
    <row r="80" spans="1:17" x14ac:dyDescent="0.2">
      <c r="A80" t="s">
        <v>194</v>
      </c>
      <c r="B80" s="5" t="s">
        <v>103</v>
      </c>
      <c r="C80" s="6" t="s">
        <v>195</v>
      </c>
      <c r="E80" s="5" t="s">
        <v>17</v>
      </c>
      <c r="F80" s="14" t="s">
        <v>25</v>
      </c>
      <c r="G80" s="7" t="s">
        <v>18</v>
      </c>
      <c r="J80" s="5">
        <v>45</v>
      </c>
      <c r="N80" s="15">
        <v>0.72</v>
      </c>
      <c r="O80" s="15">
        <v>0.16900000000000001</v>
      </c>
      <c r="P80" s="13">
        <v>0.98099999999999998</v>
      </c>
      <c r="Q80" s="13">
        <v>0.84479132071294105</v>
      </c>
    </row>
    <row r="81" spans="1:21" x14ac:dyDescent="0.2">
      <c r="A81" t="s">
        <v>196</v>
      </c>
      <c r="B81" s="5" t="s">
        <v>30</v>
      </c>
      <c r="C81" s="6" t="s">
        <v>84</v>
      </c>
      <c r="E81" s="5" t="s">
        <v>17</v>
      </c>
      <c r="F81" s="14" t="s">
        <v>25</v>
      </c>
      <c r="G81" s="7" t="s">
        <v>18</v>
      </c>
      <c r="J81" s="14"/>
      <c r="N81" s="15">
        <v>0.25</v>
      </c>
      <c r="O81" s="15">
        <v>0.92600000000000005</v>
      </c>
      <c r="P81" s="13">
        <v>0.66500000000000004</v>
      </c>
      <c r="Q81" s="13">
        <v>0.45643750691907398</v>
      </c>
    </row>
    <row r="82" spans="1:21" x14ac:dyDescent="0.2">
      <c r="A82" t="s">
        <v>197</v>
      </c>
      <c r="B82" s="5" t="s">
        <v>90</v>
      </c>
      <c r="C82" s="5" t="s">
        <v>198</v>
      </c>
      <c r="D82" s="5"/>
      <c r="E82" s="5" t="s">
        <v>17</v>
      </c>
      <c r="G82" s="7" t="s">
        <v>18</v>
      </c>
      <c r="J82" s="5">
        <v>12</v>
      </c>
      <c r="N82" s="13">
        <v>0.75700000000000001</v>
      </c>
      <c r="O82" s="13">
        <v>2.8000000000000001E-2</v>
      </c>
      <c r="P82" s="13">
        <v>0.93200000000000005</v>
      </c>
      <c r="Q82" s="13">
        <v>0.601018487767076</v>
      </c>
    </row>
    <row r="83" spans="1:21" x14ac:dyDescent="0.2">
      <c r="A83" t="s">
        <v>199</v>
      </c>
      <c r="B83" s="5" t="s">
        <v>45</v>
      </c>
      <c r="C83" s="5" t="s">
        <v>200</v>
      </c>
      <c r="D83" s="5"/>
      <c r="E83" s="5" t="s">
        <v>17</v>
      </c>
      <c r="F83" s="14" t="s">
        <v>25</v>
      </c>
      <c r="G83" s="7" t="s">
        <v>18</v>
      </c>
      <c r="J83" s="5">
        <v>88</v>
      </c>
      <c r="N83" s="13">
        <v>0.189</v>
      </c>
      <c r="O83" s="13">
        <v>0.90200000000000002</v>
      </c>
      <c r="P83" s="13">
        <v>0.314</v>
      </c>
      <c r="Q83" s="13">
        <v>0.55574006420901101</v>
      </c>
    </row>
    <row r="84" spans="1:21" x14ac:dyDescent="0.2">
      <c r="A84" t="s">
        <v>201</v>
      </c>
      <c r="B84" s="5" t="s">
        <v>183</v>
      </c>
      <c r="C84" s="5" t="s">
        <v>202</v>
      </c>
      <c r="D84" s="5"/>
      <c r="E84" s="5" t="s">
        <v>17</v>
      </c>
      <c r="G84" s="7" t="s">
        <v>18</v>
      </c>
      <c r="J84" s="5">
        <v>12</v>
      </c>
      <c r="N84" s="13">
        <v>0.754</v>
      </c>
      <c r="O84" s="13">
        <v>7.2999999999999995E-2</v>
      </c>
      <c r="P84" s="13">
        <v>0.90900000000000003</v>
      </c>
      <c r="Q84" s="13">
        <v>0.91708181113694198</v>
      </c>
    </row>
    <row r="85" spans="1:21" x14ac:dyDescent="0.2">
      <c r="A85" t="s">
        <v>203</v>
      </c>
      <c r="B85" s="5" t="s">
        <v>136</v>
      </c>
      <c r="C85" s="6" t="s">
        <v>204</v>
      </c>
      <c r="E85" s="5" t="s">
        <v>17</v>
      </c>
      <c r="F85" s="14" t="s">
        <v>25</v>
      </c>
      <c r="G85" s="7" t="s">
        <v>18</v>
      </c>
      <c r="J85" s="5">
        <v>97</v>
      </c>
      <c r="N85" s="15">
        <v>0.85</v>
      </c>
      <c r="O85" s="15">
        <v>0.84499999999999997</v>
      </c>
      <c r="P85" s="13">
        <v>0.68200000000000005</v>
      </c>
      <c r="Q85" s="13">
        <v>0.55020480460533505</v>
      </c>
    </row>
    <row r="86" spans="1:21" x14ac:dyDescent="0.2">
      <c r="A86" t="s">
        <v>205</v>
      </c>
      <c r="B86" s="5" t="s">
        <v>95</v>
      </c>
      <c r="C86" s="5" t="s">
        <v>206</v>
      </c>
      <c r="D86" s="5"/>
      <c r="E86" s="5" t="s">
        <v>17</v>
      </c>
      <c r="G86" s="7" t="s">
        <v>18</v>
      </c>
      <c r="J86" s="5">
        <v>27</v>
      </c>
      <c r="N86" s="13">
        <v>0.29199999999999998</v>
      </c>
      <c r="O86" s="13">
        <v>0.91900000000000004</v>
      </c>
      <c r="P86" s="13">
        <v>0.20499999999999999</v>
      </c>
      <c r="Q86" s="13">
        <v>0.533045499833942</v>
      </c>
    </row>
    <row r="87" spans="1:21" x14ac:dyDescent="0.2">
      <c r="A87" t="s">
        <v>207</v>
      </c>
      <c r="B87" s="5" t="s">
        <v>15</v>
      </c>
      <c r="C87" s="5" t="s">
        <v>16</v>
      </c>
      <c r="D87" s="5"/>
      <c r="E87" s="5" t="s">
        <v>17</v>
      </c>
      <c r="G87" t="s">
        <v>18</v>
      </c>
      <c r="J87" s="5">
        <v>36</v>
      </c>
      <c r="N87" s="13">
        <v>0.47099999999999997</v>
      </c>
      <c r="O87" s="13">
        <v>1.7000000000000001E-2</v>
      </c>
      <c r="P87" s="13">
        <v>1</v>
      </c>
      <c r="Q87" s="13">
        <v>0.84147016495073601</v>
      </c>
    </row>
    <row r="88" spans="1:21" x14ac:dyDescent="0.2">
      <c r="A88" t="s">
        <v>208</v>
      </c>
      <c r="B88" s="5" t="s">
        <v>45</v>
      </c>
      <c r="C88" s="6" t="s">
        <v>172</v>
      </c>
      <c r="E88" s="5" t="s">
        <v>17</v>
      </c>
      <c r="F88" s="14" t="s">
        <v>25</v>
      </c>
      <c r="G88" s="7" t="s">
        <v>18</v>
      </c>
      <c r="J88" s="5">
        <v>104</v>
      </c>
      <c r="N88" s="15">
        <v>0.51</v>
      </c>
      <c r="O88" s="15">
        <v>0.13400000000000001</v>
      </c>
      <c r="P88" s="13">
        <v>0.80600000000000005</v>
      </c>
      <c r="Q88" s="13">
        <v>0.63378722462083403</v>
      </c>
    </row>
    <row r="89" spans="1:21" x14ac:dyDescent="0.2">
      <c r="A89" t="s">
        <v>209</v>
      </c>
      <c r="B89" s="5" t="s">
        <v>15</v>
      </c>
      <c r="C89" s="5" t="s">
        <v>210</v>
      </c>
      <c r="D89" s="5"/>
      <c r="E89" s="5" t="s">
        <v>17</v>
      </c>
      <c r="G89" s="7" t="s">
        <v>18</v>
      </c>
      <c r="J89" s="5">
        <v>2</v>
      </c>
      <c r="N89" s="13">
        <v>0.42399999999999999</v>
      </c>
      <c r="O89" s="13">
        <v>0.22700000000000001</v>
      </c>
      <c r="P89" s="13">
        <v>0.64500000000000002</v>
      </c>
      <c r="Q89" s="13">
        <v>0.87346396545997995</v>
      </c>
      <c r="U89" s="18"/>
    </row>
    <row r="90" spans="1:21" x14ac:dyDescent="0.2">
      <c r="A90" t="s">
        <v>211</v>
      </c>
      <c r="B90" s="5" t="s">
        <v>42</v>
      </c>
      <c r="C90" s="16" t="s">
        <v>212</v>
      </c>
      <c r="D90" s="6" t="s">
        <v>213</v>
      </c>
      <c r="E90" s="5" t="s">
        <v>17</v>
      </c>
      <c r="G90" s="7" t="s">
        <v>18</v>
      </c>
      <c r="J90" s="5">
        <v>51</v>
      </c>
      <c r="K90" s="5">
        <v>50</v>
      </c>
      <c r="M90" s="5" t="s">
        <v>214</v>
      </c>
      <c r="N90" s="15">
        <v>0.13</v>
      </c>
      <c r="O90" s="15">
        <v>0.247</v>
      </c>
      <c r="P90" s="13">
        <v>0.55100000000000005</v>
      </c>
      <c r="Q90" s="13">
        <v>0.92726668880770502</v>
      </c>
    </row>
    <row r="91" spans="1:21" x14ac:dyDescent="0.2">
      <c r="A91" t="s">
        <v>215</v>
      </c>
      <c r="B91" s="5" t="s">
        <v>15</v>
      </c>
      <c r="C91" s="6" t="s">
        <v>210</v>
      </c>
      <c r="E91" s="5" t="s">
        <v>17</v>
      </c>
      <c r="F91" s="14" t="s">
        <v>25</v>
      </c>
      <c r="G91" s="7" t="s">
        <v>18</v>
      </c>
      <c r="J91" s="5">
        <v>73</v>
      </c>
      <c r="N91" s="15">
        <v>0.42</v>
      </c>
      <c r="O91" s="15">
        <v>0.22700000000000001</v>
      </c>
      <c r="P91" s="13">
        <v>0.64500000000000002</v>
      </c>
      <c r="Q91" s="13">
        <v>0.87346396545997995</v>
      </c>
    </row>
    <row r="92" spans="1:21" x14ac:dyDescent="0.2">
      <c r="A92" t="s">
        <v>216</v>
      </c>
      <c r="B92" s="5" t="s">
        <v>15</v>
      </c>
      <c r="C92" s="5" t="s">
        <v>217</v>
      </c>
      <c r="D92" s="5"/>
      <c r="E92" s="5" t="s">
        <v>17</v>
      </c>
      <c r="G92" s="7" t="s">
        <v>18</v>
      </c>
      <c r="J92" s="5">
        <v>8</v>
      </c>
      <c r="N92" s="13">
        <v>0.33300000000000002</v>
      </c>
      <c r="O92" s="13">
        <v>0.495</v>
      </c>
      <c r="P92" s="13">
        <v>0.60899999999999999</v>
      </c>
      <c r="Q92" s="13">
        <v>0.72965792095649196</v>
      </c>
    </row>
    <row r="93" spans="1:21" x14ac:dyDescent="0.2">
      <c r="A93" t="s">
        <v>218</v>
      </c>
      <c r="B93" s="5" t="s">
        <v>15</v>
      </c>
      <c r="C93" s="6" t="s">
        <v>219</v>
      </c>
      <c r="E93" s="5" t="s">
        <v>17</v>
      </c>
      <c r="F93" s="14" t="s">
        <v>25</v>
      </c>
      <c r="G93" s="7" t="s">
        <v>18</v>
      </c>
      <c r="J93" s="5">
        <v>48</v>
      </c>
      <c r="N93" s="15">
        <v>0.97</v>
      </c>
      <c r="O93" s="15">
        <v>8.3000000000000004E-2</v>
      </c>
      <c r="P93" s="13">
        <v>0.99399999999999999</v>
      </c>
      <c r="Q93" s="13">
        <v>0.86183992029226097</v>
      </c>
    </row>
    <row r="94" spans="1:21" x14ac:dyDescent="0.2">
      <c r="A94" t="s">
        <v>220</v>
      </c>
      <c r="B94" s="5" t="s">
        <v>30</v>
      </c>
      <c r="C94" s="16" t="s">
        <v>221</v>
      </c>
      <c r="D94" s="6" t="s">
        <v>222</v>
      </c>
      <c r="E94" s="5" t="s">
        <v>17</v>
      </c>
      <c r="F94" s="14" t="s">
        <v>25</v>
      </c>
      <c r="G94" s="7" t="s">
        <v>18</v>
      </c>
      <c r="J94" s="14"/>
      <c r="N94" s="15">
        <v>0.54</v>
      </c>
      <c r="O94" s="15">
        <v>0.52600000000000002</v>
      </c>
      <c r="P94" s="13">
        <v>0.97099999999999997</v>
      </c>
      <c r="Q94" s="13">
        <v>0.57777039743163905</v>
      </c>
    </row>
    <row r="95" spans="1:21" x14ac:dyDescent="0.2">
      <c r="A95" t="s">
        <v>223</v>
      </c>
      <c r="B95" s="5" t="s">
        <v>90</v>
      </c>
      <c r="C95" s="5" t="s">
        <v>198</v>
      </c>
      <c r="D95" s="5"/>
      <c r="E95" s="5" t="s">
        <v>17</v>
      </c>
      <c r="G95" s="7" t="s">
        <v>18</v>
      </c>
      <c r="J95" s="5">
        <v>6</v>
      </c>
      <c r="N95" s="13">
        <v>0.75700000000000001</v>
      </c>
      <c r="O95" s="13">
        <v>2.8000000000000001E-2</v>
      </c>
      <c r="P95" s="13">
        <v>0.93200000000000005</v>
      </c>
      <c r="Q95" s="13">
        <v>0.601018487767076</v>
      </c>
    </row>
    <row r="96" spans="1:21" x14ac:dyDescent="0.2">
      <c r="A96" t="s">
        <v>224</v>
      </c>
      <c r="B96" s="5" t="s">
        <v>225</v>
      </c>
      <c r="C96" s="5" t="s">
        <v>226</v>
      </c>
      <c r="D96" s="5"/>
      <c r="E96" s="5" t="s">
        <v>17</v>
      </c>
      <c r="G96" t="s">
        <v>26</v>
      </c>
      <c r="J96" s="5">
        <v>28</v>
      </c>
      <c r="N96" s="13">
        <v>0.442</v>
      </c>
      <c r="O96" s="13">
        <v>0.79900000000000004</v>
      </c>
      <c r="P96" s="13">
        <v>0.308</v>
      </c>
      <c r="Q96" s="13">
        <v>0.38248643861397102</v>
      </c>
    </row>
    <row r="97" spans="1:17" x14ac:dyDescent="0.2">
      <c r="A97" t="s">
        <v>227</v>
      </c>
      <c r="B97" s="5" t="s">
        <v>15</v>
      </c>
      <c r="C97" s="6" t="s">
        <v>228</v>
      </c>
      <c r="E97" s="5" t="s">
        <v>17</v>
      </c>
      <c r="F97" s="14" t="s">
        <v>25</v>
      </c>
      <c r="G97" s="7" t="s">
        <v>18</v>
      </c>
      <c r="J97" s="14"/>
      <c r="N97" s="15">
        <v>0.45</v>
      </c>
      <c r="O97" s="15">
        <v>0.254</v>
      </c>
      <c r="P97" s="13">
        <v>0.91300000000000003</v>
      </c>
      <c r="Q97" s="13">
        <v>0.88508801062769804</v>
      </c>
    </row>
    <row r="98" spans="1:17" x14ac:dyDescent="0.2">
      <c r="A98" t="s">
        <v>229</v>
      </c>
      <c r="B98" s="5" t="s">
        <v>42</v>
      </c>
      <c r="C98" s="6" t="s">
        <v>88</v>
      </c>
      <c r="E98" s="5" t="s">
        <v>17</v>
      </c>
      <c r="F98" s="14" t="s">
        <v>25</v>
      </c>
      <c r="G98" s="7" t="s">
        <v>18</v>
      </c>
      <c r="J98" s="5">
        <v>204</v>
      </c>
      <c r="N98" s="15">
        <v>0.77</v>
      </c>
      <c r="O98" s="15">
        <v>0.38100000000000001</v>
      </c>
      <c r="P98" s="13">
        <v>0.32300000000000001</v>
      </c>
      <c r="Q98" s="13">
        <v>0.81634008635004895</v>
      </c>
    </row>
    <row r="99" spans="1:17" x14ac:dyDescent="0.2">
      <c r="A99" t="s">
        <v>230</v>
      </c>
      <c r="B99" s="5" t="s">
        <v>42</v>
      </c>
      <c r="C99" s="6" t="s">
        <v>231</v>
      </c>
      <c r="E99" s="5" t="s">
        <v>17</v>
      </c>
      <c r="F99" s="14" t="s">
        <v>25</v>
      </c>
      <c r="G99" s="7" t="s">
        <v>18</v>
      </c>
      <c r="J99" s="5">
        <v>68</v>
      </c>
      <c r="N99" s="15">
        <v>0.5</v>
      </c>
      <c r="O99" s="15">
        <v>0.56699999999999995</v>
      </c>
      <c r="P99" s="13">
        <v>0.17899999999999999</v>
      </c>
      <c r="Q99" s="13">
        <v>0.45045942654710502</v>
      </c>
    </row>
    <row r="100" spans="1:17" x14ac:dyDescent="0.2">
      <c r="A100" t="s">
        <v>232</v>
      </c>
      <c r="B100" s="5" t="s">
        <v>45</v>
      </c>
      <c r="C100" s="5" t="s">
        <v>172</v>
      </c>
      <c r="D100" s="5"/>
      <c r="E100" s="5" t="s">
        <v>17</v>
      </c>
      <c r="G100" t="s">
        <v>26</v>
      </c>
      <c r="J100" s="5">
        <v>50</v>
      </c>
      <c r="N100" s="13">
        <v>0.50700000000000001</v>
      </c>
      <c r="O100" s="13">
        <v>0.13400000000000001</v>
      </c>
      <c r="P100" s="13">
        <v>0.80600000000000005</v>
      </c>
      <c r="Q100" s="13">
        <v>0.63378722462083403</v>
      </c>
    </row>
    <row r="101" spans="1:17" x14ac:dyDescent="0.2">
      <c r="A101" t="s">
        <v>233</v>
      </c>
      <c r="B101" s="5" t="s">
        <v>30</v>
      </c>
      <c r="C101" s="6" t="s">
        <v>120</v>
      </c>
      <c r="E101" s="5" t="s">
        <v>17</v>
      </c>
      <c r="F101" s="14" t="s">
        <v>25</v>
      </c>
      <c r="G101" s="7" t="s">
        <v>18</v>
      </c>
      <c r="J101" s="14"/>
      <c r="N101" s="15">
        <v>0.22</v>
      </c>
      <c r="O101" s="15">
        <v>0.59899999999999998</v>
      </c>
      <c r="P101" s="13">
        <v>0.98799999999999999</v>
      </c>
      <c r="Q101" s="13">
        <v>0.614745931584191</v>
      </c>
    </row>
    <row r="102" spans="1:17" x14ac:dyDescent="0.2">
      <c r="A102" t="s">
        <v>234</v>
      </c>
      <c r="B102" s="5" t="s">
        <v>42</v>
      </c>
      <c r="C102" s="6" t="s">
        <v>235</v>
      </c>
      <c r="E102" s="5" t="s">
        <v>17</v>
      </c>
      <c r="F102" s="14" t="s">
        <v>25</v>
      </c>
      <c r="G102" t="s">
        <v>236</v>
      </c>
      <c r="H102" s="7" t="s">
        <v>39</v>
      </c>
      <c r="J102" s="5">
        <v>75</v>
      </c>
      <c r="N102" s="15">
        <v>0.14000000000000001</v>
      </c>
      <c r="O102" s="15">
        <v>0.14599999999999999</v>
      </c>
      <c r="P102" s="13">
        <v>0.77500000000000002</v>
      </c>
      <c r="Q102" s="13">
        <v>0.77416140817004298</v>
      </c>
    </row>
    <row r="103" spans="1:17" x14ac:dyDescent="0.2">
      <c r="A103" t="s">
        <v>237</v>
      </c>
      <c r="B103" s="5" t="s">
        <v>42</v>
      </c>
      <c r="C103" s="6" t="s">
        <v>238</v>
      </c>
      <c r="E103" s="5" t="s">
        <v>17</v>
      </c>
      <c r="F103" s="5" t="s">
        <v>25</v>
      </c>
      <c r="G103" t="s">
        <v>105</v>
      </c>
      <c r="J103" s="14">
        <v>92</v>
      </c>
      <c r="K103" s="14">
        <v>16</v>
      </c>
      <c r="N103" s="15">
        <v>0.3</v>
      </c>
      <c r="O103" s="15">
        <v>2.1999999999999999E-2</v>
      </c>
      <c r="P103" s="13">
        <v>0.93600000000000005</v>
      </c>
      <c r="Q103" s="13">
        <v>0.94752573895715697</v>
      </c>
    </row>
    <row r="104" spans="1:17" x14ac:dyDescent="0.2">
      <c r="A104" t="s">
        <v>239</v>
      </c>
      <c r="B104" s="5" t="s">
        <v>15</v>
      </c>
      <c r="C104" s="5" t="s">
        <v>28</v>
      </c>
      <c r="D104" s="5"/>
      <c r="E104" s="5" t="s">
        <v>17</v>
      </c>
      <c r="G104" s="7" t="s">
        <v>18</v>
      </c>
      <c r="J104" s="5">
        <v>9</v>
      </c>
      <c r="N104" s="13">
        <v>0.76200000000000001</v>
      </c>
      <c r="O104" s="13">
        <v>0.01</v>
      </c>
      <c r="P104" s="13">
        <v>0.95799999999999996</v>
      </c>
      <c r="Q104" s="13">
        <v>0.82896047824642904</v>
      </c>
    </row>
    <row r="105" spans="1:17" x14ac:dyDescent="0.2">
      <c r="A105" t="s">
        <v>240</v>
      </c>
      <c r="B105" s="5" t="s">
        <v>15</v>
      </c>
      <c r="C105" s="6" t="s">
        <v>16</v>
      </c>
      <c r="E105" s="5" t="s">
        <v>17</v>
      </c>
      <c r="F105" s="14" t="s">
        <v>25</v>
      </c>
      <c r="G105" s="7" t="s">
        <v>18</v>
      </c>
      <c r="J105" s="5">
        <v>111</v>
      </c>
      <c r="N105" s="15">
        <v>0.47</v>
      </c>
      <c r="O105" s="15">
        <v>1.7000000000000001E-2</v>
      </c>
      <c r="P105" s="13">
        <v>1</v>
      </c>
      <c r="Q105" s="13">
        <v>0.84147016495073601</v>
      </c>
    </row>
    <row r="106" spans="1:17" x14ac:dyDescent="0.2">
      <c r="A106" t="s">
        <v>241</v>
      </c>
      <c r="B106" s="5" t="s">
        <v>242</v>
      </c>
      <c r="C106" s="6" t="s">
        <v>243</v>
      </c>
      <c r="E106" s="5" t="s">
        <v>17</v>
      </c>
      <c r="F106" s="14" t="s">
        <v>25</v>
      </c>
      <c r="G106" s="7" t="s">
        <v>18</v>
      </c>
      <c r="J106" s="5">
        <v>198</v>
      </c>
      <c r="N106" s="15">
        <v>0.78</v>
      </c>
      <c r="O106" s="15">
        <v>0.80700000000000005</v>
      </c>
      <c r="P106" s="13">
        <v>9.5000000000000001E-2</v>
      </c>
      <c r="Q106" s="13">
        <v>7.6607992914867695E-2</v>
      </c>
    </row>
    <row r="107" spans="1:17" x14ac:dyDescent="0.2">
      <c r="A107" t="s">
        <v>244</v>
      </c>
      <c r="B107" s="5" t="s">
        <v>15</v>
      </c>
      <c r="C107" s="5" t="s">
        <v>16</v>
      </c>
      <c r="D107" s="5"/>
      <c r="E107" s="5" t="s">
        <v>17</v>
      </c>
      <c r="G107" s="7" t="s">
        <v>18</v>
      </c>
      <c r="J107" s="5">
        <v>293</v>
      </c>
      <c r="N107" s="13">
        <v>0.47099999999999997</v>
      </c>
      <c r="O107" s="13">
        <v>1.7000000000000001E-2</v>
      </c>
      <c r="P107" s="13">
        <v>1</v>
      </c>
      <c r="Q107" s="13">
        <v>0.84147016495073601</v>
      </c>
    </row>
    <row r="108" spans="1:17" x14ac:dyDescent="0.2">
      <c r="A108" t="s">
        <v>245</v>
      </c>
      <c r="B108" s="5" t="s">
        <v>95</v>
      </c>
      <c r="C108" s="5" t="s">
        <v>246</v>
      </c>
      <c r="D108" s="5"/>
      <c r="E108" s="5" t="s">
        <v>17</v>
      </c>
      <c r="G108" s="7" t="s">
        <v>18</v>
      </c>
      <c r="J108" s="5">
        <v>40</v>
      </c>
      <c r="N108" s="13">
        <v>0.505</v>
      </c>
      <c r="O108" s="13">
        <v>0.29399999999999998</v>
      </c>
      <c r="P108" s="13">
        <v>0.215</v>
      </c>
      <c r="Q108" s="13">
        <v>0.87534595372522905</v>
      </c>
    </row>
    <row r="109" spans="1:17" x14ac:dyDescent="0.2">
      <c r="A109" t="s">
        <v>247</v>
      </c>
      <c r="B109" s="5" t="s">
        <v>42</v>
      </c>
      <c r="C109" s="5" t="s">
        <v>109</v>
      </c>
      <c r="D109" s="5"/>
      <c r="E109" s="5" t="s">
        <v>17</v>
      </c>
      <c r="G109" s="7" t="s">
        <v>18</v>
      </c>
      <c r="J109" s="5">
        <v>69</v>
      </c>
      <c r="N109" s="13">
        <v>0.50800000000000001</v>
      </c>
      <c r="O109" s="13">
        <v>6.3E-2</v>
      </c>
      <c r="P109" s="13">
        <v>0.92100000000000004</v>
      </c>
      <c r="Q109" s="13">
        <v>0.83217092881656096</v>
      </c>
    </row>
    <row r="110" spans="1:17" x14ac:dyDescent="0.2">
      <c r="A110" t="s">
        <v>248</v>
      </c>
      <c r="B110" s="5" t="s">
        <v>15</v>
      </c>
      <c r="C110" s="6" t="s">
        <v>50</v>
      </c>
      <c r="E110" s="5" t="s">
        <v>17</v>
      </c>
      <c r="G110" s="7" t="s">
        <v>18</v>
      </c>
      <c r="J110" s="5">
        <v>45</v>
      </c>
      <c r="N110" s="15">
        <v>0.77</v>
      </c>
      <c r="O110" s="15">
        <v>0.214</v>
      </c>
      <c r="P110" s="13">
        <v>0.98399999999999999</v>
      </c>
      <c r="Q110" s="13">
        <v>0.79264917524631895</v>
      </c>
    </row>
    <row r="111" spans="1:17" x14ac:dyDescent="0.2">
      <c r="A111" t="s">
        <v>249</v>
      </c>
      <c r="B111" s="5" t="s">
        <v>95</v>
      </c>
      <c r="C111" s="5" t="s">
        <v>250</v>
      </c>
      <c r="D111" s="5"/>
      <c r="E111" s="5" t="s">
        <v>17</v>
      </c>
      <c r="G111" s="7" t="s">
        <v>18</v>
      </c>
      <c r="J111" s="5">
        <v>22</v>
      </c>
      <c r="N111" s="13">
        <v>0.58399999999999996</v>
      </c>
      <c r="O111" s="13">
        <v>0.84299999999999997</v>
      </c>
      <c r="P111" s="13">
        <v>0.55300000000000005</v>
      </c>
      <c r="Q111" s="13">
        <v>0.64862172035868404</v>
      </c>
    </row>
    <row r="112" spans="1:17" x14ac:dyDescent="0.2">
      <c r="A112" t="s">
        <v>251</v>
      </c>
      <c r="B112" s="5" t="s">
        <v>145</v>
      </c>
      <c r="C112" s="14">
        <v>99227</v>
      </c>
      <c r="D112" s="19" t="s">
        <v>252</v>
      </c>
      <c r="E112" s="5" t="s">
        <v>17</v>
      </c>
      <c r="G112" s="7" t="s">
        <v>18</v>
      </c>
      <c r="J112" s="5">
        <v>7</v>
      </c>
      <c r="N112" s="17"/>
      <c r="O112" s="17">
        <v>0.376</v>
      </c>
      <c r="P112" s="17">
        <v>0.505</v>
      </c>
      <c r="Q112" s="13">
        <v>0.72058009520646504</v>
      </c>
    </row>
    <row r="113" spans="1:17" x14ac:dyDescent="0.2">
      <c r="A113" t="s">
        <v>253</v>
      </c>
      <c r="B113" s="5" t="s">
        <v>15</v>
      </c>
      <c r="C113" s="6" t="s">
        <v>118</v>
      </c>
      <c r="E113" s="5" t="s">
        <v>17</v>
      </c>
      <c r="F113" s="14" t="s">
        <v>25</v>
      </c>
      <c r="G113" s="7" t="s">
        <v>18</v>
      </c>
      <c r="J113" s="5">
        <v>19</v>
      </c>
      <c r="N113" s="15">
        <v>0.8</v>
      </c>
      <c r="O113" s="15">
        <v>8.2000000000000003E-2</v>
      </c>
      <c r="P113" s="13">
        <v>0.73799999999999999</v>
      </c>
      <c r="Q113" s="13">
        <v>0.89649064541126899</v>
      </c>
    </row>
    <row r="114" spans="1:17" x14ac:dyDescent="0.2">
      <c r="A114" t="s">
        <v>254</v>
      </c>
      <c r="B114" s="5" t="s">
        <v>42</v>
      </c>
      <c r="C114" s="6" t="s">
        <v>98</v>
      </c>
      <c r="E114" s="5" t="s">
        <v>17</v>
      </c>
      <c r="F114" s="14" t="s">
        <v>25</v>
      </c>
      <c r="G114" s="7" t="s">
        <v>18</v>
      </c>
      <c r="J114" s="5">
        <v>34</v>
      </c>
      <c r="N114" s="15">
        <v>0.39</v>
      </c>
      <c r="O114" s="15">
        <v>6.7000000000000004E-2</v>
      </c>
      <c r="P114" s="13">
        <v>0.88700000000000001</v>
      </c>
      <c r="Q114" s="13">
        <v>0.95549651278644898</v>
      </c>
    </row>
    <row r="115" spans="1:17" x14ac:dyDescent="0.2">
      <c r="A115" t="s">
        <v>255</v>
      </c>
      <c r="B115" s="5" t="s">
        <v>136</v>
      </c>
      <c r="C115" s="14">
        <v>75518</v>
      </c>
      <c r="D115" s="20" t="s">
        <v>256</v>
      </c>
      <c r="E115" s="5" t="s">
        <v>17</v>
      </c>
      <c r="G115" s="7" t="s">
        <v>18</v>
      </c>
      <c r="J115" s="14">
        <v>533</v>
      </c>
      <c r="K115" s="14">
        <v>37</v>
      </c>
      <c r="M115" s="5" t="s">
        <v>257</v>
      </c>
      <c r="N115" s="17"/>
      <c r="O115" s="17">
        <v>0.84499999999999997</v>
      </c>
      <c r="P115" s="17">
        <v>0.68200000000000005</v>
      </c>
      <c r="Q115" s="13">
        <v>0.55020480460533505</v>
      </c>
    </row>
    <row r="116" spans="1:17" x14ac:dyDescent="0.2">
      <c r="A116" t="s">
        <v>258</v>
      </c>
      <c r="B116" s="5" t="s">
        <v>64</v>
      </c>
      <c r="C116" s="5" t="s">
        <v>65</v>
      </c>
      <c r="D116" s="5"/>
      <c r="E116" s="5" t="s">
        <v>17</v>
      </c>
      <c r="G116" s="7" t="s">
        <v>18</v>
      </c>
      <c r="J116" s="14" t="s">
        <v>259</v>
      </c>
      <c r="N116" s="13">
        <v>0.86499999999999999</v>
      </c>
      <c r="O116" s="13">
        <v>0.32800000000000001</v>
      </c>
      <c r="P116" s="13">
        <v>0.88300000000000001</v>
      </c>
      <c r="Q116" s="13">
        <v>0.618731318498837</v>
      </c>
    </row>
    <row r="117" spans="1:17" x14ac:dyDescent="0.2">
      <c r="A117" t="s">
        <v>260</v>
      </c>
      <c r="B117" s="5" t="s">
        <v>55</v>
      </c>
      <c r="C117" s="5" t="s">
        <v>56</v>
      </c>
      <c r="D117" s="5"/>
      <c r="E117" s="5" t="s">
        <v>17</v>
      </c>
      <c r="G117" t="s">
        <v>26</v>
      </c>
      <c r="J117" s="5">
        <v>31</v>
      </c>
      <c r="N117" s="13">
        <v>0.82099999999999995</v>
      </c>
      <c r="O117" s="13">
        <v>0.34599999999999997</v>
      </c>
      <c r="P117" s="13">
        <v>0.115</v>
      </c>
      <c r="Q117" s="13">
        <v>0.62482010406288002</v>
      </c>
    </row>
    <row r="118" spans="1:17" x14ac:dyDescent="0.2">
      <c r="A118" t="s">
        <v>261</v>
      </c>
      <c r="B118" s="5" t="s">
        <v>103</v>
      </c>
      <c r="C118" s="5" t="s">
        <v>175</v>
      </c>
      <c r="D118" s="5"/>
      <c r="E118" s="5" t="s">
        <v>17</v>
      </c>
      <c r="G118" s="7" t="s">
        <v>18</v>
      </c>
      <c r="J118" s="5">
        <v>20</v>
      </c>
      <c r="N118" s="13">
        <v>0.85599999999999998</v>
      </c>
      <c r="O118" s="13">
        <v>2.1000000000000001E-2</v>
      </c>
      <c r="P118" s="13">
        <v>0.995</v>
      </c>
      <c r="Q118" s="13">
        <v>0.79740949850547904</v>
      </c>
    </row>
    <row r="119" spans="1:17" x14ac:dyDescent="0.2">
      <c r="A119" t="s">
        <v>262</v>
      </c>
      <c r="B119" s="5" t="s">
        <v>42</v>
      </c>
      <c r="C119" s="6" t="s">
        <v>238</v>
      </c>
      <c r="E119" s="5" t="s">
        <v>17</v>
      </c>
      <c r="F119" s="14" t="s">
        <v>25</v>
      </c>
      <c r="G119" t="s">
        <v>26</v>
      </c>
      <c r="J119" s="5">
        <v>58</v>
      </c>
      <c r="N119" s="15">
        <v>0.3</v>
      </c>
      <c r="O119" s="15">
        <v>2.1999999999999999E-2</v>
      </c>
      <c r="P119" s="13">
        <v>0.93600000000000005</v>
      </c>
      <c r="Q119" s="13">
        <v>0.94752573895715697</v>
      </c>
    </row>
    <row r="120" spans="1:17" x14ac:dyDescent="0.2">
      <c r="A120" t="s">
        <v>263</v>
      </c>
      <c r="B120" s="5" t="s">
        <v>15</v>
      </c>
      <c r="C120" s="6" t="s">
        <v>264</v>
      </c>
      <c r="E120" s="5" t="s">
        <v>17</v>
      </c>
      <c r="F120" s="5" t="s">
        <v>25</v>
      </c>
      <c r="G120" t="s">
        <v>39</v>
      </c>
      <c r="J120" s="5">
        <v>69</v>
      </c>
      <c r="N120" s="15">
        <v>0.16</v>
      </c>
      <c r="O120" s="15">
        <v>0.68</v>
      </c>
      <c r="P120" s="13">
        <v>0.76300000000000001</v>
      </c>
      <c r="Q120" s="13">
        <v>0.76010184877670695</v>
      </c>
    </row>
    <row r="121" spans="1:17" x14ac:dyDescent="0.2">
      <c r="A121" t="s">
        <v>265</v>
      </c>
      <c r="B121" s="5" t="s">
        <v>15</v>
      </c>
      <c r="C121" s="6" t="s">
        <v>16</v>
      </c>
      <c r="E121" s="5" t="s">
        <v>17</v>
      </c>
      <c r="F121" s="14" t="s">
        <v>25</v>
      </c>
      <c r="G121" s="7" t="s">
        <v>18</v>
      </c>
      <c r="J121" s="5">
        <v>192</v>
      </c>
      <c r="N121" s="15">
        <v>0.47</v>
      </c>
      <c r="O121" s="15">
        <v>1.7000000000000001E-2</v>
      </c>
      <c r="P121" s="13">
        <v>1</v>
      </c>
      <c r="Q121" s="13">
        <v>0.84147016495073601</v>
      </c>
    </row>
    <row r="122" spans="1:17" x14ac:dyDescent="0.2">
      <c r="A122" t="s">
        <v>266</v>
      </c>
      <c r="B122" s="5" t="s">
        <v>15</v>
      </c>
      <c r="C122" s="6" t="s">
        <v>16</v>
      </c>
      <c r="E122" s="5" t="s">
        <v>17</v>
      </c>
      <c r="F122" s="14" t="s">
        <v>25</v>
      </c>
      <c r="G122" s="7" t="s">
        <v>18</v>
      </c>
      <c r="J122" s="5">
        <v>99</v>
      </c>
      <c r="N122" s="15">
        <v>0.47</v>
      </c>
      <c r="O122" s="15">
        <v>1.7000000000000001E-2</v>
      </c>
      <c r="P122" s="13">
        <v>1</v>
      </c>
      <c r="Q122" s="13">
        <v>0.84147016495073601</v>
      </c>
    </row>
    <row r="123" spans="1:17" x14ac:dyDescent="0.2">
      <c r="A123" t="s">
        <v>267</v>
      </c>
      <c r="B123" s="5" t="s">
        <v>42</v>
      </c>
      <c r="C123" s="6" t="s">
        <v>268</v>
      </c>
      <c r="E123" s="5" t="s">
        <v>17</v>
      </c>
      <c r="F123" s="14" t="s">
        <v>25</v>
      </c>
      <c r="G123" s="7" t="s">
        <v>18</v>
      </c>
      <c r="J123" s="5">
        <v>125</v>
      </c>
      <c r="N123" s="15">
        <v>0.63</v>
      </c>
      <c r="O123" s="15">
        <v>1.4E-2</v>
      </c>
      <c r="P123" s="13">
        <v>0.92900000000000005</v>
      </c>
      <c r="Q123" s="13">
        <v>0.94697221299678902</v>
      </c>
    </row>
    <row r="124" spans="1:17" x14ac:dyDescent="0.2">
      <c r="A124" t="s">
        <v>269</v>
      </c>
      <c r="B124" s="5" t="s">
        <v>42</v>
      </c>
      <c r="C124" s="6" t="s">
        <v>98</v>
      </c>
      <c r="E124" s="5" t="s">
        <v>17</v>
      </c>
      <c r="F124" s="5" t="s">
        <v>25</v>
      </c>
      <c r="G124" t="s">
        <v>39</v>
      </c>
      <c r="J124" s="5">
        <v>16</v>
      </c>
      <c r="N124" s="15">
        <v>0.39</v>
      </c>
      <c r="O124" s="15">
        <v>6.7000000000000004E-2</v>
      </c>
      <c r="P124" s="13">
        <v>0.88700000000000001</v>
      </c>
      <c r="Q124" s="13">
        <v>0.95549651278644898</v>
      </c>
    </row>
    <row r="125" spans="1:17" x14ac:dyDescent="0.2">
      <c r="A125" t="s">
        <v>270</v>
      </c>
      <c r="B125" s="5" t="s">
        <v>15</v>
      </c>
      <c r="C125" s="5" t="s">
        <v>271</v>
      </c>
      <c r="D125" s="5"/>
      <c r="E125" s="5" t="s">
        <v>17</v>
      </c>
      <c r="G125" s="7" t="s">
        <v>18</v>
      </c>
      <c r="J125" s="5">
        <v>48</v>
      </c>
      <c r="N125" s="13">
        <v>0.47899999999999998</v>
      </c>
      <c r="O125" s="13">
        <v>7.9000000000000001E-2</v>
      </c>
      <c r="P125" s="13">
        <v>0.90500000000000003</v>
      </c>
      <c r="Q125" s="13">
        <v>0.830510350935458</v>
      </c>
    </row>
    <row r="126" spans="1:17" x14ac:dyDescent="0.2">
      <c r="A126" t="s">
        <v>272</v>
      </c>
      <c r="B126" s="5" t="s">
        <v>273</v>
      </c>
      <c r="C126" s="6" t="s">
        <v>274</v>
      </c>
      <c r="E126" s="5" t="s">
        <v>17</v>
      </c>
      <c r="F126" s="14" t="s">
        <v>25</v>
      </c>
      <c r="G126" s="7" t="s">
        <v>18</v>
      </c>
      <c r="J126" s="5">
        <v>74</v>
      </c>
      <c r="N126" s="15">
        <v>0.28000000000000003</v>
      </c>
      <c r="O126" s="15">
        <v>0.61</v>
      </c>
      <c r="P126" s="13">
        <v>0.20399999999999999</v>
      </c>
      <c r="Q126" s="13">
        <v>0.27798073729657902</v>
      </c>
    </row>
    <row r="127" spans="1:17" x14ac:dyDescent="0.2">
      <c r="A127" t="s">
        <v>275</v>
      </c>
      <c r="B127" s="5" t="s">
        <v>52</v>
      </c>
      <c r="C127" s="5" t="s">
        <v>191</v>
      </c>
      <c r="D127" s="5"/>
      <c r="E127" s="5" t="s">
        <v>17</v>
      </c>
      <c r="G127" s="7" t="s">
        <v>18</v>
      </c>
      <c r="J127" s="5">
        <v>93</v>
      </c>
      <c r="N127" s="13">
        <v>0.315</v>
      </c>
      <c r="O127" s="13">
        <v>0.27400000000000002</v>
      </c>
      <c r="P127" s="13">
        <v>0.53100000000000003</v>
      </c>
      <c r="Q127" s="13">
        <v>0.71559836156315704</v>
      </c>
    </row>
    <row r="128" spans="1:17" x14ac:dyDescent="0.2">
      <c r="A128" t="s">
        <v>276</v>
      </c>
      <c r="B128" s="5" t="s">
        <v>15</v>
      </c>
      <c r="C128" s="5" t="s">
        <v>219</v>
      </c>
      <c r="D128" s="5"/>
      <c r="E128" s="5" t="s">
        <v>17</v>
      </c>
      <c r="G128" s="7" t="s">
        <v>18</v>
      </c>
      <c r="J128" s="5">
        <v>32</v>
      </c>
      <c r="N128" s="13">
        <v>0.97099999999999997</v>
      </c>
      <c r="O128" s="13">
        <v>8.3000000000000004E-2</v>
      </c>
      <c r="P128" s="13">
        <v>0.99399999999999999</v>
      </c>
      <c r="Q128" s="13">
        <v>0.86183992029226097</v>
      </c>
    </row>
    <row r="129" spans="1:17" x14ac:dyDescent="0.2">
      <c r="A129" t="s">
        <v>277</v>
      </c>
      <c r="B129" s="5" t="s">
        <v>183</v>
      </c>
      <c r="C129" s="5" t="s">
        <v>278</v>
      </c>
      <c r="D129" s="5"/>
      <c r="E129" s="5" t="s">
        <v>17</v>
      </c>
      <c r="F129" s="14" t="s">
        <v>25</v>
      </c>
      <c r="G129" t="s">
        <v>26</v>
      </c>
      <c r="J129" s="5">
        <v>21</v>
      </c>
      <c r="N129" s="13">
        <v>0.77100000000000002</v>
      </c>
      <c r="O129" s="13">
        <v>0</v>
      </c>
      <c r="P129" s="13">
        <v>0.97799999999999998</v>
      </c>
      <c r="Q129" s="13">
        <v>0.92372412266135195</v>
      </c>
    </row>
    <row r="130" spans="1:17" x14ac:dyDescent="0.2">
      <c r="A130" t="s">
        <v>279</v>
      </c>
      <c r="B130" s="5" t="s">
        <v>42</v>
      </c>
      <c r="C130" s="6" t="s">
        <v>280</v>
      </c>
      <c r="E130" s="5" t="s">
        <v>17</v>
      </c>
      <c r="F130" s="14" t="s">
        <v>25</v>
      </c>
      <c r="G130" s="7" t="s">
        <v>18</v>
      </c>
      <c r="J130" s="14">
        <v>274</v>
      </c>
      <c r="K130" s="14">
        <v>55</v>
      </c>
      <c r="N130" s="15">
        <v>0.61</v>
      </c>
      <c r="O130" s="15">
        <v>0.49399999999999999</v>
      </c>
      <c r="P130" s="13">
        <v>0.69699999999999995</v>
      </c>
      <c r="Q130" s="13">
        <v>0.75788774493523703</v>
      </c>
    </row>
    <row r="131" spans="1:17" x14ac:dyDescent="0.2">
      <c r="A131" t="s">
        <v>281</v>
      </c>
      <c r="B131" s="5" t="s">
        <v>42</v>
      </c>
      <c r="C131" s="6" t="s">
        <v>282</v>
      </c>
      <c r="E131" s="5" t="s">
        <v>17</v>
      </c>
      <c r="F131" s="5" t="s">
        <v>25</v>
      </c>
      <c r="G131" t="s">
        <v>283</v>
      </c>
      <c r="H131" s="7" t="s">
        <v>18</v>
      </c>
      <c r="J131" s="5">
        <v>43</v>
      </c>
      <c r="N131" s="15">
        <v>0.25</v>
      </c>
      <c r="O131" s="15">
        <v>0.32500000000000001</v>
      </c>
      <c r="P131" s="13">
        <v>0.66100000000000003</v>
      </c>
      <c r="Q131" s="13">
        <v>0.92029226170707401</v>
      </c>
    </row>
    <row r="132" spans="1:17" x14ac:dyDescent="0.2">
      <c r="A132" t="s">
        <v>284</v>
      </c>
      <c r="B132" s="5" t="s">
        <v>15</v>
      </c>
      <c r="C132" s="5" t="s">
        <v>50</v>
      </c>
      <c r="D132" s="5"/>
      <c r="E132" s="5" t="s">
        <v>17</v>
      </c>
      <c r="G132" t="s">
        <v>26</v>
      </c>
      <c r="J132" s="5">
        <v>8</v>
      </c>
      <c r="N132" s="13">
        <v>0.76700000000000002</v>
      </c>
      <c r="O132" s="13">
        <v>0.214</v>
      </c>
      <c r="P132" s="13">
        <v>0.98399999999999999</v>
      </c>
      <c r="Q132" s="13">
        <v>0.79264917524631895</v>
      </c>
    </row>
    <row r="133" spans="1:17" x14ac:dyDescent="0.2">
      <c r="A133" t="s">
        <v>285</v>
      </c>
      <c r="B133" s="5" t="s">
        <v>15</v>
      </c>
      <c r="C133" s="5" t="s">
        <v>16</v>
      </c>
      <c r="D133" s="5"/>
      <c r="E133" s="5" t="s">
        <v>17</v>
      </c>
      <c r="G133" s="7" t="s">
        <v>18</v>
      </c>
      <c r="J133" s="5">
        <v>111</v>
      </c>
      <c r="N133" s="13">
        <v>0.47099999999999997</v>
      </c>
      <c r="O133" s="13">
        <v>1.7000000000000001E-2</v>
      </c>
      <c r="P133" s="13">
        <v>1</v>
      </c>
      <c r="Q133" s="13">
        <v>0.84147016495073601</v>
      </c>
    </row>
    <row r="134" spans="1:17" x14ac:dyDescent="0.2">
      <c r="A134" t="s">
        <v>286</v>
      </c>
      <c r="B134" s="5" t="s">
        <v>42</v>
      </c>
      <c r="C134" s="6" t="s">
        <v>124</v>
      </c>
      <c r="E134" s="5" t="s">
        <v>17</v>
      </c>
      <c r="F134" s="14" t="s">
        <v>25</v>
      </c>
      <c r="G134" s="7" t="s">
        <v>18</v>
      </c>
      <c r="J134" s="5">
        <v>6</v>
      </c>
      <c r="N134" s="15">
        <v>0.18</v>
      </c>
      <c r="O134" s="15">
        <v>0.59499999999999997</v>
      </c>
      <c r="P134" s="13">
        <v>0.72599999999999998</v>
      </c>
      <c r="Q134" s="13">
        <v>0.86283626702092298</v>
      </c>
    </row>
    <row r="135" spans="1:17" x14ac:dyDescent="0.2">
      <c r="A135" t="s">
        <v>287</v>
      </c>
      <c r="B135" s="5" t="s">
        <v>45</v>
      </c>
      <c r="C135" s="5" t="s">
        <v>288</v>
      </c>
      <c r="D135" s="5"/>
      <c r="E135" s="5" t="s">
        <v>17</v>
      </c>
      <c r="G135" s="7" t="s">
        <v>18</v>
      </c>
      <c r="J135" s="5">
        <v>26</v>
      </c>
      <c r="N135" s="13">
        <v>0.25</v>
      </c>
      <c r="O135" s="13">
        <v>0.53700000000000003</v>
      </c>
      <c r="P135" s="13">
        <v>0.439</v>
      </c>
      <c r="Q135" s="13">
        <v>0.242333665448909</v>
      </c>
    </row>
    <row r="136" spans="1:17" x14ac:dyDescent="0.2">
      <c r="A136" t="s">
        <v>289</v>
      </c>
      <c r="B136" s="5" t="s">
        <v>42</v>
      </c>
      <c r="C136" s="5" t="s">
        <v>290</v>
      </c>
      <c r="D136" s="5"/>
      <c r="E136" s="5" t="s">
        <v>17</v>
      </c>
      <c r="G136" s="7" t="s">
        <v>18</v>
      </c>
      <c r="I136" s="5"/>
      <c r="J136" s="5">
        <v>4</v>
      </c>
      <c r="N136" s="13">
        <v>0.65900000000000003</v>
      </c>
      <c r="O136" s="13">
        <v>2.5999999999999999E-2</v>
      </c>
      <c r="P136" s="13">
        <v>0.36199999999999999</v>
      </c>
      <c r="Q136" s="13">
        <v>0.92305989150891099</v>
      </c>
    </row>
    <row r="137" spans="1:17" x14ac:dyDescent="0.2">
      <c r="A137" t="s">
        <v>291</v>
      </c>
      <c r="B137" s="5" t="s">
        <v>15</v>
      </c>
      <c r="C137" s="5" t="s">
        <v>292</v>
      </c>
      <c r="D137" s="5"/>
      <c r="E137" s="5" t="s">
        <v>17</v>
      </c>
      <c r="G137" t="s">
        <v>26</v>
      </c>
      <c r="J137" s="5">
        <v>11</v>
      </c>
      <c r="K137" s="5">
        <v>4</v>
      </c>
      <c r="N137" s="13">
        <v>0.44700000000000001</v>
      </c>
      <c r="O137" s="13">
        <v>0.183</v>
      </c>
      <c r="P137" s="13">
        <v>0.78500000000000003</v>
      </c>
      <c r="Q137" s="13">
        <v>0.75412376840473805</v>
      </c>
    </row>
    <row r="138" spans="1:17" x14ac:dyDescent="0.2">
      <c r="A138" t="s">
        <v>293</v>
      </c>
      <c r="B138" s="5" t="s">
        <v>103</v>
      </c>
      <c r="C138" s="5" t="s">
        <v>294</v>
      </c>
      <c r="D138" s="5"/>
      <c r="E138" s="5" t="s">
        <v>17</v>
      </c>
      <c r="F138" s="14" t="s">
        <v>25</v>
      </c>
      <c r="G138" s="7" t="s">
        <v>18</v>
      </c>
      <c r="J138" s="5">
        <v>108</v>
      </c>
      <c r="N138" s="13">
        <v>0.746</v>
      </c>
      <c r="O138" s="13">
        <v>0.152</v>
      </c>
      <c r="P138" s="13">
        <v>0.88200000000000001</v>
      </c>
      <c r="Q138" s="13">
        <v>0.84722683493855799</v>
      </c>
    </row>
    <row r="139" spans="1:17" x14ac:dyDescent="0.2">
      <c r="A139" t="s">
        <v>295</v>
      </c>
      <c r="B139" s="5" t="s">
        <v>90</v>
      </c>
      <c r="C139" s="6" t="s">
        <v>296</v>
      </c>
      <c r="E139" s="5" t="s">
        <v>17</v>
      </c>
      <c r="F139" s="14" t="s">
        <v>25</v>
      </c>
      <c r="G139" s="7" t="s">
        <v>18</v>
      </c>
      <c r="J139" s="5">
        <v>18</v>
      </c>
      <c r="N139" s="15">
        <v>0.41</v>
      </c>
      <c r="O139" s="15">
        <v>0.36599999999999999</v>
      </c>
      <c r="P139" s="13">
        <v>0.32800000000000001</v>
      </c>
      <c r="Q139" s="13">
        <v>0.178567474814568</v>
      </c>
    </row>
    <row r="140" spans="1:17" x14ac:dyDescent="0.2">
      <c r="A140" t="s">
        <v>297</v>
      </c>
      <c r="B140" s="5" t="s">
        <v>90</v>
      </c>
      <c r="C140" s="5" t="s">
        <v>298</v>
      </c>
      <c r="D140" s="5"/>
      <c r="E140" s="5" t="s">
        <v>17</v>
      </c>
      <c r="F140" s="5" t="s">
        <v>25</v>
      </c>
      <c r="G140" t="s">
        <v>26</v>
      </c>
      <c r="J140" s="14">
        <v>27</v>
      </c>
      <c r="K140" s="14">
        <v>8</v>
      </c>
      <c r="N140" s="13">
        <v>0.64100000000000001</v>
      </c>
      <c r="O140" s="13">
        <v>0.52700000000000002</v>
      </c>
      <c r="P140" s="13">
        <v>0.36899999999999999</v>
      </c>
      <c r="Q140" s="13">
        <v>0.16495073618952699</v>
      </c>
    </row>
    <row r="141" spans="1:17" x14ac:dyDescent="0.2">
      <c r="A141" t="s">
        <v>299</v>
      </c>
      <c r="B141" s="5" t="s">
        <v>20</v>
      </c>
      <c r="C141" s="6" t="s">
        <v>300</v>
      </c>
      <c r="E141" s="5" t="s">
        <v>17</v>
      </c>
      <c r="F141" s="5" t="s">
        <v>25</v>
      </c>
      <c r="G141" t="s">
        <v>39</v>
      </c>
      <c r="H141" s="7" t="s">
        <v>236</v>
      </c>
      <c r="I141" s="7"/>
      <c r="J141" s="14">
        <v>10</v>
      </c>
      <c r="N141" s="15">
        <v>0.33</v>
      </c>
      <c r="O141" s="15">
        <v>0.61499999999999999</v>
      </c>
      <c r="P141" s="13">
        <v>0.4</v>
      </c>
      <c r="Q141" s="13">
        <v>0.236244879884866</v>
      </c>
    </row>
    <row r="142" spans="1:17" x14ac:dyDescent="0.2">
      <c r="A142" t="s">
        <v>301</v>
      </c>
      <c r="B142" s="5" t="s">
        <v>58</v>
      </c>
      <c r="C142" s="5" t="s">
        <v>151</v>
      </c>
      <c r="D142" s="5"/>
      <c r="E142" s="5" t="s">
        <v>17</v>
      </c>
      <c r="G142" t="s">
        <v>26</v>
      </c>
      <c r="J142" s="5">
        <v>98</v>
      </c>
      <c r="N142" s="13">
        <v>0.57099999999999995</v>
      </c>
      <c r="O142" s="13">
        <v>0.2</v>
      </c>
      <c r="P142" s="13">
        <v>0.4</v>
      </c>
      <c r="Q142" s="13">
        <v>0.90966456326801703</v>
      </c>
    </row>
    <row r="143" spans="1:17" x14ac:dyDescent="0.2">
      <c r="A143" t="s">
        <v>302</v>
      </c>
      <c r="B143" s="5" t="s">
        <v>136</v>
      </c>
      <c r="C143" s="5" t="s">
        <v>164</v>
      </c>
      <c r="D143" s="5"/>
      <c r="E143" s="5" t="s">
        <v>17</v>
      </c>
      <c r="G143" s="7" t="s">
        <v>18</v>
      </c>
      <c r="J143" s="5">
        <v>210</v>
      </c>
      <c r="N143" s="13">
        <v>0.77500000000000002</v>
      </c>
      <c r="O143" s="13">
        <v>4.5999999999999999E-2</v>
      </c>
      <c r="P143" s="13">
        <v>0.879</v>
      </c>
      <c r="Q143" s="13">
        <v>0.93745156647846695</v>
      </c>
    </row>
    <row r="144" spans="1:17" x14ac:dyDescent="0.2">
      <c r="A144" t="s">
        <v>303</v>
      </c>
      <c r="B144" s="5" t="s">
        <v>95</v>
      </c>
      <c r="C144" s="6" t="s">
        <v>304</v>
      </c>
      <c r="E144" s="5" t="s">
        <v>17</v>
      </c>
      <c r="F144" s="14" t="s">
        <v>25</v>
      </c>
      <c r="G144" t="s">
        <v>26</v>
      </c>
      <c r="J144" s="5">
        <v>49</v>
      </c>
      <c r="N144" s="15">
        <v>0.71</v>
      </c>
      <c r="O144" s="15">
        <v>0.28100000000000003</v>
      </c>
      <c r="P144" s="13">
        <v>0.35699999999999998</v>
      </c>
      <c r="Q144" s="13">
        <v>0.76663345510904402</v>
      </c>
    </row>
    <row r="145" spans="1:17" x14ac:dyDescent="0.2">
      <c r="A145" t="s">
        <v>305</v>
      </c>
      <c r="B145" s="5" t="s">
        <v>15</v>
      </c>
      <c r="C145" s="16" t="s">
        <v>306</v>
      </c>
      <c r="D145" s="6" t="s">
        <v>307</v>
      </c>
      <c r="E145" s="5" t="s">
        <v>17</v>
      </c>
      <c r="F145" s="14" t="s">
        <v>25</v>
      </c>
      <c r="G145" s="7" t="s">
        <v>18</v>
      </c>
      <c r="J145" s="5">
        <v>63</v>
      </c>
      <c r="N145" s="15">
        <v>0.17</v>
      </c>
      <c r="O145" s="15">
        <v>0.254</v>
      </c>
      <c r="P145" s="13">
        <v>0.86199999999999999</v>
      </c>
      <c r="Q145" s="13">
        <v>0.84888741281966096</v>
      </c>
    </row>
    <row r="146" spans="1:17" x14ac:dyDescent="0.2">
      <c r="A146" t="s">
        <v>308</v>
      </c>
      <c r="B146" s="5" t="s">
        <v>30</v>
      </c>
      <c r="C146" s="5" t="s">
        <v>31</v>
      </c>
      <c r="D146" s="5"/>
      <c r="E146" s="5" t="s">
        <v>17</v>
      </c>
      <c r="G146" s="7" t="s">
        <v>18</v>
      </c>
      <c r="J146" s="5">
        <v>17</v>
      </c>
      <c r="N146" s="13">
        <v>0.76100000000000001</v>
      </c>
      <c r="O146" s="13">
        <v>4.9000000000000002E-2</v>
      </c>
      <c r="P146" s="13">
        <v>0.997</v>
      </c>
      <c r="Q146" s="13">
        <v>0.326580316616849</v>
      </c>
    </row>
    <row r="147" spans="1:17" x14ac:dyDescent="0.2">
      <c r="A147" t="s">
        <v>309</v>
      </c>
      <c r="B147" s="5" t="s">
        <v>42</v>
      </c>
      <c r="C147" s="5" t="s">
        <v>310</v>
      </c>
      <c r="D147" s="5"/>
      <c r="E147" s="5" t="s">
        <v>17</v>
      </c>
      <c r="G147" s="7" t="s">
        <v>18</v>
      </c>
      <c r="J147" s="5">
        <v>12</v>
      </c>
      <c r="N147" s="13">
        <v>0.3</v>
      </c>
      <c r="O147" s="13">
        <v>0.17899999999999999</v>
      </c>
      <c r="P147" s="13">
        <v>0.88100000000000001</v>
      </c>
      <c r="Q147" s="13">
        <v>0.77593269124321895</v>
      </c>
    </row>
    <row r="148" spans="1:17" x14ac:dyDescent="0.2">
      <c r="A148" t="s">
        <v>311</v>
      </c>
      <c r="B148" s="5" t="s">
        <v>42</v>
      </c>
      <c r="C148" s="6" t="s">
        <v>88</v>
      </c>
      <c r="E148" s="5" t="s">
        <v>17</v>
      </c>
      <c r="F148" s="14" t="s">
        <v>25</v>
      </c>
      <c r="G148" s="7" t="s">
        <v>18</v>
      </c>
      <c r="J148" s="5">
        <v>415</v>
      </c>
      <c r="N148" s="15">
        <v>0.77</v>
      </c>
      <c r="O148" s="15">
        <v>0.38100000000000001</v>
      </c>
      <c r="P148" s="13">
        <v>0.32300000000000001</v>
      </c>
      <c r="Q148" s="13">
        <v>0.81634008635004895</v>
      </c>
    </row>
    <row r="149" spans="1:17" x14ac:dyDescent="0.2">
      <c r="A149" t="s">
        <v>312</v>
      </c>
      <c r="B149" s="5" t="s">
        <v>15</v>
      </c>
      <c r="C149" s="5" t="s">
        <v>313</v>
      </c>
      <c r="D149" s="5"/>
      <c r="E149" s="5" t="s">
        <v>17</v>
      </c>
      <c r="G149" t="s">
        <v>26</v>
      </c>
      <c r="J149" s="5">
        <v>2</v>
      </c>
      <c r="N149" s="13">
        <v>0.52500000000000002</v>
      </c>
      <c r="O149" s="13">
        <v>0.26</v>
      </c>
      <c r="P149" s="13">
        <v>0.92500000000000004</v>
      </c>
      <c r="Q149" s="13">
        <v>0.86969998892947997</v>
      </c>
    </row>
    <row r="150" spans="1:17" x14ac:dyDescent="0.2">
      <c r="A150" t="s">
        <v>314</v>
      </c>
      <c r="B150" s="5" t="s">
        <v>42</v>
      </c>
      <c r="C150" s="6" t="s">
        <v>290</v>
      </c>
      <c r="E150" s="5" t="s">
        <v>17</v>
      </c>
      <c r="G150" s="7" t="s">
        <v>18</v>
      </c>
      <c r="J150" s="5">
        <v>8</v>
      </c>
      <c r="N150" s="15">
        <v>0.66</v>
      </c>
      <c r="O150" s="15">
        <v>2.5999999999999999E-2</v>
      </c>
      <c r="P150" s="13">
        <v>0.36199999999999999</v>
      </c>
      <c r="Q150" s="13">
        <v>0.92305989150891099</v>
      </c>
    </row>
    <row r="151" spans="1:17" x14ac:dyDescent="0.2">
      <c r="A151" t="s">
        <v>315</v>
      </c>
      <c r="B151" s="5" t="s">
        <v>23</v>
      </c>
      <c r="C151" s="5" t="s">
        <v>316</v>
      </c>
      <c r="D151" s="5"/>
      <c r="E151" s="5" t="s">
        <v>17</v>
      </c>
      <c r="F151" s="14" t="s">
        <v>25</v>
      </c>
      <c r="G151" s="7" t="s">
        <v>18</v>
      </c>
      <c r="J151" s="5">
        <v>126</v>
      </c>
      <c r="N151" s="13">
        <v>0.125</v>
      </c>
      <c r="O151" s="13">
        <v>0.26700000000000002</v>
      </c>
      <c r="P151" s="13">
        <v>0.63300000000000001</v>
      </c>
      <c r="Q151" s="13">
        <v>0.58651610760544604</v>
      </c>
    </row>
    <row r="152" spans="1:17" x14ac:dyDescent="0.2">
      <c r="A152" t="s">
        <v>317</v>
      </c>
      <c r="B152" s="5" t="s">
        <v>242</v>
      </c>
      <c r="C152" s="6" t="s">
        <v>243</v>
      </c>
      <c r="E152" s="5" t="s">
        <v>17</v>
      </c>
      <c r="F152" s="14" t="s">
        <v>25</v>
      </c>
      <c r="G152" s="7" t="s">
        <v>18</v>
      </c>
      <c r="J152" s="5">
        <v>128</v>
      </c>
      <c r="N152" s="15">
        <v>0.78</v>
      </c>
      <c r="O152" s="15">
        <v>0.80700000000000005</v>
      </c>
      <c r="P152" s="13">
        <v>9.5000000000000001E-2</v>
      </c>
      <c r="Q152" s="13">
        <v>7.6607992914867695E-2</v>
      </c>
    </row>
    <row r="153" spans="1:17" x14ac:dyDescent="0.2">
      <c r="A153" t="s">
        <v>318</v>
      </c>
      <c r="B153" s="5" t="s">
        <v>15</v>
      </c>
      <c r="C153" s="6" t="s">
        <v>228</v>
      </c>
      <c r="E153" s="5" t="s">
        <v>17</v>
      </c>
      <c r="F153" s="14" t="s">
        <v>25</v>
      </c>
      <c r="G153" s="7" t="s">
        <v>18</v>
      </c>
      <c r="J153" s="5">
        <v>101</v>
      </c>
      <c r="N153" s="15">
        <v>0.45</v>
      </c>
      <c r="O153" s="15">
        <v>0.254</v>
      </c>
      <c r="P153" s="13">
        <v>0.91300000000000003</v>
      </c>
      <c r="Q153" s="13">
        <v>0.88508801062769804</v>
      </c>
    </row>
    <row r="154" spans="1:17" x14ac:dyDescent="0.2">
      <c r="A154" t="s">
        <v>319</v>
      </c>
      <c r="B154" s="5" t="s">
        <v>183</v>
      </c>
      <c r="C154" s="6" t="s">
        <v>278</v>
      </c>
      <c r="E154" s="5" t="s">
        <v>17</v>
      </c>
      <c r="F154" s="14" t="s">
        <v>25</v>
      </c>
      <c r="G154" t="s">
        <v>26</v>
      </c>
      <c r="J154" s="5">
        <v>75</v>
      </c>
      <c r="N154" s="15">
        <v>0.77</v>
      </c>
      <c r="O154" s="15">
        <v>0</v>
      </c>
      <c r="P154" s="13">
        <v>0.97799999999999998</v>
      </c>
      <c r="Q154" s="13">
        <v>0.92372412266135195</v>
      </c>
    </row>
    <row r="155" spans="1:17" x14ac:dyDescent="0.2">
      <c r="A155" t="s">
        <v>320</v>
      </c>
      <c r="B155" s="5" t="s">
        <v>15</v>
      </c>
      <c r="C155" s="6" t="s">
        <v>118</v>
      </c>
      <c r="E155" s="5" t="s">
        <v>17</v>
      </c>
      <c r="F155" s="14" t="s">
        <v>25</v>
      </c>
      <c r="G155" s="7" t="s">
        <v>18</v>
      </c>
      <c r="J155" s="5">
        <v>62</v>
      </c>
      <c r="N155" s="15">
        <v>0.8</v>
      </c>
      <c r="O155" s="15">
        <v>8.2000000000000003E-2</v>
      </c>
      <c r="P155" s="13">
        <v>0.73799999999999999</v>
      </c>
      <c r="Q155" s="13">
        <v>0.89649064541126899</v>
      </c>
    </row>
    <row r="156" spans="1:17" x14ac:dyDescent="0.2">
      <c r="A156" t="s">
        <v>321</v>
      </c>
      <c r="B156" s="5" t="s">
        <v>15</v>
      </c>
      <c r="C156" s="6" t="s">
        <v>322</v>
      </c>
      <c r="E156" s="5" t="s">
        <v>17</v>
      </c>
      <c r="F156" s="5" t="s">
        <v>25</v>
      </c>
      <c r="G156" s="7" t="s">
        <v>18</v>
      </c>
      <c r="J156" s="14" t="s">
        <v>323</v>
      </c>
      <c r="N156" s="14"/>
      <c r="O156" s="17">
        <v>0.45500000000000002</v>
      </c>
      <c r="P156" s="17">
        <v>0.94699999999999995</v>
      </c>
      <c r="Q156" s="13">
        <v>0.76220524742610396</v>
      </c>
    </row>
    <row r="157" spans="1:17" x14ac:dyDescent="0.2">
      <c r="A157" t="s">
        <v>324</v>
      </c>
      <c r="B157" s="5" t="s">
        <v>23</v>
      </c>
      <c r="C157" s="6" t="s">
        <v>325</v>
      </c>
      <c r="E157" s="5" t="s">
        <v>17</v>
      </c>
      <c r="F157" s="14" t="s">
        <v>25</v>
      </c>
      <c r="G157" t="s">
        <v>26</v>
      </c>
      <c r="J157" s="5">
        <v>85</v>
      </c>
      <c r="N157" s="15">
        <v>0.77</v>
      </c>
      <c r="O157" s="15">
        <v>0.32200000000000001</v>
      </c>
      <c r="P157" s="13">
        <v>0.76900000000000002</v>
      </c>
      <c r="Q157" s="13">
        <v>0.80870142809697698</v>
      </c>
    </row>
    <row r="158" spans="1:17" x14ac:dyDescent="0.2">
      <c r="A158" t="s">
        <v>326</v>
      </c>
      <c r="B158" s="5" t="s">
        <v>15</v>
      </c>
      <c r="C158" s="6" t="s">
        <v>16</v>
      </c>
      <c r="E158" s="5" t="s">
        <v>17</v>
      </c>
      <c r="F158" s="14" t="s">
        <v>25</v>
      </c>
      <c r="G158" s="7" t="s">
        <v>18</v>
      </c>
      <c r="J158" s="5">
        <v>76</v>
      </c>
      <c r="N158" s="15">
        <v>0.47</v>
      </c>
      <c r="O158" s="15">
        <v>1.7000000000000001E-2</v>
      </c>
      <c r="P158" s="13">
        <v>1</v>
      </c>
      <c r="Q158" s="13">
        <v>0.84147016495073601</v>
      </c>
    </row>
    <row r="159" spans="1:17" x14ac:dyDescent="0.2">
      <c r="A159" t="s">
        <v>327</v>
      </c>
      <c r="B159" s="5" t="s">
        <v>23</v>
      </c>
      <c r="C159" s="5" t="s">
        <v>328</v>
      </c>
      <c r="D159" s="5"/>
      <c r="E159" s="5" t="s">
        <v>17</v>
      </c>
      <c r="G159" t="s">
        <v>26</v>
      </c>
      <c r="J159" s="5">
        <v>64</v>
      </c>
      <c r="N159" s="13">
        <v>0.65</v>
      </c>
      <c r="O159" s="13">
        <v>0.44</v>
      </c>
      <c r="P159" s="13">
        <v>0.78</v>
      </c>
      <c r="Q159" s="13">
        <v>0.82718919517325296</v>
      </c>
    </row>
    <row r="160" spans="1:17" x14ac:dyDescent="0.2">
      <c r="A160" t="s">
        <v>329</v>
      </c>
      <c r="B160" s="5" t="s">
        <v>30</v>
      </c>
      <c r="C160" s="6" t="s">
        <v>330</v>
      </c>
      <c r="E160" s="5" t="s">
        <v>17</v>
      </c>
      <c r="G160" s="7" t="s">
        <v>18</v>
      </c>
      <c r="J160" s="5">
        <v>253</v>
      </c>
      <c r="N160" s="15">
        <v>0.34</v>
      </c>
      <c r="O160" s="15">
        <v>0.91800000000000004</v>
      </c>
      <c r="P160" s="13">
        <v>0.26200000000000001</v>
      </c>
      <c r="Q160" s="13">
        <v>0.35945975866268098</v>
      </c>
    </row>
    <row r="161" spans="1:21" x14ac:dyDescent="0.2">
      <c r="A161" t="s">
        <v>331</v>
      </c>
      <c r="B161" s="5" t="s">
        <v>45</v>
      </c>
      <c r="C161" s="6" t="s">
        <v>128</v>
      </c>
      <c r="E161" s="5" t="s">
        <v>17</v>
      </c>
      <c r="F161" s="5" t="s">
        <v>25</v>
      </c>
      <c r="G161" s="7" t="s">
        <v>18</v>
      </c>
      <c r="J161" s="5">
        <v>106</v>
      </c>
      <c r="N161" s="15">
        <v>0.25</v>
      </c>
      <c r="O161" s="15">
        <v>0.59799999999999998</v>
      </c>
      <c r="P161" s="13">
        <v>0.54900000000000004</v>
      </c>
      <c r="Q161" s="13">
        <v>0.38547547879995497</v>
      </c>
    </row>
    <row r="162" spans="1:21" x14ac:dyDescent="0.2">
      <c r="A162" t="s">
        <v>332</v>
      </c>
      <c r="B162" s="5" t="s">
        <v>15</v>
      </c>
      <c r="C162" s="6" t="s">
        <v>333</v>
      </c>
      <c r="E162" s="5" t="s">
        <v>17</v>
      </c>
      <c r="G162" s="7" t="s">
        <v>18</v>
      </c>
      <c r="J162" s="5">
        <v>16</v>
      </c>
      <c r="K162" s="5">
        <v>15</v>
      </c>
      <c r="N162" s="15">
        <v>0.79</v>
      </c>
      <c r="O162" s="15">
        <v>6.8000000000000005E-2</v>
      </c>
      <c r="P162" s="13">
        <v>0.75600000000000001</v>
      </c>
      <c r="Q162" s="13">
        <v>0.80681943983172799</v>
      </c>
    </row>
    <row r="163" spans="1:21" x14ac:dyDescent="0.2">
      <c r="A163" t="s">
        <v>334</v>
      </c>
      <c r="B163" s="5" t="s">
        <v>335</v>
      </c>
      <c r="C163" s="6" t="s">
        <v>336</v>
      </c>
      <c r="E163" s="5" t="s">
        <v>17</v>
      </c>
      <c r="F163" s="5" t="s">
        <v>25</v>
      </c>
      <c r="G163" t="s">
        <v>39</v>
      </c>
      <c r="H163" s="7" t="s">
        <v>18</v>
      </c>
      <c r="J163" s="5">
        <v>70</v>
      </c>
      <c r="N163" s="15">
        <v>0.92</v>
      </c>
      <c r="O163" s="15">
        <v>0.8</v>
      </c>
      <c r="P163" s="13">
        <v>0.53600000000000003</v>
      </c>
      <c r="Q163" s="13">
        <v>0.51212221853204898</v>
      </c>
    </row>
    <row r="164" spans="1:21" x14ac:dyDescent="0.2">
      <c r="A164" t="s">
        <v>337</v>
      </c>
      <c r="B164" s="5" t="s">
        <v>15</v>
      </c>
      <c r="C164" s="5" t="s">
        <v>292</v>
      </c>
      <c r="D164" s="5"/>
      <c r="E164" s="5" t="s">
        <v>17</v>
      </c>
      <c r="G164" t="s">
        <v>26</v>
      </c>
      <c r="J164" s="5">
        <v>80</v>
      </c>
      <c r="N164" s="13">
        <v>0.44700000000000001</v>
      </c>
      <c r="O164" s="13">
        <v>0.183</v>
      </c>
      <c r="P164" s="13">
        <v>0.78500000000000003</v>
      </c>
      <c r="Q164" s="13">
        <v>0.75412376840473805</v>
      </c>
    </row>
    <row r="165" spans="1:21" x14ac:dyDescent="0.2">
      <c r="A165" t="s">
        <v>338</v>
      </c>
      <c r="B165" s="5" t="s">
        <v>30</v>
      </c>
      <c r="C165" s="6" t="s">
        <v>84</v>
      </c>
      <c r="E165" s="5" t="s">
        <v>17</v>
      </c>
      <c r="F165" s="14" t="s">
        <v>25</v>
      </c>
      <c r="G165" s="7" t="s">
        <v>18</v>
      </c>
      <c r="J165" s="14"/>
      <c r="N165" s="15">
        <v>0.25</v>
      </c>
      <c r="O165" s="15">
        <v>0.92600000000000005</v>
      </c>
      <c r="P165" s="13">
        <v>0.66500000000000004</v>
      </c>
      <c r="Q165" s="13">
        <v>0.45643750691907398</v>
      </c>
    </row>
    <row r="166" spans="1:21" x14ac:dyDescent="0.2">
      <c r="A166" t="s">
        <v>339</v>
      </c>
      <c r="B166" s="5" t="s">
        <v>103</v>
      </c>
      <c r="C166" s="5" t="s">
        <v>294</v>
      </c>
      <c r="D166" s="5"/>
      <c r="E166" s="5" t="s">
        <v>17</v>
      </c>
      <c r="G166" s="7" t="s">
        <v>18</v>
      </c>
      <c r="J166" s="5">
        <v>11</v>
      </c>
      <c r="N166" s="13">
        <v>0.746</v>
      </c>
      <c r="O166" s="13">
        <v>0.152</v>
      </c>
      <c r="P166" s="13">
        <v>0.88200000000000001</v>
      </c>
      <c r="Q166" s="13">
        <v>0.84722683493855799</v>
      </c>
    </row>
    <row r="167" spans="1:21" x14ac:dyDescent="0.2">
      <c r="A167" t="s">
        <v>340</v>
      </c>
      <c r="B167" s="5" t="s">
        <v>15</v>
      </c>
      <c r="C167" s="6" t="s">
        <v>16</v>
      </c>
      <c r="E167" s="5" t="s">
        <v>17</v>
      </c>
      <c r="F167" s="14" t="s">
        <v>25</v>
      </c>
      <c r="G167" s="7" t="s">
        <v>18</v>
      </c>
      <c r="J167" s="5">
        <v>36</v>
      </c>
      <c r="N167" s="15">
        <v>0.47</v>
      </c>
      <c r="O167" s="15">
        <v>1.7000000000000001E-2</v>
      </c>
      <c r="P167" s="13">
        <v>1</v>
      </c>
      <c r="Q167" s="13">
        <v>0.84147016495073601</v>
      </c>
    </row>
    <row r="168" spans="1:21" x14ac:dyDescent="0.2">
      <c r="A168" t="s">
        <v>341</v>
      </c>
      <c r="B168" s="5" t="s">
        <v>139</v>
      </c>
      <c r="C168" s="6" t="s">
        <v>342</v>
      </c>
      <c r="E168" s="5" t="s">
        <v>17</v>
      </c>
      <c r="F168" s="14" t="s">
        <v>25</v>
      </c>
      <c r="G168" s="7" t="s">
        <v>18</v>
      </c>
      <c r="J168" s="5">
        <v>298</v>
      </c>
      <c r="N168" s="15">
        <v>0.56999999999999995</v>
      </c>
      <c r="O168" s="15">
        <v>0.11</v>
      </c>
      <c r="P168" s="13">
        <v>0.68300000000000005</v>
      </c>
      <c r="Q168" s="13">
        <v>0.97210229159747596</v>
      </c>
    </row>
    <row r="169" spans="1:21" x14ac:dyDescent="0.2">
      <c r="A169" t="s">
        <v>343</v>
      </c>
      <c r="B169" s="5" t="s">
        <v>20</v>
      </c>
      <c r="C169" s="5" t="s">
        <v>155</v>
      </c>
      <c r="D169" s="5"/>
      <c r="E169" s="5" t="s">
        <v>17</v>
      </c>
      <c r="G169" s="7" t="s">
        <v>18</v>
      </c>
      <c r="J169" s="5">
        <v>1</v>
      </c>
      <c r="N169" s="13">
        <v>0.55700000000000005</v>
      </c>
      <c r="O169" s="13">
        <v>0.25800000000000001</v>
      </c>
      <c r="P169" s="13">
        <v>0.43</v>
      </c>
      <c r="Q169" s="13">
        <v>0.55297243440717303</v>
      </c>
    </row>
    <row r="170" spans="1:21" x14ac:dyDescent="0.2">
      <c r="A170" t="s">
        <v>344</v>
      </c>
      <c r="B170" s="5" t="s">
        <v>30</v>
      </c>
      <c r="C170" s="5" t="s">
        <v>345</v>
      </c>
      <c r="D170" s="5"/>
      <c r="E170" s="5" t="s">
        <v>17</v>
      </c>
      <c r="F170" s="14" t="s">
        <v>25</v>
      </c>
      <c r="G170" s="7" t="s">
        <v>18</v>
      </c>
      <c r="J170" s="5">
        <v>35</v>
      </c>
      <c r="N170" s="13">
        <v>0.98099999999999998</v>
      </c>
      <c r="O170" s="13">
        <v>7.0000000000000007E-2</v>
      </c>
      <c r="P170" s="13">
        <v>1</v>
      </c>
      <c r="Q170" s="13">
        <v>0.42521864275434501</v>
      </c>
      <c r="U170" s="21"/>
    </row>
    <row r="171" spans="1:21" x14ac:dyDescent="0.2">
      <c r="A171" t="s">
        <v>346</v>
      </c>
      <c r="B171" s="5" t="s">
        <v>169</v>
      </c>
      <c r="C171" s="6" t="s">
        <v>170</v>
      </c>
      <c r="E171" s="5" t="s">
        <v>17</v>
      </c>
      <c r="F171" s="5" t="s">
        <v>25</v>
      </c>
      <c r="G171" t="s">
        <v>39</v>
      </c>
      <c r="J171" s="5">
        <v>29</v>
      </c>
      <c r="N171" s="15">
        <v>0.69</v>
      </c>
      <c r="O171" s="15">
        <v>8.2000000000000003E-2</v>
      </c>
      <c r="P171" s="13">
        <v>1</v>
      </c>
      <c r="Q171" s="13">
        <v>0.85154433742942504</v>
      </c>
    </row>
    <row r="172" spans="1:21" x14ac:dyDescent="0.2">
      <c r="A172" t="s">
        <v>347</v>
      </c>
      <c r="B172" s="5" t="s">
        <v>30</v>
      </c>
      <c r="C172" s="6" t="s">
        <v>84</v>
      </c>
      <c r="E172" s="5" t="s">
        <v>17</v>
      </c>
      <c r="F172" s="14" t="s">
        <v>25</v>
      </c>
      <c r="G172" s="7" t="s">
        <v>18</v>
      </c>
      <c r="J172" s="5">
        <v>163</v>
      </c>
      <c r="N172" s="15">
        <v>0.25</v>
      </c>
      <c r="O172" s="15">
        <v>0.92600000000000005</v>
      </c>
      <c r="P172" s="13">
        <v>0.66500000000000004</v>
      </c>
      <c r="Q172" s="13">
        <v>0.45643750691907398</v>
      </c>
    </row>
    <row r="173" spans="1:21" x14ac:dyDescent="0.2">
      <c r="A173" t="s">
        <v>348</v>
      </c>
      <c r="B173" s="5" t="s">
        <v>139</v>
      </c>
      <c r="C173" s="6" t="s">
        <v>349</v>
      </c>
      <c r="E173" s="5" t="s">
        <v>17</v>
      </c>
      <c r="F173" s="5" t="s">
        <v>25</v>
      </c>
      <c r="G173" t="s">
        <v>39</v>
      </c>
      <c r="H173" s="7" t="s">
        <v>236</v>
      </c>
      <c r="I173" s="7" t="s">
        <v>18</v>
      </c>
      <c r="J173" s="5">
        <v>20</v>
      </c>
      <c r="K173" s="5">
        <v>20</v>
      </c>
      <c r="L173" s="5">
        <v>20</v>
      </c>
      <c r="N173" s="15">
        <v>0.56000000000000005</v>
      </c>
      <c r="O173" s="15">
        <v>0.17499999999999999</v>
      </c>
      <c r="P173" s="13">
        <v>0.89400000000000002</v>
      </c>
      <c r="Q173" s="13">
        <v>0.92106719805158799</v>
      </c>
    </row>
    <row r="174" spans="1:21" x14ac:dyDescent="0.2">
      <c r="A174" t="s">
        <v>350</v>
      </c>
      <c r="B174" s="5" t="s">
        <v>136</v>
      </c>
      <c r="C174" s="6" t="s">
        <v>351</v>
      </c>
      <c r="E174" s="5" t="s">
        <v>17</v>
      </c>
      <c r="F174" s="14" t="s">
        <v>25</v>
      </c>
      <c r="G174" t="s">
        <v>26</v>
      </c>
      <c r="J174" s="5">
        <v>53</v>
      </c>
      <c r="N174" s="15">
        <v>0.33</v>
      </c>
      <c r="O174" s="15">
        <v>0.443</v>
      </c>
      <c r="P174" s="13">
        <v>0.98799999999999999</v>
      </c>
      <c r="Q174" s="13">
        <v>0.84844459205136702</v>
      </c>
    </row>
    <row r="175" spans="1:21" x14ac:dyDescent="0.2">
      <c r="A175" t="s">
        <v>352</v>
      </c>
      <c r="B175" s="5" t="s">
        <v>15</v>
      </c>
      <c r="C175" s="5" t="s">
        <v>100</v>
      </c>
      <c r="D175" s="5"/>
      <c r="E175" s="5" t="s">
        <v>17</v>
      </c>
      <c r="G175" t="s">
        <v>26</v>
      </c>
      <c r="J175" s="5">
        <v>49</v>
      </c>
      <c r="N175" s="13">
        <v>0.53</v>
      </c>
      <c r="O175" s="13">
        <v>0.19900000000000001</v>
      </c>
      <c r="P175" s="13">
        <v>0.89</v>
      </c>
      <c r="Q175" s="13">
        <v>0.92073508247536795</v>
      </c>
    </row>
    <row r="176" spans="1:21" x14ac:dyDescent="0.2">
      <c r="A176" t="s">
        <v>353</v>
      </c>
      <c r="B176" s="5" t="s">
        <v>139</v>
      </c>
      <c r="C176" s="6" t="s">
        <v>349</v>
      </c>
      <c r="E176" s="5" t="s">
        <v>17</v>
      </c>
      <c r="F176" s="5" t="s">
        <v>25</v>
      </c>
      <c r="G176" t="s">
        <v>39</v>
      </c>
      <c r="H176" s="7" t="s">
        <v>18</v>
      </c>
      <c r="J176" s="14"/>
      <c r="N176" s="15">
        <v>0.56000000000000005</v>
      </c>
      <c r="O176" s="15">
        <v>0.17499999999999999</v>
      </c>
      <c r="P176" s="13">
        <v>0.89400000000000002</v>
      </c>
      <c r="Q176" s="13">
        <v>0.92106719805158799</v>
      </c>
    </row>
    <row r="177" spans="1:17" x14ac:dyDescent="0.2">
      <c r="A177" t="s">
        <v>354</v>
      </c>
      <c r="B177" s="5" t="s">
        <v>30</v>
      </c>
      <c r="C177" s="5" t="s">
        <v>355</v>
      </c>
      <c r="D177" s="5"/>
      <c r="E177" s="5" t="s">
        <v>17</v>
      </c>
      <c r="F177" s="14" t="s">
        <v>25</v>
      </c>
      <c r="G177" s="7" t="s">
        <v>18</v>
      </c>
      <c r="J177" s="5">
        <v>120</v>
      </c>
      <c r="N177" s="13">
        <v>9.5000000000000001E-2</v>
      </c>
      <c r="O177" s="13">
        <v>0.96199999999999997</v>
      </c>
      <c r="P177" s="13">
        <v>0.70899999999999996</v>
      </c>
      <c r="Q177" s="13">
        <v>0.21986051145798699</v>
      </c>
    </row>
    <row r="178" spans="1:17" x14ac:dyDescent="0.2">
      <c r="A178" t="s">
        <v>356</v>
      </c>
      <c r="B178" s="5" t="s">
        <v>95</v>
      </c>
      <c r="C178" s="5" t="s">
        <v>357</v>
      </c>
      <c r="D178" s="5"/>
      <c r="E178" s="5" t="s">
        <v>17</v>
      </c>
      <c r="G178" s="7" t="s">
        <v>18</v>
      </c>
      <c r="J178" s="5">
        <v>6</v>
      </c>
      <c r="N178" s="13">
        <v>0.19600000000000001</v>
      </c>
      <c r="O178" s="13">
        <v>0.21099999999999999</v>
      </c>
      <c r="P178" s="13">
        <v>0.70399999999999996</v>
      </c>
      <c r="Q178" s="13">
        <v>0.62614856636776195</v>
      </c>
    </row>
    <row r="179" spans="1:17" x14ac:dyDescent="0.2">
      <c r="A179" t="s">
        <v>358</v>
      </c>
      <c r="B179" s="5" t="s">
        <v>15</v>
      </c>
      <c r="C179" s="6" t="s">
        <v>210</v>
      </c>
      <c r="E179" s="5" t="s">
        <v>17</v>
      </c>
      <c r="F179" s="14" t="s">
        <v>25</v>
      </c>
      <c r="G179" s="7" t="s">
        <v>18</v>
      </c>
      <c r="J179" s="5">
        <v>71</v>
      </c>
      <c r="N179" s="15">
        <v>0.42</v>
      </c>
      <c r="O179" s="15">
        <v>0.22700000000000001</v>
      </c>
      <c r="P179" s="13">
        <v>0.64500000000000002</v>
      </c>
      <c r="Q179" s="13">
        <v>0.87346396545997995</v>
      </c>
    </row>
    <row r="180" spans="1:17" x14ac:dyDescent="0.2">
      <c r="A180" t="s">
        <v>359</v>
      </c>
      <c r="B180" s="5" t="s">
        <v>148</v>
      </c>
      <c r="C180" s="6" t="s">
        <v>149</v>
      </c>
      <c r="E180" s="5" t="s">
        <v>17</v>
      </c>
      <c r="F180" s="14" t="s">
        <v>25</v>
      </c>
      <c r="G180" s="7" t="s">
        <v>18</v>
      </c>
      <c r="J180" s="5">
        <v>26</v>
      </c>
      <c r="N180" s="15">
        <v>0.56999999999999995</v>
      </c>
      <c r="O180" s="15">
        <v>0.40100000000000002</v>
      </c>
      <c r="P180" s="13">
        <v>0.64900000000000002</v>
      </c>
      <c r="Q180" s="13">
        <v>0.240119561607439</v>
      </c>
    </row>
    <row r="181" spans="1:17" x14ac:dyDescent="0.2">
      <c r="A181" t="s">
        <v>360</v>
      </c>
      <c r="B181" s="5" t="s">
        <v>273</v>
      </c>
      <c r="C181" s="6" t="s">
        <v>361</v>
      </c>
      <c r="E181" s="5" t="s">
        <v>17</v>
      </c>
      <c r="F181" s="14" t="s">
        <v>25</v>
      </c>
      <c r="G181" s="7" t="s">
        <v>18</v>
      </c>
      <c r="J181" s="5">
        <v>119</v>
      </c>
      <c r="N181" s="15">
        <v>0.71</v>
      </c>
      <c r="O181" s="15">
        <v>0.70699999999999996</v>
      </c>
      <c r="P181" s="13">
        <v>0.28399999999999997</v>
      </c>
      <c r="Q181" s="13">
        <v>0.225617181445809</v>
      </c>
    </row>
    <row r="182" spans="1:17" x14ac:dyDescent="0.2">
      <c r="A182" t="s">
        <v>362</v>
      </c>
      <c r="B182" s="5" t="s">
        <v>20</v>
      </c>
      <c r="C182" s="5" t="s">
        <v>363</v>
      </c>
      <c r="D182" s="5"/>
      <c r="E182" s="5" t="s">
        <v>17</v>
      </c>
      <c r="G182" s="7" t="s">
        <v>18</v>
      </c>
      <c r="J182" s="5">
        <v>250</v>
      </c>
      <c r="N182" s="13">
        <v>0.47199999999999998</v>
      </c>
      <c r="O182" s="13">
        <v>0.51600000000000001</v>
      </c>
      <c r="P182" s="13">
        <v>0.73699999999999999</v>
      </c>
      <c r="Q182" s="13">
        <v>0.63411934019705496</v>
      </c>
    </row>
    <row r="183" spans="1:17" x14ac:dyDescent="0.2">
      <c r="A183" t="s">
        <v>364</v>
      </c>
      <c r="B183" s="5" t="s">
        <v>95</v>
      </c>
      <c r="C183" s="6" t="s">
        <v>365</v>
      </c>
      <c r="E183" s="5" t="s">
        <v>17</v>
      </c>
      <c r="F183" s="14" t="s">
        <v>25</v>
      </c>
      <c r="G183" t="s">
        <v>26</v>
      </c>
      <c r="J183" s="5">
        <v>332</v>
      </c>
      <c r="N183" s="15">
        <v>0.45</v>
      </c>
      <c r="O183" s="15">
        <v>0.15</v>
      </c>
      <c r="P183" s="13">
        <v>0.63600000000000001</v>
      </c>
      <c r="Q183" s="13">
        <v>0.80892283848112401</v>
      </c>
    </row>
    <row r="184" spans="1:17" x14ac:dyDescent="0.2">
      <c r="A184" t="s">
        <v>366</v>
      </c>
      <c r="B184" s="5" t="s">
        <v>95</v>
      </c>
      <c r="C184" s="6" t="s">
        <v>304</v>
      </c>
      <c r="E184" s="5" t="s">
        <v>17</v>
      </c>
      <c r="F184" s="14" t="s">
        <v>25</v>
      </c>
      <c r="G184" t="s">
        <v>26</v>
      </c>
      <c r="J184" s="5">
        <v>83</v>
      </c>
      <c r="N184" s="15">
        <v>0.71</v>
      </c>
      <c r="O184" s="15">
        <v>0.28100000000000003</v>
      </c>
      <c r="P184" s="13">
        <v>0.35699999999999998</v>
      </c>
      <c r="Q184" s="13">
        <v>0.76663345510904402</v>
      </c>
    </row>
    <row r="185" spans="1:17" x14ac:dyDescent="0.2">
      <c r="A185" t="s">
        <v>367</v>
      </c>
      <c r="B185" s="5" t="s">
        <v>145</v>
      </c>
      <c r="C185" s="6" t="s">
        <v>368</v>
      </c>
      <c r="E185" s="5" t="s">
        <v>17</v>
      </c>
      <c r="F185" s="5" t="s">
        <v>25</v>
      </c>
      <c r="G185" t="s">
        <v>26</v>
      </c>
      <c r="J185" s="5">
        <v>154</v>
      </c>
      <c r="N185" s="15">
        <v>0.99</v>
      </c>
      <c r="O185" s="15">
        <v>0.42699999999999999</v>
      </c>
      <c r="P185" s="13">
        <v>0.35899999999999999</v>
      </c>
      <c r="Q185" s="13">
        <v>0.46285840805933698</v>
      </c>
    </row>
    <row r="186" spans="1:17" x14ac:dyDescent="0.2">
      <c r="A186" t="s">
        <v>369</v>
      </c>
      <c r="B186" s="5" t="s">
        <v>103</v>
      </c>
      <c r="C186" s="5" t="s">
        <v>175</v>
      </c>
      <c r="D186" s="5"/>
      <c r="E186" s="5" t="s">
        <v>17</v>
      </c>
      <c r="G186" s="7" t="s">
        <v>18</v>
      </c>
      <c r="J186" s="5">
        <v>20</v>
      </c>
      <c r="N186" s="13">
        <v>0.85599999999999998</v>
      </c>
      <c r="O186" s="13">
        <v>2.1000000000000001E-2</v>
      </c>
      <c r="P186" s="13">
        <v>0.995</v>
      </c>
      <c r="Q186" s="13">
        <v>0.79740949850547904</v>
      </c>
    </row>
    <row r="187" spans="1:17" x14ac:dyDescent="0.2">
      <c r="A187" t="s">
        <v>370</v>
      </c>
      <c r="B187" s="5" t="s">
        <v>90</v>
      </c>
      <c r="C187" s="16" t="s">
        <v>371</v>
      </c>
      <c r="D187" s="6" t="s">
        <v>372</v>
      </c>
      <c r="E187" s="5" t="s">
        <v>17</v>
      </c>
      <c r="F187" s="5" t="s">
        <v>25</v>
      </c>
      <c r="G187" s="7" t="s">
        <v>373</v>
      </c>
      <c r="J187" s="14">
        <v>35</v>
      </c>
      <c r="K187" s="14">
        <v>6</v>
      </c>
      <c r="N187" s="14"/>
      <c r="O187" s="17">
        <v>0.65900000000000003</v>
      </c>
      <c r="P187" s="17">
        <v>0.64600000000000002</v>
      </c>
      <c r="Q187" s="13">
        <v>0.196833831506697</v>
      </c>
    </row>
    <row r="188" spans="1:17" x14ac:dyDescent="0.2">
      <c r="A188" t="s">
        <v>374</v>
      </c>
      <c r="B188" s="5" t="s">
        <v>15</v>
      </c>
      <c r="C188" s="5" t="s">
        <v>59</v>
      </c>
      <c r="D188" s="5"/>
      <c r="E188" s="5" t="s">
        <v>17</v>
      </c>
      <c r="G188" t="s">
        <v>26</v>
      </c>
      <c r="J188" s="5">
        <v>9</v>
      </c>
      <c r="K188" s="5">
        <v>3</v>
      </c>
      <c r="N188" s="13">
        <v>0.438</v>
      </c>
      <c r="O188" s="13">
        <v>0.44800000000000001</v>
      </c>
      <c r="P188" s="13">
        <v>0.57799999999999996</v>
      </c>
      <c r="Q188" s="17">
        <v>0.93169489649064496</v>
      </c>
    </row>
    <row r="189" spans="1:17" x14ac:dyDescent="0.2">
      <c r="A189" t="s">
        <v>375</v>
      </c>
      <c r="B189" s="5" t="s">
        <v>15</v>
      </c>
      <c r="C189" s="5" t="s">
        <v>210</v>
      </c>
      <c r="D189" s="5"/>
      <c r="E189" s="5" t="s">
        <v>17</v>
      </c>
      <c r="G189" s="7" t="s">
        <v>18</v>
      </c>
      <c r="J189" s="5">
        <v>14</v>
      </c>
      <c r="K189" s="5">
        <v>2</v>
      </c>
      <c r="N189" s="13">
        <v>0.42399999999999999</v>
      </c>
      <c r="O189" s="13">
        <v>0.22700000000000001</v>
      </c>
      <c r="P189" s="13">
        <v>0.64500000000000002</v>
      </c>
      <c r="Q189" s="17">
        <v>0.87346396545997995</v>
      </c>
    </row>
    <row r="190" spans="1:17" x14ac:dyDescent="0.2">
      <c r="A190" t="s">
        <v>376</v>
      </c>
      <c r="B190" s="5" t="s">
        <v>15</v>
      </c>
      <c r="C190" s="5" t="s">
        <v>210</v>
      </c>
      <c r="D190" s="5"/>
      <c r="E190" s="5" t="s">
        <v>17</v>
      </c>
      <c r="G190" t="s">
        <v>26</v>
      </c>
      <c r="J190" s="5">
        <v>4</v>
      </c>
      <c r="K190" s="5">
        <v>1</v>
      </c>
      <c r="N190" s="13">
        <v>0.42399999999999999</v>
      </c>
      <c r="O190" s="13">
        <v>0.22700000000000001</v>
      </c>
      <c r="P190" s="13">
        <v>0.64500000000000002</v>
      </c>
      <c r="Q190" s="17">
        <v>0.87346396545997995</v>
      </c>
    </row>
    <row r="191" spans="1:17" x14ac:dyDescent="0.2">
      <c r="A191" t="s">
        <v>377</v>
      </c>
      <c r="B191" s="5" t="s">
        <v>42</v>
      </c>
      <c r="C191" s="5" t="s">
        <v>378</v>
      </c>
      <c r="D191" s="5"/>
      <c r="E191" s="5" t="s">
        <v>17</v>
      </c>
      <c r="G191" s="7" t="s">
        <v>18</v>
      </c>
      <c r="J191" s="5">
        <v>6</v>
      </c>
      <c r="N191" s="13">
        <v>5.5E-2</v>
      </c>
      <c r="O191" s="13">
        <v>0.33300000000000002</v>
      </c>
      <c r="P191" s="13">
        <v>0.83899999999999997</v>
      </c>
      <c r="Q191" s="17">
        <v>0.88254179121000698</v>
      </c>
    </row>
    <row r="192" spans="1:17" x14ac:dyDescent="0.2">
      <c r="A192" t="s">
        <v>379</v>
      </c>
      <c r="B192" s="5" t="s">
        <v>15</v>
      </c>
      <c r="C192" s="5" t="s">
        <v>100</v>
      </c>
      <c r="D192" s="5"/>
      <c r="E192" s="5" t="s">
        <v>17</v>
      </c>
      <c r="G192" t="s">
        <v>26</v>
      </c>
      <c r="J192" s="5">
        <v>6</v>
      </c>
      <c r="K192" s="5">
        <v>2</v>
      </c>
      <c r="N192" s="13">
        <v>0.53</v>
      </c>
      <c r="O192" s="13">
        <v>0.19900000000000001</v>
      </c>
      <c r="P192" s="13">
        <v>0.89</v>
      </c>
      <c r="Q192" s="17">
        <v>0.92073508247536795</v>
      </c>
    </row>
    <row r="193" spans="1:17" x14ac:dyDescent="0.2">
      <c r="A193" t="s">
        <v>380</v>
      </c>
      <c r="B193" s="5" t="s">
        <v>15</v>
      </c>
      <c r="C193" s="5" t="s">
        <v>134</v>
      </c>
      <c r="D193" s="5"/>
      <c r="E193" s="5" t="s">
        <v>17</v>
      </c>
      <c r="G193" t="s">
        <v>26</v>
      </c>
      <c r="J193" s="5">
        <v>1</v>
      </c>
      <c r="N193" s="13">
        <v>0.40300000000000002</v>
      </c>
      <c r="O193" s="13">
        <v>0.17899999999999999</v>
      </c>
      <c r="P193" s="13">
        <v>0.19600000000000001</v>
      </c>
      <c r="Q193" s="17">
        <v>0.77261153548101402</v>
      </c>
    </row>
    <row r="194" spans="1:17" x14ac:dyDescent="0.2">
      <c r="A194" t="s">
        <v>381</v>
      </c>
      <c r="B194" s="5" t="s">
        <v>15</v>
      </c>
      <c r="C194" s="5" t="s">
        <v>134</v>
      </c>
      <c r="D194" s="5"/>
      <c r="E194" s="5" t="s">
        <v>17</v>
      </c>
      <c r="G194" s="7" t="s">
        <v>18</v>
      </c>
      <c r="J194" s="5">
        <v>22</v>
      </c>
      <c r="K194" s="5">
        <v>2</v>
      </c>
      <c r="N194" s="13">
        <v>0.40300000000000002</v>
      </c>
      <c r="O194" s="13">
        <v>0.17899999999999999</v>
      </c>
      <c r="P194" s="13">
        <v>0.19600000000000001</v>
      </c>
      <c r="Q194" s="17">
        <v>0.77261153548101402</v>
      </c>
    </row>
    <row r="195" spans="1:17" x14ac:dyDescent="0.2">
      <c r="A195" t="s">
        <v>382</v>
      </c>
      <c r="B195" s="5" t="s">
        <v>15</v>
      </c>
      <c r="C195" s="5" t="s">
        <v>134</v>
      </c>
      <c r="D195" s="5"/>
      <c r="E195" s="5" t="s">
        <v>17</v>
      </c>
      <c r="G195" s="7" t="s">
        <v>18</v>
      </c>
      <c r="J195" s="5">
        <v>4</v>
      </c>
      <c r="K195" s="5">
        <v>1</v>
      </c>
      <c r="N195" s="13">
        <v>0.40300000000000002</v>
      </c>
      <c r="O195" s="13">
        <v>0.17899999999999999</v>
      </c>
      <c r="P195" s="13">
        <v>0.19600000000000001</v>
      </c>
      <c r="Q195" s="17">
        <v>0.77261153548101402</v>
      </c>
    </row>
    <row r="196" spans="1:17" x14ac:dyDescent="0.2">
      <c r="A196" t="s">
        <v>383</v>
      </c>
      <c r="B196" s="5" t="s">
        <v>42</v>
      </c>
      <c r="C196" s="5" t="s">
        <v>109</v>
      </c>
      <c r="D196" s="5"/>
      <c r="E196" s="5" t="s">
        <v>17</v>
      </c>
      <c r="G196" s="7" t="s">
        <v>18</v>
      </c>
      <c r="J196" s="5">
        <v>6</v>
      </c>
      <c r="N196" s="13">
        <v>0.50800000000000001</v>
      </c>
      <c r="O196" s="13">
        <v>6.3E-2</v>
      </c>
      <c r="P196" s="13">
        <v>0.92100000000000004</v>
      </c>
      <c r="Q196" s="17">
        <v>0.83217092881656096</v>
      </c>
    </row>
    <row r="197" spans="1:17" x14ac:dyDescent="0.2">
      <c r="A197" t="s">
        <v>384</v>
      </c>
      <c r="B197" s="5" t="s">
        <v>42</v>
      </c>
      <c r="C197" s="5" t="s">
        <v>385</v>
      </c>
      <c r="D197" s="5"/>
      <c r="E197" s="5" t="s">
        <v>17</v>
      </c>
      <c r="G197" s="7" t="s">
        <v>18</v>
      </c>
      <c r="J197" s="5">
        <v>6</v>
      </c>
      <c r="N197" s="13">
        <v>0.14899999999999999</v>
      </c>
      <c r="O197" s="13">
        <v>0.41199999999999998</v>
      </c>
      <c r="P197" s="13">
        <v>0.21199999999999999</v>
      </c>
      <c r="Q197" s="17">
        <v>0.84445920513672001</v>
      </c>
    </row>
    <row r="198" spans="1:17" x14ac:dyDescent="0.2">
      <c r="A198" t="s">
        <v>386</v>
      </c>
      <c r="B198" s="5" t="s">
        <v>15</v>
      </c>
      <c r="C198" s="5" t="s">
        <v>387</v>
      </c>
      <c r="D198" s="5"/>
      <c r="E198" s="5" t="s">
        <v>17</v>
      </c>
      <c r="G198" s="7" t="s">
        <v>18</v>
      </c>
      <c r="J198" s="5">
        <v>2</v>
      </c>
      <c r="N198" s="13">
        <v>0.95</v>
      </c>
      <c r="O198" s="13">
        <v>5.6000000000000001E-2</v>
      </c>
      <c r="P198" s="13">
        <v>0.81299999999999994</v>
      </c>
      <c r="Q198" s="17">
        <v>0.95217535702424405</v>
      </c>
    </row>
    <row r="199" spans="1:17" x14ac:dyDescent="0.2">
      <c r="A199" t="s">
        <v>388</v>
      </c>
      <c r="B199" s="5" t="s">
        <v>64</v>
      </c>
      <c r="C199" s="5" t="s">
        <v>389</v>
      </c>
      <c r="D199" s="5"/>
      <c r="E199" s="5" t="s">
        <v>17</v>
      </c>
      <c r="G199" s="7" t="s">
        <v>18</v>
      </c>
      <c r="J199" s="5">
        <v>16</v>
      </c>
      <c r="N199" s="13">
        <v>0.53300000000000003</v>
      </c>
      <c r="O199" s="13">
        <v>0.63600000000000001</v>
      </c>
      <c r="P199" s="13">
        <v>1.4999999999999999E-2</v>
      </c>
      <c r="Q199" s="17">
        <v>0.405402413373187</v>
      </c>
    </row>
    <row r="200" spans="1:17" x14ac:dyDescent="0.2">
      <c r="A200" t="s">
        <v>390</v>
      </c>
      <c r="B200" s="5" t="s">
        <v>23</v>
      </c>
      <c r="C200" s="5" t="s">
        <v>391</v>
      </c>
      <c r="D200" s="5"/>
      <c r="E200" s="5" t="s">
        <v>17</v>
      </c>
      <c r="G200" t="s">
        <v>26</v>
      </c>
      <c r="J200" s="5">
        <v>159</v>
      </c>
      <c r="N200" s="13">
        <v>0.125</v>
      </c>
      <c r="O200" s="13">
        <v>0.22500000000000001</v>
      </c>
      <c r="P200" s="13">
        <v>0.80300000000000005</v>
      </c>
      <c r="Q200" s="17">
        <v>0.71781246540462695</v>
      </c>
    </row>
    <row r="201" spans="1:17" x14ac:dyDescent="0.2">
      <c r="A201" t="s">
        <v>392</v>
      </c>
      <c r="B201" s="5" t="s">
        <v>15</v>
      </c>
      <c r="C201" s="5" t="s">
        <v>393</v>
      </c>
      <c r="D201" s="5"/>
      <c r="E201" s="5" t="s">
        <v>17</v>
      </c>
      <c r="G201" t="s">
        <v>26</v>
      </c>
      <c r="J201" s="5">
        <v>31</v>
      </c>
      <c r="N201" s="13">
        <v>0.79300000000000004</v>
      </c>
      <c r="O201" s="13">
        <v>2.1999999999999999E-2</v>
      </c>
      <c r="P201" s="13">
        <v>0.46200000000000002</v>
      </c>
      <c r="Q201" s="17">
        <v>0.92627034207904302</v>
      </c>
    </row>
    <row r="202" spans="1:17" x14ac:dyDescent="0.2">
      <c r="A202" t="s">
        <v>394</v>
      </c>
      <c r="B202" s="5" t="s">
        <v>30</v>
      </c>
      <c r="C202" s="6" t="s">
        <v>395</v>
      </c>
      <c r="E202" s="5" t="s">
        <v>17</v>
      </c>
      <c r="F202" s="5" t="s">
        <v>25</v>
      </c>
      <c r="G202" t="s">
        <v>39</v>
      </c>
      <c r="J202" s="5">
        <v>104</v>
      </c>
      <c r="K202" s="5">
        <v>104</v>
      </c>
      <c r="M202" s="5" t="s">
        <v>40</v>
      </c>
      <c r="N202" s="15">
        <v>0.55000000000000004</v>
      </c>
      <c r="O202" s="15">
        <v>0.628</v>
      </c>
      <c r="P202" s="13">
        <v>0.496</v>
      </c>
      <c r="Q202" s="17">
        <v>0.42189748699213903</v>
      </c>
    </row>
    <row r="203" spans="1:17" x14ac:dyDescent="0.2">
      <c r="A203" t="s">
        <v>396</v>
      </c>
      <c r="B203" s="5" t="s">
        <v>95</v>
      </c>
      <c r="C203" s="5" t="s">
        <v>397</v>
      </c>
      <c r="D203" s="5"/>
      <c r="E203" s="5" t="s">
        <v>17</v>
      </c>
      <c r="G203" t="s">
        <v>26</v>
      </c>
      <c r="J203" s="5">
        <v>4</v>
      </c>
      <c r="N203" s="13">
        <v>0.38600000000000001</v>
      </c>
      <c r="O203" s="13">
        <v>0.72799999999999998</v>
      </c>
      <c r="P203" s="13">
        <v>0.58199999999999996</v>
      </c>
      <c r="Q203" s="17">
        <v>0.61817779253847005</v>
      </c>
    </row>
    <row r="204" spans="1:17" x14ac:dyDescent="0.2">
      <c r="A204" t="s">
        <v>398</v>
      </c>
      <c r="B204" s="5" t="s">
        <v>148</v>
      </c>
      <c r="C204" s="5" t="s">
        <v>149</v>
      </c>
      <c r="D204" s="5"/>
      <c r="E204" s="5" t="s">
        <v>17</v>
      </c>
      <c r="G204" s="7" t="s">
        <v>18</v>
      </c>
      <c r="J204" s="5">
        <v>26</v>
      </c>
      <c r="N204" s="13">
        <v>0.56999999999999995</v>
      </c>
      <c r="O204" s="13">
        <v>0.40100000000000002</v>
      </c>
      <c r="P204" s="13">
        <v>0.64900000000000002</v>
      </c>
      <c r="Q204" s="17">
        <v>0.240119561607439</v>
      </c>
    </row>
    <row r="205" spans="1:17" x14ac:dyDescent="0.2">
      <c r="A205" t="s">
        <v>399</v>
      </c>
      <c r="B205" s="5" t="s">
        <v>400</v>
      </c>
      <c r="C205" s="5" t="s">
        <v>401</v>
      </c>
      <c r="D205" s="5"/>
      <c r="E205" s="5" t="s">
        <v>17</v>
      </c>
      <c r="G205" s="7" t="s">
        <v>18</v>
      </c>
      <c r="J205" s="5">
        <v>55</v>
      </c>
      <c r="N205" s="13">
        <v>0.32600000000000001</v>
      </c>
      <c r="O205" s="13">
        <v>0.76500000000000001</v>
      </c>
      <c r="P205" s="13">
        <v>0.28699999999999998</v>
      </c>
      <c r="Q205" s="17">
        <v>8.8342743274659505E-2</v>
      </c>
    </row>
    <row r="206" spans="1:17" x14ac:dyDescent="0.2">
      <c r="A206" t="s">
        <v>402</v>
      </c>
      <c r="B206" s="5" t="s">
        <v>103</v>
      </c>
      <c r="C206" s="5" t="s">
        <v>104</v>
      </c>
      <c r="D206" s="5"/>
      <c r="E206" s="5" t="s">
        <v>17</v>
      </c>
      <c r="G206" s="7" t="s">
        <v>18</v>
      </c>
      <c r="J206" s="5">
        <v>16</v>
      </c>
      <c r="N206" s="13">
        <v>0.69899999999999995</v>
      </c>
      <c r="O206" s="13">
        <v>7.0999999999999994E-2</v>
      </c>
      <c r="P206" s="13">
        <v>0.94699999999999995</v>
      </c>
      <c r="Q206" s="17">
        <v>0.90844680615520801</v>
      </c>
    </row>
    <row r="207" spans="1:17" x14ac:dyDescent="0.2">
      <c r="A207" t="s">
        <v>403</v>
      </c>
      <c r="B207" s="5" t="s">
        <v>225</v>
      </c>
      <c r="C207" s="5" t="s">
        <v>226</v>
      </c>
      <c r="D207" s="5"/>
      <c r="E207" s="5" t="s">
        <v>17</v>
      </c>
      <c r="F207" s="5" t="s">
        <v>25</v>
      </c>
      <c r="G207" t="s">
        <v>26</v>
      </c>
      <c r="J207" s="5">
        <v>38</v>
      </c>
      <c r="N207" s="13">
        <v>0.442</v>
      </c>
      <c r="O207" s="13">
        <v>0.79900000000000004</v>
      </c>
      <c r="P207" s="13">
        <v>0.308</v>
      </c>
      <c r="Q207" s="17">
        <v>0.38248643861397102</v>
      </c>
    </row>
    <row r="208" spans="1:17" x14ac:dyDescent="0.2">
      <c r="A208" t="s">
        <v>404</v>
      </c>
      <c r="B208" s="5" t="s">
        <v>183</v>
      </c>
      <c r="C208" s="14">
        <v>99801</v>
      </c>
      <c r="D208" s="5" t="s">
        <v>405</v>
      </c>
      <c r="E208" s="5" t="s">
        <v>17</v>
      </c>
      <c r="F208" s="5" t="s">
        <v>406</v>
      </c>
      <c r="G208" s="7" t="s">
        <v>406</v>
      </c>
      <c r="J208" s="5">
        <v>35</v>
      </c>
      <c r="N208" s="17"/>
      <c r="O208" s="17">
        <v>0.21299999999999999</v>
      </c>
      <c r="P208" s="17">
        <v>0.78700000000000003</v>
      </c>
      <c r="Q208" s="17">
        <v>0.91852097863389703</v>
      </c>
    </row>
    <row r="209" spans="1:17" x14ac:dyDescent="0.2">
      <c r="A209" t="s">
        <v>407</v>
      </c>
      <c r="B209" s="5" t="s">
        <v>103</v>
      </c>
      <c r="C209" s="5" t="s">
        <v>408</v>
      </c>
      <c r="D209" s="5"/>
      <c r="E209" s="5" t="s">
        <v>17</v>
      </c>
      <c r="G209" t="s">
        <v>26</v>
      </c>
      <c r="J209" s="5">
        <v>100</v>
      </c>
      <c r="N209" s="13">
        <v>0.438</v>
      </c>
      <c r="O209" s="13">
        <v>0.39600000000000002</v>
      </c>
      <c r="P209" s="13">
        <v>0.66</v>
      </c>
      <c r="Q209" s="17">
        <v>0.66877006531606298</v>
      </c>
    </row>
    <row r="210" spans="1:17" x14ac:dyDescent="0.2">
      <c r="A210" t="s">
        <v>409</v>
      </c>
      <c r="B210" s="5" t="s">
        <v>15</v>
      </c>
      <c r="C210" s="5" t="s">
        <v>134</v>
      </c>
      <c r="D210" s="5"/>
      <c r="E210" s="5" t="s">
        <v>17</v>
      </c>
      <c r="G210" t="s">
        <v>26</v>
      </c>
      <c r="J210" s="5">
        <v>75</v>
      </c>
      <c r="N210" s="13">
        <v>0.40300000000000002</v>
      </c>
      <c r="O210" s="13">
        <v>0.17899999999999999</v>
      </c>
      <c r="P210" s="13">
        <v>0.19600000000000001</v>
      </c>
      <c r="Q210" s="17">
        <v>0.77261153548101402</v>
      </c>
    </row>
    <row r="211" spans="1:17" x14ac:dyDescent="0.2">
      <c r="A211" t="s">
        <v>410</v>
      </c>
      <c r="B211" s="5" t="s">
        <v>136</v>
      </c>
      <c r="C211" s="6" t="s">
        <v>411</v>
      </c>
      <c r="E211" s="5" t="s">
        <v>17</v>
      </c>
      <c r="G211" s="7" t="s">
        <v>18</v>
      </c>
      <c r="J211" s="5">
        <v>161</v>
      </c>
      <c r="N211" s="15">
        <v>0.43</v>
      </c>
      <c r="O211" s="15">
        <v>0.38200000000000001</v>
      </c>
      <c r="P211" s="13">
        <v>0.32900000000000001</v>
      </c>
      <c r="Q211" s="17">
        <v>0.62581645079154202</v>
      </c>
    </row>
    <row r="212" spans="1:17" x14ac:dyDescent="0.2">
      <c r="A212" t="s">
        <v>412</v>
      </c>
      <c r="B212" s="5" t="s">
        <v>15</v>
      </c>
      <c r="C212" s="5" t="s">
        <v>413</v>
      </c>
      <c r="D212" s="5"/>
      <c r="E212" s="5" t="s">
        <v>17</v>
      </c>
      <c r="G212" s="7" t="s">
        <v>18</v>
      </c>
      <c r="J212" s="5">
        <v>229</v>
      </c>
      <c r="N212" s="13">
        <v>0.46</v>
      </c>
      <c r="O212" s="13">
        <v>8.5999999999999993E-2</v>
      </c>
      <c r="P212" s="13">
        <v>0.94099999999999995</v>
      </c>
      <c r="Q212" s="17">
        <v>0.86361120336543695</v>
      </c>
    </row>
    <row r="213" spans="1:17" x14ac:dyDescent="0.2">
      <c r="A213" t="s">
        <v>414</v>
      </c>
      <c r="B213" s="5" t="s">
        <v>23</v>
      </c>
      <c r="C213" s="5" t="s">
        <v>325</v>
      </c>
      <c r="D213" s="5"/>
      <c r="E213" s="5" t="s">
        <v>17</v>
      </c>
      <c r="G213" s="7" t="s">
        <v>18</v>
      </c>
      <c r="J213" s="5">
        <v>68</v>
      </c>
      <c r="N213" s="13">
        <v>0.77200000000000002</v>
      </c>
      <c r="O213" s="13">
        <v>0.32200000000000001</v>
      </c>
      <c r="P213" s="13">
        <v>0.76900000000000002</v>
      </c>
      <c r="Q213" s="17">
        <v>0.80870142809697698</v>
      </c>
    </row>
    <row r="214" spans="1:17" x14ac:dyDescent="0.2">
      <c r="A214" t="s">
        <v>415</v>
      </c>
      <c r="B214" s="5" t="s">
        <v>225</v>
      </c>
      <c r="C214" s="6" t="s">
        <v>226</v>
      </c>
      <c r="E214" s="5" t="s">
        <v>17</v>
      </c>
      <c r="G214" s="7" t="s">
        <v>18</v>
      </c>
      <c r="J214" s="5">
        <v>66</v>
      </c>
      <c r="N214" s="15">
        <v>0.44</v>
      </c>
      <c r="O214" s="15">
        <v>0.79900000000000004</v>
      </c>
      <c r="P214" s="13">
        <v>0.308</v>
      </c>
      <c r="Q214" s="17">
        <v>0.38248643861397102</v>
      </c>
    </row>
    <row r="215" spans="1:17" x14ac:dyDescent="0.2">
      <c r="A215" t="s">
        <v>416</v>
      </c>
      <c r="B215" s="5" t="s">
        <v>42</v>
      </c>
      <c r="C215" s="6" t="s">
        <v>153</v>
      </c>
      <c r="E215" s="5" t="s">
        <v>17</v>
      </c>
      <c r="F215" s="5" t="s">
        <v>25</v>
      </c>
      <c r="G215" t="s">
        <v>39</v>
      </c>
      <c r="J215" s="5">
        <v>75</v>
      </c>
      <c r="N215" s="15">
        <v>0.6</v>
      </c>
      <c r="O215" s="15">
        <v>3.1E-2</v>
      </c>
      <c r="P215" s="13">
        <v>0.95299999999999996</v>
      </c>
      <c r="Q215" s="17">
        <v>0.90269013616738603</v>
      </c>
    </row>
    <row r="216" spans="1:17" x14ac:dyDescent="0.2">
      <c r="A216" t="s">
        <v>417</v>
      </c>
      <c r="B216" s="5" t="s">
        <v>418</v>
      </c>
      <c r="C216" s="14">
        <v>52422</v>
      </c>
      <c r="D216" s="22" t="s">
        <v>419</v>
      </c>
      <c r="E216" s="5" t="s">
        <v>17</v>
      </c>
      <c r="G216" s="7" t="s">
        <v>18</v>
      </c>
      <c r="J216" s="5">
        <v>189</v>
      </c>
      <c r="N216" s="17"/>
      <c r="O216" s="17">
        <v>0.85</v>
      </c>
      <c r="P216" s="17">
        <v>7.3999999999999996E-2</v>
      </c>
      <c r="Q216" s="17">
        <v>0.29967895494298602</v>
      </c>
    </row>
    <row r="217" spans="1:17" x14ac:dyDescent="0.2">
      <c r="A217" t="s">
        <v>420</v>
      </c>
      <c r="B217" s="5" t="s">
        <v>33</v>
      </c>
      <c r="C217" s="5" t="s">
        <v>421</v>
      </c>
      <c r="D217" s="5"/>
      <c r="E217" s="5" t="s">
        <v>17</v>
      </c>
      <c r="G217" s="7" t="s">
        <v>18</v>
      </c>
      <c r="J217" s="5">
        <v>156</v>
      </c>
      <c r="N217" s="13">
        <v>0.66800000000000004</v>
      </c>
      <c r="O217" s="13">
        <v>0.47499999999999998</v>
      </c>
      <c r="P217" s="13">
        <v>6.3E-2</v>
      </c>
      <c r="Q217" s="17">
        <v>0.37960810362005898</v>
      </c>
    </row>
    <row r="218" spans="1:17" x14ac:dyDescent="0.2">
      <c r="A218" t="s">
        <v>422</v>
      </c>
      <c r="B218" s="5" t="s">
        <v>58</v>
      </c>
      <c r="C218" s="6" t="s">
        <v>122</v>
      </c>
      <c r="E218" s="5" t="s">
        <v>17</v>
      </c>
      <c r="F218" s="5" t="s">
        <v>25</v>
      </c>
      <c r="G218" t="s">
        <v>39</v>
      </c>
      <c r="J218" s="5">
        <v>57</v>
      </c>
      <c r="N218" s="15">
        <v>0.33</v>
      </c>
      <c r="O218" s="15">
        <v>0.5</v>
      </c>
      <c r="P218" s="13">
        <v>0.75</v>
      </c>
      <c r="Q218" s="17">
        <v>0.81124764751466805</v>
      </c>
    </row>
    <row r="219" spans="1:17" x14ac:dyDescent="0.2">
      <c r="A219" t="s">
        <v>423</v>
      </c>
      <c r="B219" s="5" t="s">
        <v>23</v>
      </c>
      <c r="C219" s="5" t="s">
        <v>424</v>
      </c>
      <c r="D219" s="5"/>
      <c r="E219" s="5" t="s">
        <v>17</v>
      </c>
      <c r="G219" s="7" t="s">
        <v>18</v>
      </c>
      <c r="J219" s="5">
        <v>10</v>
      </c>
      <c r="N219" s="13">
        <v>0.497</v>
      </c>
      <c r="O219" s="13">
        <v>0.23499999999999999</v>
      </c>
      <c r="P219" s="13">
        <v>0.81200000000000006</v>
      </c>
      <c r="Q219" s="17">
        <v>0.71050592272777502</v>
      </c>
    </row>
    <row r="220" spans="1:17" x14ac:dyDescent="0.2">
      <c r="A220" t="s">
        <v>425</v>
      </c>
      <c r="B220" s="5" t="s">
        <v>33</v>
      </c>
      <c r="C220" s="5" t="s">
        <v>426</v>
      </c>
      <c r="D220" s="5"/>
      <c r="E220" s="5" t="s">
        <v>17</v>
      </c>
      <c r="G220" s="7" t="s">
        <v>18</v>
      </c>
      <c r="J220" s="5">
        <v>32</v>
      </c>
      <c r="N220" s="13">
        <v>0.90200000000000002</v>
      </c>
      <c r="O220" s="13">
        <v>0.85599999999999998</v>
      </c>
      <c r="P220" s="13">
        <v>0.17899999999999999</v>
      </c>
      <c r="Q220" s="17">
        <v>4.1625152219639097E-2</v>
      </c>
    </row>
    <row r="221" spans="1:17" x14ac:dyDescent="0.2">
      <c r="A221" t="s">
        <v>427</v>
      </c>
      <c r="B221" s="5" t="s">
        <v>30</v>
      </c>
      <c r="C221" s="5" t="s">
        <v>120</v>
      </c>
      <c r="D221" s="5"/>
      <c r="E221" s="5" t="s">
        <v>17</v>
      </c>
      <c r="G221" s="7" t="s">
        <v>18</v>
      </c>
      <c r="J221" s="5">
        <v>23</v>
      </c>
      <c r="N221" s="13">
        <v>0.221</v>
      </c>
      <c r="O221" s="13">
        <v>0.59899999999999998</v>
      </c>
      <c r="P221" s="13">
        <v>0.98799999999999999</v>
      </c>
      <c r="Q221" s="17">
        <v>0.614745931584191</v>
      </c>
    </row>
    <row r="222" spans="1:17" x14ac:dyDescent="0.2">
      <c r="A222" t="s">
        <v>428</v>
      </c>
      <c r="B222" s="5" t="s">
        <v>15</v>
      </c>
      <c r="C222" s="6" t="s">
        <v>76</v>
      </c>
      <c r="E222" s="5" t="s">
        <v>17</v>
      </c>
      <c r="F222" s="5" t="s">
        <v>25</v>
      </c>
      <c r="G222" t="s">
        <v>39</v>
      </c>
      <c r="J222" s="5">
        <v>36</v>
      </c>
      <c r="K222" s="5">
        <v>36</v>
      </c>
      <c r="L222" s="5">
        <v>28</v>
      </c>
      <c r="N222" s="15">
        <v>0.64</v>
      </c>
      <c r="O222" s="15">
        <v>0.41699999999999998</v>
      </c>
      <c r="P222" s="13">
        <v>0.35699999999999998</v>
      </c>
      <c r="Q222" s="17">
        <v>0.75611646186206105</v>
      </c>
    </row>
    <row r="223" spans="1:17" x14ac:dyDescent="0.2">
      <c r="A223" t="s">
        <v>429</v>
      </c>
      <c r="B223" s="5" t="s">
        <v>15</v>
      </c>
      <c r="C223" s="6" t="s">
        <v>333</v>
      </c>
      <c r="E223" s="5" t="s">
        <v>17</v>
      </c>
      <c r="G223" s="7" t="s">
        <v>18</v>
      </c>
      <c r="J223" s="5">
        <v>21</v>
      </c>
      <c r="K223" s="5">
        <v>21</v>
      </c>
      <c r="N223" s="15">
        <v>0.79</v>
      </c>
      <c r="O223" s="15">
        <v>6.8000000000000005E-2</v>
      </c>
      <c r="P223" s="13">
        <v>0.75600000000000001</v>
      </c>
      <c r="Q223" s="17">
        <v>0.80681943983172799</v>
      </c>
    </row>
    <row r="224" spans="1:17" x14ac:dyDescent="0.2">
      <c r="A224" t="s">
        <v>430</v>
      </c>
      <c r="B224" s="5" t="s">
        <v>30</v>
      </c>
      <c r="C224" s="5" t="s">
        <v>221</v>
      </c>
      <c r="D224" s="5"/>
      <c r="E224" s="5" t="s">
        <v>17</v>
      </c>
      <c r="G224" s="7" t="s">
        <v>18</v>
      </c>
      <c r="J224" s="14"/>
      <c r="K224" s="5">
        <v>18</v>
      </c>
      <c r="N224" s="13">
        <v>0.54200000000000004</v>
      </c>
      <c r="O224" s="13">
        <v>0.52600000000000002</v>
      </c>
      <c r="P224" s="13">
        <v>0.97099999999999997</v>
      </c>
      <c r="Q224" s="17">
        <v>0.57777039743163905</v>
      </c>
    </row>
    <row r="225" spans="1:17" x14ac:dyDescent="0.2">
      <c r="A225" t="s">
        <v>431</v>
      </c>
      <c r="B225" s="5" t="s">
        <v>418</v>
      </c>
      <c r="C225" s="6" t="s">
        <v>432</v>
      </c>
      <c r="E225" s="5" t="s">
        <v>17</v>
      </c>
      <c r="G225" s="7" t="s">
        <v>18</v>
      </c>
      <c r="J225" s="5">
        <v>189</v>
      </c>
      <c r="K225" s="5">
        <v>187</v>
      </c>
      <c r="N225" s="15">
        <v>0.34</v>
      </c>
      <c r="O225" s="15">
        <v>0.85</v>
      </c>
      <c r="P225" s="13">
        <v>7.3999999999999996E-2</v>
      </c>
      <c r="Q225" s="17">
        <v>0.29967895494298602</v>
      </c>
    </row>
    <row r="226" spans="1:17" x14ac:dyDescent="0.2">
      <c r="A226" t="s">
        <v>433</v>
      </c>
      <c r="B226" s="5" t="s">
        <v>273</v>
      </c>
      <c r="C226" s="5" t="s">
        <v>434</v>
      </c>
      <c r="D226" s="5"/>
      <c r="E226" s="5" t="s">
        <v>17</v>
      </c>
      <c r="G226" s="7" t="s">
        <v>18</v>
      </c>
      <c r="J226" s="5">
        <v>105</v>
      </c>
      <c r="N226" s="13">
        <v>0.66700000000000004</v>
      </c>
      <c r="O226" s="13">
        <v>0.79700000000000004</v>
      </c>
      <c r="P226" s="13">
        <v>0.497</v>
      </c>
      <c r="Q226" s="17">
        <v>4.7935348167829003E-2</v>
      </c>
    </row>
    <row r="227" spans="1:17" x14ac:dyDescent="0.2">
      <c r="A227" t="s">
        <v>435</v>
      </c>
      <c r="B227" s="5" t="s">
        <v>45</v>
      </c>
      <c r="C227" s="5" t="s">
        <v>128</v>
      </c>
      <c r="D227" s="5"/>
      <c r="E227" s="5" t="s">
        <v>17</v>
      </c>
      <c r="G227" s="7" t="s">
        <v>18</v>
      </c>
      <c r="J227" s="5">
        <v>106</v>
      </c>
      <c r="N227" s="13">
        <v>0.25</v>
      </c>
      <c r="O227" s="13">
        <v>0.59799999999999998</v>
      </c>
      <c r="P227" s="13">
        <v>0.54900000000000004</v>
      </c>
      <c r="Q227" s="17">
        <v>0.38547547879995497</v>
      </c>
    </row>
    <row r="228" spans="1:17" x14ac:dyDescent="0.2">
      <c r="A228" t="s">
        <v>436</v>
      </c>
      <c r="B228" s="5" t="s">
        <v>15</v>
      </c>
      <c r="C228" s="5" t="s">
        <v>437</v>
      </c>
      <c r="D228" s="5"/>
      <c r="E228" s="5" t="s">
        <v>17</v>
      </c>
      <c r="F228" s="14" t="s">
        <v>25</v>
      </c>
      <c r="G228" t="s">
        <v>26</v>
      </c>
      <c r="J228" s="5">
        <v>178</v>
      </c>
      <c r="N228" s="13">
        <v>0.308</v>
      </c>
      <c r="O228" s="13">
        <v>0.54600000000000004</v>
      </c>
      <c r="P228" s="13">
        <v>0.26200000000000001</v>
      </c>
      <c r="Q228" s="17">
        <v>0.86383261374958498</v>
      </c>
    </row>
    <row r="229" spans="1:17" x14ac:dyDescent="0.2">
      <c r="A229" t="s">
        <v>802</v>
      </c>
      <c r="B229" s="5" t="s">
        <v>30</v>
      </c>
      <c r="C229" s="5" t="s">
        <v>31</v>
      </c>
      <c r="D229" s="5"/>
      <c r="E229" s="5" t="s">
        <v>17</v>
      </c>
      <c r="G229" s="7" t="s">
        <v>18</v>
      </c>
      <c r="J229" s="5">
        <v>12</v>
      </c>
      <c r="N229" s="13">
        <v>0.76100000000000001</v>
      </c>
      <c r="O229" s="13">
        <v>4.9000000000000002E-2</v>
      </c>
      <c r="P229" s="13">
        <v>0.997</v>
      </c>
      <c r="Q229" s="17">
        <v>0.326580316616849</v>
      </c>
    </row>
    <row r="230" spans="1:17" x14ac:dyDescent="0.2">
      <c r="A230" t="s">
        <v>439</v>
      </c>
      <c r="B230" s="5" t="s">
        <v>64</v>
      </c>
      <c r="C230" s="6" t="s">
        <v>440</v>
      </c>
      <c r="E230" s="5" t="s">
        <v>17</v>
      </c>
      <c r="F230" s="14" t="s">
        <v>25</v>
      </c>
      <c r="G230" s="7" t="s">
        <v>18</v>
      </c>
      <c r="J230" s="5">
        <v>114</v>
      </c>
      <c r="N230" s="15">
        <v>0.22</v>
      </c>
      <c r="O230" s="15">
        <v>0.65400000000000003</v>
      </c>
      <c r="P230" s="13">
        <v>0.44700000000000001</v>
      </c>
      <c r="Q230" s="17">
        <v>0.53072069080039797</v>
      </c>
    </row>
    <row r="231" spans="1:17" x14ac:dyDescent="0.2">
      <c r="A231" t="s">
        <v>441</v>
      </c>
      <c r="B231" s="5" t="s">
        <v>64</v>
      </c>
      <c r="C231" s="5" t="s">
        <v>440</v>
      </c>
      <c r="D231" s="5"/>
      <c r="E231" s="5" t="s">
        <v>17</v>
      </c>
      <c r="G231" s="7" t="s">
        <v>18</v>
      </c>
      <c r="J231" s="5">
        <v>114</v>
      </c>
      <c r="N231" s="13">
        <v>0.215</v>
      </c>
      <c r="O231" s="13">
        <v>0.65400000000000003</v>
      </c>
      <c r="P231" s="13">
        <v>0.44700000000000001</v>
      </c>
      <c r="Q231" s="17">
        <v>0.53072069080039797</v>
      </c>
    </row>
    <row r="232" spans="1:17" x14ac:dyDescent="0.2">
      <c r="A232" t="s">
        <v>442</v>
      </c>
      <c r="B232" s="5" t="s">
        <v>169</v>
      </c>
      <c r="C232" s="5" t="s">
        <v>170</v>
      </c>
      <c r="D232" s="5"/>
      <c r="E232" s="5" t="s">
        <v>17</v>
      </c>
      <c r="G232" s="7" t="s">
        <v>18</v>
      </c>
      <c r="J232" s="5">
        <v>9</v>
      </c>
      <c r="N232" s="13">
        <v>0.68600000000000005</v>
      </c>
      <c r="O232" s="13">
        <v>8.2000000000000003E-2</v>
      </c>
      <c r="P232" s="13">
        <v>1</v>
      </c>
      <c r="Q232" s="17">
        <v>0.85154433742942504</v>
      </c>
    </row>
    <row r="233" spans="1:17" x14ac:dyDescent="0.2">
      <c r="A233" t="s">
        <v>443</v>
      </c>
      <c r="B233" s="5" t="s">
        <v>64</v>
      </c>
      <c r="C233" s="6" t="s">
        <v>226</v>
      </c>
      <c r="E233" s="5" t="s">
        <v>17</v>
      </c>
      <c r="F233" s="14" t="s">
        <v>25</v>
      </c>
      <c r="G233" s="7" t="s">
        <v>18</v>
      </c>
      <c r="J233" s="5">
        <v>93</v>
      </c>
      <c r="N233" s="15">
        <v>0.44</v>
      </c>
      <c r="O233" s="15">
        <v>0.79900000000000004</v>
      </c>
      <c r="P233" s="13">
        <v>0.308</v>
      </c>
      <c r="Q233" s="17">
        <v>0.38248643861397102</v>
      </c>
    </row>
    <row r="234" spans="1:17" x14ac:dyDescent="0.2">
      <c r="A234" t="s">
        <v>444</v>
      </c>
      <c r="B234" s="5" t="s">
        <v>64</v>
      </c>
      <c r="C234" s="5" t="s">
        <v>445</v>
      </c>
      <c r="D234" s="5"/>
      <c r="E234" s="5" t="s">
        <v>17</v>
      </c>
      <c r="G234" s="7" t="s">
        <v>18</v>
      </c>
      <c r="J234" s="5">
        <v>93</v>
      </c>
      <c r="N234" s="13">
        <v>0.31</v>
      </c>
      <c r="O234" s="13">
        <v>0.95499999999999996</v>
      </c>
      <c r="P234" s="13">
        <v>8.0000000000000002E-3</v>
      </c>
      <c r="Q234" s="17">
        <v>0.32879442045831903</v>
      </c>
    </row>
    <row r="235" spans="1:17" x14ac:dyDescent="0.2">
      <c r="A235" t="s">
        <v>446</v>
      </c>
      <c r="B235" s="5" t="s">
        <v>45</v>
      </c>
      <c r="C235" s="6" t="s">
        <v>447</v>
      </c>
      <c r="E235" s="5" t="s">
        <v>17</v>
      </c>
      <c r="F235" s="14" t="s">
        <v>25</v>
      </c>
      <c r="G235" t="s">
        <v>26</v>
      </c>
      <c r="J235" s="5">
        <v>20</v>
      </c>
      <c r="N235" s="15">
        <v>0.48</v>
      </c>
      <c r="O235" s="15">
        <v>0.372</v>
      </c>
      <c r="P235" s="13">
        <v>0.66300000000000003</v>
      </c>
      <c r="Q235" s="17">
        <v>0.36001328462304799</v>
      </c>
    </row>
    <row r="236" spans="1:17" x14ac:dyDescent="0.2">
      <c r="A236" t="s">
        <v>448</v>
      </c>
      <c r="B236" s="5" t="s">
        <v>64</v>
      </c>
      <c r="C236" s="5" t="s">
        <v>449</v>
      </c>
      <c r="D236" s="5"/>
      <c r="E236" s="5" t="s">
        <v>17</v>
      </c>
      <c r="G236" t="s">
        <v>26</v>
      </c>
      <c r="J236" s="5">
        <v>30</v>
      </c>
      <c r="N236" s="13">
        <v>0.47899999999999998</v>
      </c>
      <c r="O236" s="13">
        <v>0.29499999999999998</v>
      </c>
      <c r="P236" s="13">
        <v>0.50900000000000001</v>
      </c>
      <c r="Q236" s="17">
        <v>0.65227499169711001</v>
      </c>
    </row>
    <row r="237" spans="1:17" x14ac:dyDescent="0.2">
      <c r="A237" t="s">
        <v>450</v>
      </c>
      <c r="B237" s="5" t="s">
        <v>23</v>
      </c>
      <c r="C237" s="6" t="s">
        <v>451</v>
      </c>
      <c r="E237" s="5" t="s">
        <v>17</v>
      </c>
      <c r="F237" s="14" t="s">
        <v>25</v>
      </c>
      <c r="G237" s="7" t="s">
        <v>18</v>
      </c>
      <c r="J237" s="5">
        <v>32</v>
      </c>
      <c r="N237" s="15">
        <v>0.25</v>
      </c>
      <c r="O237" s="15">
        <v>0.34699999999999998</v>
      </c>
      <c r="P237" s="13">
        <v>0.70799999999999996</v>
      </c>
      <c r="Q237" s="17">
        <v>0.85818664895383501</v>
      </c>
    </row>
    <row r="238" spans="1:17" x14ac:dyDescent="0.2">
      <c r="A238" t="s">
        <v>452</v>
      </c>
      <c r="B238" s="5" t="s">
        <v>45</v>
      </c>
      <c r="C238" s="5" t="s">
        <v>453</v>
      </c>
      <c r="D238" s="5"/>
      <c r="E238" s="5" t="s">
        <v>17</v>
      </c>
      <c r="G238" s="7" t="s">
        <v>18</v>
      </c>
      <c r="J238" s="5">
        <v>80</v>
      </c>
      <c r="N238" s="13">
        <v>0.68899999999999995</v>
      </c>
      <c r="O238" s="13">
        <v>0.13900000000000001</v>
      </c>
      <c r="P238" s="13">
        <v>0.90300000000000002</v>
      </c>
      <c r="Q238" s="17">
        <v>0.57101738071515495</v>
      </c>
    </row>
    <row r="239" spans="1:17" x14ac:dyDescent="0.2">
      <c r="A239" t="s">
        <v>454</v>
      </c>
      <c r="B239" s="5" t="s">
        <v>15</v>
      </c>
      <c r="C239" s="6" t="s">
        <v>72</v>
      </c>
      <c r="E239" s="5" t="s">
        <v>17</v>
      </c>
      <c r="F239" s="14" t="s">
        <v>25</v>
      </c>
      <c r="G239" s="7" t="s">
        <v>18</v>
      </c>
      <c r="J239" s="5">
        <v>45</v>
      </c>
      <c r="N239" s="15">
        <v>0.09</v>
      </c>
      <c r="O239" s="15">
        <v>0.33800000000000002</v>
      </c>
      <c r="P239" s="13">
        <v>0.59</v>
      </c>
      <c r="Q239" s="17">
        <v>0.70386361120336505</v>
      </c>
    </row>
    <row r="240" spans="1:17" x14ac:dyDescent="0.2">
      <c r="A240" t="s">
        <v>455</v>
      </c>
      <c r="B240" s="5" t="s">
        <v>15</v>
      </c>
      <c r="C240" s="6" t="s">
        <v>264</v>
      </c>
      <c r="E240" s="5" t="s">
        <v>17</v>
      </c>
      <c r="F240" s="5" t="s">
        <v>25</v>
      </c>
      <c r="G240" t="s">
        <v>283</v>
      </c>
      <c r="H240" s="7" t="s">
        <v>236</v>
      </c>
      <c r="I240" s="7" t="s">
        <v>18</v>
      </c>
      <c r="J240" s="5">
        <v>49</v>
      </c>
      <c r="N240" s="15">
        <v>0.16</v>
      </c>
      <c r="O240" s="15">
        <v>0.68</v>
      </c>
      <c r="P240" s="13">
        <v>0.76300000000000001</v>
      </c>
      <c r="Q240" s="17">
        <v>0.76010184877670695</v>
      </c>
    </row>
    <row r="241" spans="1:17" x14ac:dyDescent="0.2">
      <c r="A241" t="s">
        <v>456</v>
      </c>
      <c r="B241" s="5" t="s">
        <v>95</v>
      </c>
      <c r="C241" s="6" t="s">
        <v>457</v>
      </c>
      <c r="E241" s="5" t="s">
        <v>17</v>
      </c>
      <c r="F241" s="14" t="s">
        <v>25</v>
      </c>
      <c r="G241" s="7" t="s">
        <v>18</v>
      </c>
      <c r="J241" s="5">
        <v>17</v>
      </c>
      <c r="N241" s="15">
        <v>0.45</v>
      </c>
      <c r="O241" s="15">
        <v>0.70199999999999996</v>
      </c>
      <c r="P241" s="13">
        <v>0.51200000000000001</v>
      </c>
      <c r="Q241" s="17">
        <v>0.54566589173032198</v>
      </c>
    </row>
    <row r="242" spans="1:17" x14ac:dyDescent="0.2">
      <c r="A242" t="s">
        <v>458</v>
      </c>
      <c r="B242" s="5" t="s">
        <v>30</v>
      </c>
      <c r="C242" s="6" t="s">
        <v>84</v>
      </c>
      <c r="E242" s="5" t="s">
        <v>17</v>
      </c>
      <c r="F242" s="14" t="s">
        <v>25</v>
      </c>
      <c r="G242" s="7" t="s">
        <v>18</v>
      </c>
      <c r="J242" s="5">
        <v>81</v>
      </c>
      <c r="N242" s="15">
        <v>0.25</v>
      </c>
      <c r="O242" s="15">
        <v>0.92600000000000005</v>
      </c>
      <c r="P242" s="13">
        <v>0.66500000000000004</v>
      </c>
      <c r="Q242" s="17">
        <v>0.45643750691907398</v>
      </c>
    </row>
    <row r="243" spans="1:17" x14ac:dyDescent="0.2">
      <c r="A243" t="s">
        <v>459</v>
      </c>
      <c r="B243" s="5" t="s">
        <v>15</v>
      </c>
      <c r="C243" s="5" t="s">
        <v>50</v>
      </c>
      <c r="D243" s="5"/>
      <c r="E243" s="5" t="s">
        <v>17</v>
      </c>
      <c r="F243" s="14" t="s">
        <v>25</v>
      </c>
      <c r="G243" s="7" t="s">
        <v>18</v>
      </c>
      <c r="J243" s="14">
        <v>31</v>
      </c>
      <c r="K243" s="14">
        <v>7</v>
      </c>
      <c r="N243" s="13">
        <v>0.76700000000000002</v>
      </c>
      <c r="O243" s="13">
        <v>0.214</v>
      </c>
      <c r="P243" s="13">
        <v>0.98399999999999999</v>
      </c>
      <c r="Q243" s="17">
        <v>0.79264917524631895</v>
      </c>
    </row>
    <row r="244" spans="1:17" x14ac:dyDescent="0.2">
      <c r="A244" t="s">
        <v>460</v>
      </c>
      <c r="B244" s="5" t="s">
        <v>15</v>
      </c>
      <c r="C244" s="6" t="s">
        <v>50</v>
      </c>
      <c r="E244" s="5" t="s">
        <v>17</v>
      </c>
      <c r="F244" s="14" t="s">
        <v>25</v>
      </c>
      <c r="G244" s="7" t="s">
        <v>18</v>
      </c>
      <c r="J244" s="5">
        <v>33</v>
      </c>
      <c r="N244" s="15">
        <v>0.77</v>
      </c>
      <c r="O244" s="15">
        <v>0.214</v>
      </c>
      <c r="P244" s="13">
        <v>0.98399999999999999</v>
      </c>
      <c r="Q244" s="17">
        <v>0.79264917524631895</v>
      </c>
    </row>
    <row r="245" spans="1:17" x14ac:dyDescent="0.2">
      <c r="A245" t="s">
        <v>461</v>
      </c>
      <c r="B245" s="5" t="s">
        <v>64</v>
      </c>
      <c r="C245" s="5" t="s">
        <v>462</v>
      </c>
      <c r="D245" s="5"/>
      <c r="E245" s="5" t="s">
        <v>17</v>
      </c>
      <c r="G245" s="7" t="s">
        <v>18</v>
      </c>
      <c r="J245" s="5">
        <v>21</v>
      </c>
      <c r="N245" s="13">
        <v>0.21099999999999999</v>
      </c>
      <c r="O245" s="13">
        <v>0.379</v>
      </c>
      <c r="P245" s="13">
        <v>0.17799999999999999</v>
      </c>
      <c r="Q245" s="17">
        <v>0.54644082807483596</v>
      </c>
    </row>
    <row r="246" spans="1:17" x14ac:dyDescent="0.2">
      <c r="A246" t="s">
        <v>463</v>
      </c>
      <c r="B246" s="5" t="s">
        <v>30</v>
      </c>
      <c r="C246" s="6" t="s">
        <v>120</v>
      </c>
      <c r="E246" s="5" t="s">
        <v>17</v>
      </c>
      <c r="F246" s="14" t="s">
        <v>25</v>
      </c>
      <c r="G246" s="7" t="s">
        <v>18</v>
      </c>
      <c r="J246" s="5">
        <v>58</v>
      </c>
      <c r="N246" s="15">
        <v>0.22</v>
      </c>
      <c r="O246" s="15">
        <v>0.59899999999999998</v>
      </c>
      <c r="P246" s="13">
        <v>0.98799999999999999</v>
      </c>
      <c r="Q246" s="17">
        <v>0.614745931584191</v>
      </c>
    </row>
    <row r="247" spans="1:17" x14ac:dyDescent="0.2">
      <c r="A247" t="s">
        <v>464</v>
      </c>
      <c r="B247" s="5" t="s">
        <v>465</v>
      </c>
      <c r="C247" s="6" t="s">
        <v>466</v>
      </c>
      <c r="E247" s="5" t="s">
        <v>17</v>
      </c>
      <c r="F247" s="14" t="s">
        <v>25</v>
      </c>
      <c r="G247" t="s">
        <v>26</v>
      </c>
      <c r="J247" s="5">
        <v>35</v>
      </c>
      <c r="N247" s="15">
        <v>0.9</v>
      </c>
      <c r="O247" s="15">
        <v>0.41199999999999998</v>
      </c>
      <c r="P247" s="13">
        <v>0.29399999999999998</v>
      </c>
      <c r="Q247" s="17">
        <v>0.57267795859625803</v>
      </c>
    </row>
    <row r="248" spans="1:17" x14ac:dyDescent="0.2">
      <c r="A248" t="s">
        <v>467</v>
      </c>
      <c r="B248" s="5" t="s">
        <v>15</v>
      </c>
      <c r="C248" s="6" t="s">
        <v>76</v>
      </c>
      <c r="E248" s="5" t="s">
        <v>17</v>
      </c>
      <c r="F248" s="14" t="s">
        <v>25</v>
      </c>
      <c r="G248" s="7" t="s">
        <v>18</v>
      </c>
      <c r="J248" s="5">
        <v>9</v>
      </c>
      <c r="N248" s="15">
        <v>0.64</v>
      </c>
      <c r="O248" s="15">
        <v>0.41699999999999998</v>
      </c>
      <c r="P248" s="13">
        <v>0.35699999999999998</v>
      </c>
      <c r="Q248" s="17">
        <v>0.75611646186206105</v>
      </c>
    </row>
    <row r="249" spans="1:17" x14ac:dyDescent="0.2">
      <c r="A249" t="s">
        <v>468</v>
      </c>
      <c r="B249" s="5" t="s">
        <v>15</v>
      </c>
      <c r="C249" s="5" t="s">
        <v>469</v>
      </c>
      <c r="D249" s="5"/>
      <c r="E249" s="5" t="s">
        <v>17</v>
      </c>
      <c r="G249" s="7" t="s">
        <v>18</v>
      </c>
      <c r="J249" s="5">
        <v>40</v>
      </c>
      <c r="N249" s="13">
        <v>0.86199999999999999</v>
      </c>
      <c r="O249" s="13">
        <v>0.38300000000000001</v>
      </c>
      <c r="P249" s="13">
        <v>0.48799999999999999</v>
      </c>
      <c r="Q249" s="17">
        <v>0.79962360234694996</v>
      </c>
    </row>
    <row r="250" spans="1:17" x14ac:dyDescent="0.2">
      <c r="A250" t="s">
        <v>470</v>
      </c>
      <c r="B250" s="5" t="s">
        <v>15</v>
      </c>
      <c r="C250" s="6" t="s">
        <v>471</v>
      </c>
      <c r="E250" s="5" t="s">
        <v>17</v>
      </c>
      <c r="F250" s="14" t="s">
        <v>25</v>
      </c>
      <c r="G250" t="s">
        <v>39</v>
      </c>
      <c r="H250" s="7" t="s">
        <v>18</v>
      </c>
      <c r="J250" s="5">
        <v>22</v>
      </c>
      <c r="N250" s="15">
        <v>0.94</v>
      </c>
      <c r="O250" s="15">
        <v>4.8000000000000001E-2</v>
      </c>
      <c r="P250" s="13">
        <v>0.98899999999999999</v>
      </c>
      <c r="Q250" s="17">
        <v>0.88874128196612401</v>
      </c>
    </row>
    <row r="251" spans="1:17" x14ac:dyDescent="0.2">
      <c r="A251" t="s">
        <v>472</v>
      </c>
      <c r="B251" s="5" t="s">
        <v>20</v>
      </c>
      <c r="C251" s="5" t="s">
        <v>155</v>
      </c>
      <c r="D251" s="5"/>
      <c r="E251" s="5" t="s">
        <v>17</v>
      </c>
      <c r="G251" t="s">
        <v>26</v>
      </c>
      <c r="J251" s="5">
        <v>74</v>
      </c>
      <c r="N251" s="13">
        <v>0.55700000000000005</v>
      </c>
      <c r="O251" s="13">
        <v>0.25800000000000001</v>
      </c>
      <c r="P251" s="13">
        <v>0.43</v>
      </c>
      <c r="Q251" s="17">
        <v>0.55297243440717303</v>
      </c>
    </row>
    <row r="252" spans="1:17" x14ac:dyDescent="0.2">
      <c r="A252" t="s">
        <v>473</v>
      </c>
      <c r="B252" s="5" t="s">
        <v>139</v>
      </c>
      <c r="C252" s="5" t="s">
        <v>140</v>
      </c>
      <c r="D252" s="5"/>
      <c r="E252" s="5" t="s">
        <v>17</v>
      </c>
      <c r="G252" s="7" t="s">
        <v>18</v>
      </c>
      <c r="J252" s="5">
        <v>9</v>
      </c>
      <c r="N252" s="13">
        <v>0.89300000000000002</v>
      </c>
      <c r="O252" s="13">
        <v>0.307</v>
      </c>
      <c r="P252" s="13">
        <v>0.61399999999999999</v>
      </c>
      <c r="Q252" s="17">
        <v>0.77681833277980705</v>
      </c>
    </row>
    <row r="253" spans="1:17" x14ac:dyDescent="0.2">
      <c r="A253" t="s">
        <v>474</v>
      </c>
      <c r="B253" s="5" t="s">
        <v>90</v>
      </c>
      <c r="C253" s="5" t="s">
        <v>298</v>
      </c>
      <c r="D253" s="5"/>
      <c r="E253" s="5" t="s">
        <v>17</v>
      </c>
      <c r="G253" t="s">
        <v>26</v>
      </c>
      <c r="J253" s="5">
        <v>72</v>
      </c>
      <c r="N253" s="13">
        <v>0.64100000000000001</v>
      </c>
      <c r="O253" s="13">
        <v>0.52700000000000002</v>
      </c>
      <c r="P253" s="13">
        <v>0.36899999999999999</v>
      </c>
      <c r="Q253" s="17">
        <v>0.16495073618952699</v>
      </c>
    </row>
    <row r="254" spans="1:17" x14ac:dyDescent="0.2">
      <c r="A254" t="s">
        <v>475</v>
      </c>
      <c r="B254" s="5" t="s">
        <v>15</v>
      </c>
      <c r="C254" s="5" t="s">
        <v>118</v>
      </c>
      <c r="D254" s="5"/>
      <c r="E254" s="5" t="s">
        <v>17</v>
      </c>
      <c r="G254" t="s">
        <v>39</v>
      </c>
      <c r="H254" s="7" t="s">
        <v>18</v>
      </c>
      <c r="J254" s="5">
        <v>4</v>
      </c>
      <c r="N254" s="13">
        <v>0.79700000000000004</v>
      </c>
      <c r="O254" s="13">
        <v>8.2000000000000003E-2</v>
      </c>
      <c r="P254" s="13">
        <v>0.73799999999999999</v>
      </c>
      <c r="Q254" s="17">
        <v>0.89649064541126899</v>
      </c>
    </row>
    <row r="255" spans="1:17" x14ac:dyDescent="0.2">
      <c r="A255" t="s">
        <v>476</v>
      </c>
      <c r="B255" s="5" t="s">
        <v>15</v>
      </c>
      <c r="C255" s="5" t="s">
        <v>477</v>
      </c>
      <c r="D255" s="5"/>
      <c r="E255" s="5" t="s">
        <v>17</v>
      </c>
      <c r="G255" s="7" t="s">
        <v>18</v>
      </c>
      <c r="J255" s="5">
        <v>12</v>
      </c>
      <c r="N255" s="13">
        <v>0.16900000000000001</v>
      </c>
      <c r="O255" s="13">
        <v>0.29699999999999999</v>
      </c>
      <c r="P255" s="13">
        <v>0.93700000000000006</v>
      </c>
      <c r="Q255" s="17">
        <v>0.90623270231373798</v>
      </c>
    </row>
    <row r="256" spans="1:17" x14ac:dyDescent="0.2">
      <c r="A256" t="s">
        <v>478</v>
      </c>
      <c r="B256" s="5" t="s">
        <v>52</v>
      </c>
      <c r="C256" s="5" t="s">
        <v>479</v>
      </c>
      <c r="D256" s="5"/>
      <c r="E256" s="5" t="s">
        <v>17</v>
      </c>
      <c r="G256" t="s">
        <v>26</v>
      </c>
      <c r="J256" s="5">
        <v>55</v>
      </c>
      <c r="N256" s="13">
        <v>0.82899999999999996</v>
      </c>
      <c r="O256" s="13">
        <v>0.34399999999999997</v>
      </c>
      <c r="P256" s="13">
        <v>0.68200000000000005</v>
      </c>
      <c r="Q256" s="17">
        <v>0.80084135945975798</v>
      </c>
    </row>
    <row r="257" spans="1:17" x14ac:dyDescent="0.2">
      <c r="A257" t="s">
        <v>480</v>
      </c>
      <c r="B257" s="5" t="s">
        <v>465</v>
      </c>
      <c r="C257" s="5" t="s">
        <v>466</v>
      </c>
      <c r="D257" s="5"/>
      <c r="E257" s="5" t="s">
        <v>17</v>
      </c>
      <c r="F257" s="14" t="s">
        <v>25</v>
      </c>
      <c r="G257" s="7" t="s">
        <v>18</v>
      </c>
      <c r="J257" s="5" t="s">
        <v>481</v>
      </c>
      <c r="N257" s="13">
        <v>0.89500000000000002</v>
      </c>
      <c r="O257" s="13">
        <v>0.41199999999999998</v>
      </c>
      <c r="P257" s="13">
        <v>0.29399999999999998</v>
      </c>
      <c r="Q257" s="17">
        <v>0.57267795859625803</v>
      </c>
    </row>
    <row r="258" spans="1:17" x14ac:dyDescent="0.2">
      <c r="A258" t="s">
        <v>482</v>
      </c>
      <c r="B258" s="5" t="s">
        <v>103</v>
      </c>
      <c r="C258" s="5" t="s">
        <v>132</v>
      </c>
      <c r="D258" s="5"/>
      <c r="E258" s="5" t="s">
        <v>17</v>
      </c>
      <c r="G258" s="7" t="s">
        <v>18</v>
      </c>
      <c r="J258" s="5">
        <v>24</v>
      </c>
      <c r="N258" s="13">
        <v>0.63500000000000001</v>
      </c>
      <c r="O258" s="13">
        <v>0.26800000000000002</v>
      </c>
      <c r="P258" s="13">
        <v>0.86</v>
      </c>
      <c r="Q258" s="17">
        <v>0.85099081146905697</v>
      </c>
    </row>
    <row r="259" spans="1:17" x14ac:dyDescent="0.2">
      <c r="A259" t="s">
        <v>483</v>
      </c>
      <c r="B259" s="5" t="s">
        <v>52</v>
      </c>
      <c r="C259" s="5" t="s">
        <v>484</v>
      </c>
      <c r="D259" s="5"/>
      <c r="E259" s="5" t="s">
        <v>17</v>
      </c>
      <c r="G259" s="7" t="s">
        <v>18</v>
      </c>
      <c r="J259" s="5">
        <v>22</v>
      </c>
      <c r="N259" s="13">
        <v>0.191</v>
      </c>
      <c r="O259" s="13">
        <v>0.30499999999999999</v>
      </c>
      <c r="P259" s="13">
        <v>0.66700000000000004</v>
      </c>
      <c r="Q259" s="17">
        <v>0.76176242665781002</v>
      </c>
    </row>
    <row r="260" spans="1:17" x14ac:dyDescent="0.2">
      <c r="A260" t="s">
        <v>485</v>
      </c>
      <c r="B260" s="5" t="s">
        <v>169</v>
      </c>
      <c r="C260" s="6" t="s">
        <v>486</v>
      </c>
      <c r="E260" s="5" t="s">
        <v>17</v>
      </c>
      <c r="F260" s="5" t="s">
        <v>25</v>
      </c>
      <c r="G260" t="s">
        <v>283</v>
      </c>
      <c r="H260" s="7" t="s">
        <v>236</v>
      </c>
      <c r="I260" s="7" t="s">
        <v>18</v>
      </c>
      <c r="J260" s="5">
        <v>69</v>
      </c>
      <c r="N260" s="15">
        <v>0.69</v>
      </c>
      <c r="O260" s="15">
        <v>0.08</v>
      </c>
      <c r="P260" s="13">
        <v>1</v>
      </c>
      <c r="Q260" s="17"/>
    </row>
    <row r="261" spans="1:17" x14ac:dyDescent="0.2">
      <c r="A261" t="s">
        <v>487</v>
      </c>
      <c r="B261" s="5" t="s">
        <v>42</v>
      </c>
      <c r="C261" s="6" t="s">
        <v>290</v>
      </c>
      <c r="E261" s="5" t="s">
        <v>17</v>
      </c>
      <c r="F261" s="5" t="s">
        <v>25</v>
      </c>
      <c r="G261" t="s">
        <v>39</v>
      </c>
      <c r="H261" s="7" t="s">
        <v>18</v>
      </c>
      <c r="J261" s="5">
        <v>56</v>
      </c>
      <c r="N261" s="15">
        <v>0.66</v>
      </c>
      <c r="O261" s="15">
        <v>2.5999999999999999E-2</v>
      </c>
      <c r="P261" s="13">
        <v>0.36199999999999999</v>
      </c>
      <c r="Q261" s="17">
        <v>0.92305989150891099</v>
      </c>
    </row>
    <row r="262" spans="1:17" x14ac:dyDescent="0.2">
      <c r="A262" t="s">
        <v>488</v>
      </c>
      <c r="B262" s="5" t="s">
        <v>95</v>
      </c>
      <c r="C262" s="6" t="s">
        <v>96</v>
      </c>
      <c r="E262" s="5" t="s">
        <v>17</v>
      </c>
      <c r="F262" s="14" t="s">
        <v>25</v>
      </c>
      <c r="G262" s="7" t="s">
        <v>18</v>
      </c>
      <c r="J262" s="5">
        <v>74</v>
      </c>
      <c r="N262" s="15">
        <v>0.28999999999999998</v>
      </c>
      <c r="O262" s="15">
        <v>0.438</v>
      </c>
      <c r="P262" s="13">
        <v>0.86599999999999999</v>
      </c>
      <c r="Q262" s="17">
        <v>0.66865936012398897</v>
      </c>
    </row>
    <row r="263" spans="1:17" x14ac:dyDescent="0.2">
      <c r="A263" t="s">
        <v>489</v>
      </c>
      <c r="B263" s="5" t="s">
        <v>95</v>
      </c>
      <c r="C263" s="5" t="s">
        <v>304</v>
      </c>
      <c r="D263" s="5"/>
      <c r="E263" s="5" t="s">
        <v>17</v>
      </c>
      <c r="G263" s="7" t="s">
        <v>18</v>
      </c>
      <c r="J263" s="5">
        <v>40</v>
      </c>
      <c r="N263" s="13">
        <v>0.70499999999999996</v>
      </c>
      <c r="O263" s="13">
        <v>0.28100000000000003</v>
      </c>
      <c r="P263" s="13">
        <v>0.35699999999999998</v>
      </c>
      <c r="Q263" s="17">
        <v>0.76663345510904402</v>
      </c>
    </row>
    <row r="264" spans="1:17" x14ac:dyDescent="0.2">
      <c r="A264" t="s">
        <v>490</v>
      </c>
      <c r="B264" s="5" t="s">
        <v>30</v>
      </c>
      <c r="C264" s="5" t="s">
        <v>491</v>
      </c>
      <c r="D264" s="5"/>
      <c r="E264" s="5" t="s">
        <v>17</v>
      </c>
      <c r="F264" s="14" t="s">
        <v>25</v>
      </c>
      <c r="G264" s="7" t="s">
        <v>18</v>
      </c>
      <c r="J264" s="5">
        <v>8</v>
      </c>
      <c r="N264" s="13">
        <v>0.41099999999999998</v>
      </c>
      <c r="O264" s="13">
        <v>0.59899999999999998</v>
      </c>
      <c r="P264" s="13">
        <v>0.65</v>
      </c>
      <c r="Q264" s="17">
        <v>0.47802501937340802</v>
      </c>
    </row>
    <row r="265" spans="1:17" x14ac:dyDescent="0.2">
      <c r="A265" t="s">
        <v>492</v>
      </c>
      <c r="B265" s="5" t="s">
        <v>103</v>
      </c>
      <c r="C265" s="5" t="s">
        <v>162</v>
      </c>
      <c r="D265" s="5"/>
      <c r="E265" s="5" t="s">
        <v>17</v>
      </c>
      <c r="F265" s="14" t="s">
        <v>25</v>
      </c>
      <c r="G265" s="7" t="s">
        <v>18</v>
      </c>
      <c r="J265" s="5">
        <v>55</v>
      </c>
      <c r="N265" s="13">
        <v>0.69799999999999995</v>
      </c>
      <c r="O265" s="13">
        <v>0.28999999999999998</v>
      </c>
      <c r="P265" s="13">
        <v>0.60299999999999998</v>
      </c>
      <c r="Q265" s="17">
        <v>0.73475035979187397</v>
      </c>
    </row>
    <row r="266" spans="1:17" x14ac:dyDescent="0.2">
      <c r="A266" t="s">
        <v>493</v>
      </c>
      <c r="B266" s="5" t="s">
        <v>95</v>
      </c>
      <c r="C266" s="6" t="s">
        <v>313</v>
      </c>
      <c r="E266" s="5" t="s">
        <v>17</v>
      </c>
      <c r="F266" s="14" t="s">
        <v>25</v>
      </c>
      <c r="G266" s="7" t="s">
        <v>18</v>
      </c>
      <c r="J266" s="5">
        <v>56</v>
      </c>
      <c r="N266" s="15">
        <v>0.53</v>
      </c>
      <c r="O266" s="15">
        <v>0.26</v>
      </c>
      <c r="P266" s="13">
        <v>0.92500000000000004</v>
      </c>
      <c r="Q266" s="17">
        <v>0.86969998892947997</v>
      </c>
    </row>
    <row r="267" spans="1:17" x14ac:dyDescent="0.2">
      <c r="A267" t="s">
        <v>494</v>
      </c>
      <c r="B267" s="5" t="s">
        <v>103</v>
      </c>
      <c r="C267" s="6" t="s">
        <v>495</v>
      </c>
      <c r="E267" s="5" t="s">
        <v>17</v>
      </c>
      <c r="F267" s="14" t="s">
        <v>25</v>
      </c>
      <c r="G267" s="7" t="s">
        <v>18</v>
      </c>
      <c r="J267" s="5">
        <v>203</v>
      </c>
      <c r="N267" s="15">
        <v>0.08</v>
      </c>
      <c r="O267" s="15">
        <v>0.89500000000000002</v>
      </c>
      <c r="P267" s="13">
        <v>0.746</v>
      </c>
      <c r="Q267" s="17">
        <v>0.42986826082143198</v>
      </c>
    </row>
    <row r="268" spans="1:17" x14ac:dyDescent="0.2">
      <c r="A268" t="s">
        <v>496</v>
      </c>
      <c r="B268" s="5" t="s">
        <v>30</v>
      </c>
      <c r="C268" s="5" t="s">
        <v>497</v>
      </c>
      <c r="D268" s="5"/>
      <c r="E268" s="5" t="s">
        <v>17</v>
      </c>
      <c r="F268" s="14" t="s">
        <v>25</v>
      </c>
      <c r="G268" s="7" t="s">
        <v>18</v>
      </c>
      <c r="J268" s="5">
        <v>12</v>
      </c>
      <c r="N268" s="13">
        <v>0.214</v>
      </c>
      <c r="O268" s="13">
        <v>0.84599999999999997</v>
      </c>
      <c r="P268" s="13">
        <v>0.57899999999999996</v>
      </c>
      <c r="Q268" s="17">
        <v>0.235469943540352</v>
      </c>
    </row>
    <row r="269" spans="1:17" x14ac:dyDescent="0.2">
      <c r="A269" t="s">
        <v>498</v>
      </c>
      <c r="B269" s="5" t="s">
        <v>30</v>
      </c>
      <c r="C269" s="5" t="s">
        <v>395</v>
      </c>
      <c r="D269" s="5"/>
      <c r="E269" s="5" t="s">
        <v>17</v>
      </c>
      <c r="F269" s="14" t="s">
        <v>25</v>
      </c>
      <c r="G269" s="7" t="s">
        <v>18</v>
      </c>
      <c r="J269" s="5">
        <v>65</v>
      </c>
      <c r="N269" s="13">
        <v>0.55200000000000005</v>
      </c>
      <c r="O269" s="13">
        <v>0.628</v>
      </c>
      <c r="P269" s="13">
        <v>0.496</v>
      </c>
      <c r="Q269" s="17">
        <v>0.42189748699213903</v>
      </c>
    </row>
    <row r="270" spans="1:17" x14ac:dyDescent="0.2">
      <c r="A270" t="s">
        <v>499</v>
      </c>
      <c r="B270" s="5" t="s">
        <v>15</v>
      </c>
      <c r="C270" s="5" t="s">
        <v>500</v>
      </c>
      <c r="D270" s="5"/>
      <c r="E270" s="5" t="s">
        <v>17</v>
      </c>
      <c r="G270" s="7" t="s">
        <v>18</v>
      </c>
      <c r="J270" s="5">
        <v>2</v>
      </c>
      <c r="N270" s="13">
        <v>0.79100000000000004</v>
      </c>
      <c r="O270" s="13">
        <v>0.35299999999999998</v>
      </c>
      <c r="P270" s="13">
        <v>0.60599999999999998</v>
      </c>
      <c r="Q270" s="17">
        <v>0.73452894940772695</v>
      </c>
    </row>
    <row r="271" spans="1:17" x14ac:dyDescent="0.2">
      <c r="A271" t="s">
        <v>501</v>
      </c>
      <c r="B271" s="5" t="s">
        <v>225</v>
      </c>
      <c r="C271" s="5" t="s">
        <v>502</v>
      </c>
      <c r="D271" s="5"/>
      <c r="E271" s="5" t="s">
        <v>17</v>
      </c>
      <c r="F271" s="5" t="s">
        <v>25</v>
      </c>
      <c r="G271" t="s">
        <v>39</v>
      </c>
      <c r="J271" s="5">
        <v>53</v>
      </c>
      <c r="N271" s="13">
        <v>0.56000000000000005</v>
      </c>
      <c r="O271" s="13">
        <v>0.77500000000000002</v>
      </c>
      <c r="P271" s="13">
        <v>0.157</v>
      </c>
      <c r="Q271" s="17">
        <v>0.36067751577548901</v>
      </c>
    </row>
    <row r="272" spans="1:17" s="5" customFormat="1" x14ac:dyDescent="0.2">
      <c r="A272" s="5" t="s">
        <v>503</v>
      </c>
      <c r="B272" s="5" t="s">
        <v>225</v>
      </c>
      <c r="C272" s="6" t="s">
        <v>502</v>
      </c>
      <c r="D272" s="6"/>
      <c r="E272" s="5" t="s">
        <v>17</v>
      </c>
      <c r="F272" s="14" t="s">
        <v>25</v>
      </c>
      <c r="G272" s="7" t="s">
        <v>18</v>
      </c>
      <c r="H272" s="7"/>
      <c r="J272" s="5">
        <v>68</v>
      </c>
      <c r="N272" s="15">
        <v>0.56000000000000005</v>
      </c>
      <c r="O272" s="15">
        <v>0.77500000000000002</v>
      </c>
      <c r="P272" s="13">
        <v>0.157</v>
      </c>
      <c r="Q272" s="17">
        <v>0.36067751577548901</v>
      </c>
    </row>
    <row r="273" spans="1:17" s="5" customFormat="1" x14ac:dyDescent="0.2">
      <c r="A273" s="5" t="s">
        <v>504</v>
      </c>
      <c r="B273" s="5" t="s">
        <v>45</v>
      </c>
      <c r="C273" s="5" t="s">
        <v>505</v>
      </c>
      <c r="E273" s="5" t="s">
        <v>17</v>
      </c>
      <c r="G273" s="7" t="s">
        <v>18</v>
      </c>
      <c r="H273" s="7"/>
      <c r="J273" s="5">
        <v>5</v>
      </c>
      <c r="N273" s="13">
        <v>0.35799999999999998</v>
      </c>
      <c r="O273" s="13">
        <v>0.114</v>
      </c>
      <c r="P273" s="13">
        <v>0.873</v>
      </c>
      <c r="Q273" s="17">
        <v>0.82209675633787205</v>
      </c>
    </row>
    <row r="274" spans="1:17" s="5" customFormat="1" x14ac:dyDescent="0.2">
      <c r="A274" s="5" t="s">
        <v>506</v>
      </c>
      <c r="B274" s="5" t="s">
        <v>45</v>
      </c>
      <c r="C274" s="5" t="s">
        <v>505</v>
      </c>
      <c r="E274" s="5" t="s">
        <v>17</v>
      </c>
      <c r="G274" s="7" t="s">
        <v>18</v>
      </c>
      <c r="H274" s="7"/>
      <c r="J274" s="5">
        <v>5</v>
      </c>
      <c r="N274" s="13">
        <v>0.35799999999999998</v>
      </c>
      <c r="O274" s="13">
        <v>0.114</v>
      </c>
      <c r="P274" s="13">
        <v>0.873</v>
      </c>
      <c r="Q274" s="17">
        <v>0.82209675633787205</v>
      </c>
    </row>
    <row r="275" spans="1:17" s="5" customFormat="1" x14ac:dyDescent="0.2">
      <c r="A275" s="5" t="s">
        <v>507</v>
      </c>
      <c r="B275" s="5" t="s">
        <v>45</v>
      </c>
      <c r="C275" s="5" t="s">
        <v>505</v>
      </c>
      <c r="E275" s="5" t="s">
        <v>17</v>
      </c>
      <c r="G275" s="7" t="s">
        <v>18</v>
      </c>
      <c r="H275" s="7"/>
      <c r="J275" s="5">
        <v>4</v>
      </c>
      <c r="N275" s="13">
        <v>0.35799999999999998</v>
      </c>
      <c r="O275" s="13">
        <v>0.114</v>
      </c>
      <c r="P275" s="13">
        <v>0.873</v>
      </c>
      <c r="Q275" s="17">
        <v>0.82209675633787205</v>
      </c>
    </row>
    <row r="276" spans="1:17" s="5" customFormat="1" x14ac:dyDescent="0.2">
      <c r="A276" s="5" t="s">
        <v>508</v>
      </c>
      <c r="B276" s="5" t="s">
        <v>45</v>
      </c>
      <c r="C276" s="5" t="s">
        <v>505</v>
      </c>
      <c r="E276" s="5" t="s">
        <v>17</v>
      </c>
      <c r="G276" s="7" t="s">
        <v>18</v>
      </c>
      <c r="H276" s="7"/>
      <c r="J276" s="5">
        <v>5</v>
      </c>
      <c r="N276" s="13">
        <v>0.35799999999999998</v>
      </c>
      <c r="O276" s="13">
        <v>0.114</v>
      </c>
      <c r="P276" s="13">
        <v>0.873</v>
      </c>
      <c r="Q276" s="17">
        <v>0.82209675633787205</v>
      </c>
    </row>
    <row r="277" spans="1:17" s="5" customFormat="1" x14ac:dyDescent="0.2">
      <c r="A277" s="5" t="s">
        <v>509</v>
      </c>
      <c r="B277" s="5" t="s">
        <v>45</v>
      </c>
      <c r="C277" s="6" t="s">
        <v>505</v>
      </c>
      <c r="D277" s="6"/>
      <c r="E277" s="5" t="s">
        <v>17</v>
      </c>
      <c r="F277" s="14" t="s">
        <v>25</v>
      </c>
      <c r="G277" s="7" t="s">
        <v>18</v>
      </c>
      <c r="H277" s="7"/>
      <c r="J277" s="14"/>
      <c r="N277" s="15">
        <v>0.36</v>
      </c>
      <c r="O277" s="15">
        <v>0.114</v>
      </c>
      <c r="P277" s="13">
        <v>0.873</v>
      </c>
      <c r="Q277" s="17">
        <v>0.82209675633787205</v>
      </c>
    </row>
    <row r="278" spans="1:17" s="5" customFormat="1" x14ac:dyDescent="0.2">
      <c r="A278" s="5" t="s">
        <v>510</v>
      </c>
      <c r="B278" s="5" t="s">
        <v>20</v>
      </c>
      <c r="C278" s="5" t="s">
        <v>511</v>
      </c>
      <c r="E278" s="5" t="s">
        <v>17</v>
      </c>
      <c r="G278" s="7" t="s">
        <v>18</v>
      </c>
      <c r="H278" s="7"/>
      <c r="J278" s="14"/>
      <c r="N278" s="13">
        <v>0.35599999999999998</v>
      </c>
      <c r="O278" s="13">
        <v>0.60899999999999999</v>
      </c>
      <c r="P278" s="13">
        <v>0.29599999999999999</v>
      </c>
      <c r="Q278" s="17">
        <v>0.50769401084910804</v>
      </c>
    </row>
    <row r="279" spans="1:17" s="5" customFormat="1" x14ac:dyDescent="0.2">
      <c r="A279" s="5" t="s">
        <v>512</v>
      </c>
      <c r="B279" s="5" t="s">
        <v>45</v>
      </c>
      <c r="C279" s="5" t="s">
        <v>505</v>
      </c>
      <c r="E279" s="5" t="s">
        <v>17</v>
      </c>
      <c r="G279" s="7" t="s">
        <v>18</v>
      </c>
      <c r="H279" s="7"/>
      <c r="J279" s="5">
        <v>65</v>
      </c>
      <c r="N279" s="13">
        <v>0.35799999999999998</v>
      </c>
      <c r="O279" s="13">
        <v>0.114</v>
      </c>
      <c r="P279" s="13">
        <v>0.873</v>
      </c>
      <c r="Q279" s="17">
        <v>0.82209675633787205</v>
      </c>
    </row>
    <row r="280" spans="1:17" s="5" customFormat="1" x14ac:dyDescent="0.2">
      <c r="A280" s="5" t="s">
        <v>513</v>
      </c>
      <c r="B280" s="5" t="s">
        <v>45</v>
      </c>
      <c r="C280" s="6" t="s">
        <v>82</v>
      </c>
      <c r="D280" s="6"/>
      <c r="E280" s="5" t="s">
        <v>17</v>
      </c>
      <c r="F280" s="14" t="s">
        <v>25</v>
      </c>
      <c r="G280" s="7" t="s">
        <v>18</v>
      </c>
      <c r="H280" s="7"/>
      <c r="J280" s="5">
        <v>77</v>
      </c>
      <c r="N280" s="15">
        <v>0.27</v>
      </c>
      <c r="O280" s="15">
        <v>0.77300000000000002</v>
      </c>
      <c r="P280" s="13">
        <v>0.106</v>
      </c>
      <c r="Q280" s="17">
        <v>0.381268681501162</v>
      </c>
    </row>
    <row r="281" spans="1:17" s="5" customFormat="1" x14ac:dyDescent="0.2">
      <c r="A281" s="5" t="s">
        <v>514</v>
      </c>
      <c r="B281" s="5" t="s">
        <v>95</v>
      </c>
      <c r="C281" s="5" t="s">
        <v>357</v>
      </c>
      <c r="E281" s="5" t="s">
        <v>17</v>
      </c>
      <c r="G281" s="5" t="s">
        <v>26</v>
      </c>
      <c r="H281" s="7"/>
      <c r="J281" s="5">
        <v>6</v>
      </c>
      <c r="N281" s="13">
        <v>0.19600000000000001</v>
      </c>
      <c r="O281" s="13">
        <v>0.21099999999999999</v>
      </c>
      <c r="P281" s="13">
        <v>0.70399999999999996</v>
      </c>
      <c r="Q281" s="17">
        <v>0.62614856636776195</v>
      </c>
    </row>
    <row r="282" spans="1:17" s="5" customFormat="1" x14ac:dyDescent="0.2">
      <c r="A282" s="5" t="s">
        <v>515</v>
      </c>
      <c r="B282" s="5" t="s">
        <v>95</v>
      </c>
      <c r="C282" s="5" t="s">
        <v>158</v>
      </c>
      <c r="E282" s="5" t="s">
        <v>17</v>
      </c>
      <c r="G282" s="7" t="s">
        <v>18</v>
      </c>
      <c r="H282" s="7"/>
      <c r="J282" s="5">
        <v>24</v>
      </c>
      <c r="N282" s="13">
        <v>0.92600000000000005</v>
      </c>
      <c r="O282" s="13">
        <v>0.502</v>
      </c>
      <c r="P282" s="13">
        <v>0.48899999999999999</v>
      </c>
      <c r="Q282" s="17">
        <v>0.59028008413594601</v>
      </c>
    </row>
    <row r="283" spans="1:17" s="5" customFormat="1" x14ac:dyDescent="0.2">
      <c r="A283" s="5" t="s">
        <v>516</v>
      </c>
      <c r="B283" s="5" t="s">
        <v>95</v>
      </c>
      <c r="C283" s="6" t="s">
        <v>397</v>
      </c>
      <c r="D283" s="6"/>
      <c r="E283" s="5" t="s">
        <v>17</v>
      </c>
      <c r="F283" s="14" t="s">
        <v>25</v>
      </c>
      <c r="G283" s="7" t="s">
        <v>18</v>
      </c>
      <c r="H283" s="7"/>
      <c r="J283" s="5">
        <v>64</v>
      </c>
      <c r="N283" s="15">
        <v>0.39</v>
      </c>
      <c r="O283" s="13">
        <v>0.72799999999999998</v>
      </c>
      <c r="P283" s="13">
        <v>0.58199999999999996</v>
      </c>
      <c r="Q283" s="17">
        <v>0.61817779253847005</v>
      </c>
    </row>
    <row r="284" spans="1:17" s="5" customFormat="1" x14ac:dyDescent="0.2">
      <c r="A284" s="5" t="s">
        <v>517</v>
      </c>
      <c r="B284" s="5" t="s">
        <v>30</v>
      </c>
      <c r="C284" s="6" t="s">
        <v>518</v>
      </c>
      <c r="D284" s="6"/>
      <c r="E284" s="5" t="s">
        <v>17</v>
      </c>
      <c r="F284" s="14" t="s">
        <v>25</v>
      </c>
      <c r="G284" s="7" t="s">
        <v>18</v>
      </c>
      <c r="H284" s="7"/>
      <c r="J284" s="14">
        <v>136</v>
      </c>
      <c r="K284" s="14">
        <v>60</v>
      </c>
      <c r="N284" s="15">
        <v>0.56999999999999995</v>
      </c>
      <c r="O284" s="15">
        <v>0.60299999999999998</v>
      </c>
      <c r="P284" s="13">
        <v>0.441</v>
      </c>
      <c r="Q284" s="17">
        <v>0.43927820214767999</v>
      </c>
    </row>
    <row r="285" spans="1:17" s="5" customFormat="1" x14ac:dyDescent="0.2">
      <c r="A285" s="5" t="s">
        <v>519</v>
      </c>
      <c r="B285" s="5" t="s">
        <v>58</v>
      </c>
      <c r="C285" s="6" t="s">
        <v>520</v>
      </c>
      <c r="D285" s="6"/>
      <c r="E285" s="5" t="s">
        <v>17</v>
      </c>
      <c r="F285" s="5" t="s">
        <v>25</v>
      </c>
      <c r="G285" s="7" t="s">
        <v>18</v>
      </c>
      <c r="H285" s="7"/>
      <c r="J285" s="14"/>
      <c r="N285" s="15">
        <v>0.6</v>
      </c>
      <c r="O285" s="15">
        <v>0.625</v>
      </c>
      <c r="P285" s="13">
        <v>0</v>
      </c>
      <c r="Q285" s="17">
        <v>0.452230709620281</v>
      </c>
    </row>
    <row r="286" spans="1:17" s="5" customFormat="1" x14ac:dyDescent="0.2">
      <c r="A286" s="5" t="s">
        <v>521</v>
      </c>
      <c r="B286" s="5" t="s">
        <v>95</v>
      </c>
      <c r="C286" s="5" t="s">
        <v>397</v>
      </c>
      <c r="E286" s="5" t="s">
        <v>17</v>
      </c>
      <c r="G286" s="5" t="s">
        <v>26</v>
      </c>
      <c r="H286" s="7"/>
      <c r="J286" s="5">
        <v>17</v>
      </c>
      <c r="N286" s="13">
        <v>0.38600000000000001</v>
      </c>
      <c r="O286" s="13">
        <v>0.72799999999999998</v>
      </c>
      <c r="P286" s="13">
        <v>0.58199999999999996</v>
      </c>
      <c r="Q286" s="17">
        <v>0.61817779253847005</v>
      </c>
    </row>
    <row r="287" spans="1:17" s="5" customFormat="1" x14ac:dyDescent="0.2">
      <c r="A287" s="5" t="s">
        <v>522</v>
      </c>
      <c r="B287" s="5" t="s">
        <v>45</v>
      </c>
      <c r="C287" s="5" t="s">
        <v>447</v>
      </c>
      <c r="E287" s="5" t="s">
        <v>17</v>
      </c>
      <c r="F287" s="14" t="s">
        <v>25</v>
      </c>
      <c r="G287" s="7" t="s">
        <v>18</v>
      </c>
      <c r="H287" s="7"/>
      <c r="J287" s="5">
        <v>48</v>
      </c>
      <c r="N287" s="13">
        <v>0.47699999999999998</v>
      </c>
      <c r="O287" s="13">
        <v>0.372</v>
      </c>
      <c r="P287" s="13">
        <v>0.66300000000000003</v>
      </c>
      <c r="Q287" s="17">
        <v>0.36001328462304799</v>
      </c>
    </row>
    <row r="288" spans="1:17" s="5" customFormat="1" x14ac:dyDescent="0.2">
      <c r="A288" s="5" t="s">
        <v>523</v>
      </c>
      <c r="B288" s="5" t="s">
        <v>45</v>
      </c>
      <c r="C288" s="6" t="s">
        <v>505</v>
      </c>
      <c r="D288" s="6"/>
      <c r="E288" s="5" t="s">
        <v>17</v>
      </c>
      <c r="F288" s="14" t="s">
        <v>25</v>
      </c>
      <c r="G288" s="7" t="s">
        <v>18</v>
      </c>
      <c r="H288" s="7"/>
      <c r="J288" s="5">
        <v>6</v>
      </c>
      <c r="N288" s="15">
        <v>0.36</v>
      </c>
      <c r="O288" s="15">
        <v>0.114</v>
      </c>
      <c r="P288" s="13">
        <v>0.873</v>
      </c>
      <c r="Q288" s="17">
        <v>0.82209675633787205</v>
      </c>
    </row>
    <row r="289" spans="1:17" s="5" customFormat="1" x14ac:dyDescent="0.2">
      <c r="A289" s="5" t="s">
        <v>524</v>
      </c>
      <c r="B289" s="5" t="s">
        <v>169</v>
      </c>
      <c r="C289" s="5" t="s">
        <v>170</v>
      </c>
      <c r="E289" s="5" t="s">
        <v>17</v>
      </c>
      <c r="G289" s="5" t="s">
        <v>26</v>
      </c>
      <c r="H289" s="7"/>
      <c r="J289" s="5">
        <v>97</v>
      </c>
      <c r="N289" s="13">
        <v>0.68600000000000005</v>
      </c>
      <c r="O289" s="13">
        <v>8.2000000000000003E-2</v>
      </c>
      <c r="P289" s="13">
        <v>1</v>
      </c>
      <c r="Q289" s="17">
        <v>0.85154433742942504</v>
      </c>
    </row>
    <row r="290" spans="1:17" s="5" customFormat="1" x14ac:dyDescent="0.2">
      <c r="A290" s="5" t="s">
        <v>525</v>
      </c>
      <c r="B290" s="5" t="s">
        <v>15</v>
      </c>
      <c r="C290" s="5" t="s">
        <v>526</v>
      </c>
      <c r="E290" s="5" t="s">
        <v>17</v>
      </c>
      <c r="G290" s="5" t="s">
        <v>26</v>
      </c>
      <c r="H290" s="7"/>
      <c r="J290" s="5">
        <v>27</v>
      </c>
      <c r="N290" s="13">
        <v>0.47499999999999998</v>
      </c>
      <c r="O290" s="13">
        <v>0.77700000000000002</v>
      </c>
      <c r="P290" s="13">
        <v>0.42299999999999999</v>
      </c>
      <c r="Q290" s="17">
        <v>0.31606332336986598</v>
      </c>
    </row>
    <row r="291" spans="1:17" s="5" customFormat="1" x14ac:dyDescent="0.2">
      <c r="A291" s="5" t="s">
        <v>527</v>
      </c>
      <c r="B291" s="5" t="s">
        <v>103</v>
      </c>
      <c r="C291" s="6" t="s">
        <v>195</v>
      </c>
      <c r="D291" s="6"/>
      <c r="E291" s="5" t="s">
        <v>17</v>
      </c>
      <c r="F291" s="14" t="s">
        <v>25</v>
      </c>
      <c r="G291" s="7" t="s">
        <v>18</v>
      </c>
      <c r="H291" s="7"/>
      <c r="J291" s="5">
        <v>223</v>
      </c>
      <c r="N291" s="15">
        <v>0.72</v>
      </c>
      <c r="O291" s="15">
        <v>0.16900000000000001</v>
      </c>
      <c r="P291" s="13">
        <v>0.98099999999999998</v>
      </c>
      <c r="Q291" s="17">
        <v>0.84479132071294105</v>
      </c>
    </row>
    <row r="292" spans="1:17" s="5" customFormat="1" x14ac:dyDescent="0.2">
      <c r="A292" s="5" t="s">
        <v>528</v>
      </c>
      <c r="B292" s="5" t="s">
        <v>15</v>
      </c>
      <c r="C292" s="6" t="s">
        <v>466</v>
      </c>
      <c r="D292" s="6"/>
      <c r="E292" s="5" t="s">
        <v>17</v>
      </c>
      <c r="F292" s="14" t="s">
        <v>25</v>
      </c>
      <c r="G292" s="7" t="s">
        <v>18</v>
      </c>
      <c r="H292" s="7"/>
      <c r="J292" s="5">
        <v>58</v>
      </c>
      <c r="N292" s="15">
        <v>0.9</v>
      </c>
      <c r="O292" s="15">
        <v>0.41199999999999998</v>
      </c>
      <c r="P292" s="13">
        <v>0.29399999999999998</v>
      </c>
      <c r="Q292" s="17">
        <v>0.57267795859625803</v>
      </c>
    </row>
    <row r="293" spans="1:17" s="5" customFormat="1" x14ac:dyDescent="0.2">
      <c r="A293" s="5" t="s">
        <v>529</v>
      </c>
      <c r="B293" s="5" t="s">
        <v>530</v>
      </c>
      <c r="C293" s="6" t="s">
        <v>531</v>
      </c>
      <c r="D293" s="6"/>
      <c r="E293" s="5" t="s">
        <v>17</v>
      </c>
      <c r="F293" s="14" t="s">
        <v>25</v>
      </c>
      <c r="G293" s="7" t="s">
        <v>18</v>
      </c>
      <c r="H293" s="7"/>
      <c r="J293" s="14"/>
      <c r="N293" s="15">
        <v>0.22</v>
      </c>
      <c r="O293" s="15">
        <v>0.93200000000000005</v>
      </c>
      <c r="P293" s="13">
        <v>0.153</v>
      </c>
      <c r="Q293" s="17">
        <v>0.10760544669545</v>
      </c>
    </row>
    <row r="294" spans="1:17" s="5" customFormat="1" x14ac:dyDescent="0.2">
      <c r="A294" s="5" t="s">
        <v>532</v>
      </c>
      <c r="B294" s="5" t="s">
        <v>30</v>
      </c>
      <c r="C294" s="6" t="s">
        <v>120</v>
      </c>
      <c r="D294" s="6"/>
      <c r="E294" s="5" t="s">
        <v>17</v>
      </c>
      <c r="F294" s="14" t="s">
        <v>25</v>
      </c>
      <c r="G294" s="7" t="s">
        <v>18</v>
      </c>
      <c r="H294" s="7"/>
      <c r="J294" s="14"/>
      <c r="N294" s="15">
        <v>0.22</v>
      </c>
      <c r="O294" s="15">
        <v>0.59899999999999998</v>
      </c>
      <c r="P294" s="13">
        <v>0.98799999999999999</v>
      </c>
      <c r="Q294" s="17">
        <v>0.614745931584191</v>
      </c>
    </row>
    <row r="295" spans="1:17" s="5" customFormat="1" x14ac:dyDescent="0.2">
      <c r="A295" s="5" t="s">
        <v>533</v>
      </c>
      <c r="B295" s="5" t="s">
        <v>58</v>
      </c>
      <c r="C295" s="6" t="s">
        <v>264</v>
      </c>
      <c r="D295" s="6"/>
      <c r="E295" s="5" t="s">
        <v>17</v>
      </c>
      <c r="F295" s="14" t="s">
        <v>25</v>
      </c>
      <c r="G295" s="7" t="s">
        <v>18</v>
      </c>
      <c r="H295" s="7"/>
      <c r="J295" s="5">
        <v>70</v>
      </c>
      <c r="N295" s="15">
        <v>0.16</v>
      </c>
      <c r="O295" s="15">
        <v>0.68</v>
      </c>
      <c r="P295" s="13">
        <v>0.76300000000000001</v>
      </c>
      <c r="Q295" s="17">
        <v>0.76010184877670695</v>
      </c>
    </row>
    <row r="296" spans="1:17" s="5" customFormat="1" x14ac:dyDescent="0.2">
      <c r="A296" s="5" t="s">
        <v>534</v>
      </c>
      <c r="B296" s="5" t="s">
        <v>20</v>
      </c>
      <c r="C296" s="5" t="s">
        <v>535</v>
      </c>
      <c r="E296" s="5" t="s">
        <v>17</v>
      </c>
      <c r="G296" s="7" t="s">
        <v>18</v>
      </c>
      <c r="H296" s="7"/>
      <c r="J296" s="5">
        <v>59</v>
      </c>
      <c r="N296" s="13">
        <v>3.4000000000000002E-2</v>
      </c>
      <c r="O296" s="13">
        <v>0.92900000000000005</v>
      </c>
      <c r="P296" s="13">
        <v>0.22</v>
      </c>
      <c r="Q296" s="17">
        <v>0.27720580095206399</v>
      </c>
    </row>
    <row r="297" spans="1:17" s="5" customFormat="1" x14ac:dyDescent="0.2">
      <c r="A297" s="5" t="s">
        <v>536</v>
      </c>
      <c r="B297" s="5" t="s">
        <v>139</v>
      </c>
      <c r="C297" s="5" t="s">
        <v>537</v>
      </c>
      <c r="E297" s="5" t="s">
        <v>17</v>
      </c>
      <c r="G297" s="5" t="s">
        <v>26</v>
      </c>
      <c r="H297" s="7"/>
      <c r="J297" s="5">
        <v>334</v>
      </c>
      <c r="N297" s="13">
        <v>0.90200000000000002</v>
      </c>
      <c r="O297" s="13">
        <v>3.1E-2</v>
      </c>
      <c r="P297" s="13">
        <v>0.876</v>
      </c>
      <c r="Q297" s="17">
        <v>0.93811579763090802</v>
      </c>
    </row>
    <row r="298" spans="1:17" s="5" customFormat="1" x14ac:dyDescent="0.2">
      <c r="A298" s="5" t="s">
        <v>538</v>
      </c>
      <c r="B298" s="5" t="s">
        <v>30</v>
      </c>
      <c r="C298" s="6" t="s">
        <v>120</v>
      </c>
      <c r="D298" s="6"/>
      <c r="E298" s="5" t="s">
        <v>17</v>
      </c>
      <c r="F298" s="14" t="s">
        <v>25</v>
      </c>
      <c r="G298" s="7" t="s">
        <v>18</v>
      </c>
      <c r="H298" s="7"/>
      <c r="J298" s="5">
        <v>37</v>
      </c>
      <c r="N298" s="15">
        <v>0.22</v>
      </c>
      <c r="O298" s="15">
        <v>0.59899999999999998</v>
      </c>
      <c r="P298" s="13">
        <v>0.98799999999999999</v>
      </c>
      <c r="Q298" s="17">
        <v>0.614745931584191</v>
      </c>
    </row>
    <row r="299" spans="1:17" s="5" customFormat="1" x14ac:dyDescent="0.2">
      <c r="A299" s="5" t="s">
        <v>539</v>
      </c>
      <c r="B299" s="5" t="s">
        <v>15</v>
      </c>
      <c r="C299" s="6" t="s">
        <v>387</v>
      </c>
      <c r="D299" s="6"/>
      <c r="E299" s="5" t="s">
        <v>17</v>
      </c>
      <c r="F299" s="14" t="s">
        <v>25</v>
      </c>
      <c r="G299" s="7" t="s">
        <v>18</v>
      </c>
      <c r="H299" s="7"/>
      <c r="J299" s="5">
        <v>392</v>
      </c>
      <c r="N299" s="15">
        <v>0.95</v>
      </c>
      <c r="O299" s="15">
        <v>5.6000000000000001E-2</v>
      </c>
      <c r="P299" s="13">
        <v>0.81299999999999994</v>
      </c>
      <c r="Q299" s="17">
        <v>0.95217535702424405</v>
      </c>
    </row>
    <row r="300" spans="1:17" s="5" customFormat="1" x14ac:dyDescent="0.2">
      <c r="A300" s="5" t="s">
        <v>540</v>
      </c>
      <c r="B300" s="5" t="s">
        <v>95</v>
      </c>
      <c r="C300" s="5" t="s">
        <v>96</v>
      </c>
      <c r="E300" s="5" t="s">
        <v>17</v>
      </c>
      <c r="G300" s="7" t="s">
        <v>18</v>
      </c>
      <c r="H300" s="7"/>
      <c r="J300" s="5">
        <v>3</v>
      </c>
      <c r="N300" s="13">
        <v>0.28799999999999998</v>
      </c>
      <c r="O300" s="13">
        <v>0.438</v>
      </c>
      <c r="P300" s="13">
        <v>0.86599999999999999</v>
      </c>
      <c r="Q300" s="17">
        <v>0.66865936012398897</v>
      </c>
    </row>
    <row r="301" spans="1:17" s="5" customFormat="1" x14ac:dyDescent="0.2">
      <c r="A301" s="5" t="s">
        <v>541</v>
      </c>
      <c r="B301" s="5" t="s">
        <v>225</v>
      </c>
      <c r="C301" s="6" t="s">
        <v>542</v>
      </c>
      <c r="D301" s="6"/>
      <c r="E301" s="5" t="s">
        <v>17</v>
      </c>
      <c r="F301" s="14" t="s">
        <v>25</v>
      </c>
      <c r="G301" s="5" t="s">
        <v>26</v>
      </c>
      <c r="H301" s="7"/>
      <c r="J301" s="5">
        <v>100</v>
      </c>
      <c r="N301" s="15">
        <v>0.3</v>
      </c>
      <c r="O301" s="15">
        <v>0.68700000000000006</v>
      </c>
      <c r="P301" s="13">
        <v>0.32</v>
      </c>
      <c r="Q301" s="17">
        <v>0.17945311635115599</v>
      </c>
    </row>
    <row r="302" spans="1:17" s="5" customFormat="1" x14ac:dyDescent="0.2">
      <c r="A302" s="5" t="s">
        <v>543</v>
      </c>
      <c r="B302" s="5" t="s">
        <v>15</v>
      </c>
      <c r="C302" s="6" t="s">
        <v>387</v>
      </c>
      <c r="D302" s="6"/>
      <c r="E302" s="5" t="s">
        <v>17</v>
      </c>
      <c r="F302" s="14" t="s">
        <v>25</v>
      </c>
      <c r="G302" s="7" t="s">
        <v>18</v>
      </c>
      <c r="H302" s="7"/>
      <c r="J302" s="5">
        <v>174</v>
      </c>
      <c r="N302" s="15">
        <v>0.95</v>
      </c>
      <c r="O302" s="15">
        <v>5.6000000000000001E-2</v>
      </c>
      <c r="P302" s="13">
        <v>0.81299999999999994</v>
      </c>
      <c r="Q302" s="17">
        <v>0.95217535702424405</v>
      </c>
    </row>
    <row r="303" spans="1:17" s="5" customFormat="1" x14ac:dyDescent="0.2">
      <c r="A303" s="5" t="s">
        <v>544</v>
      </c>
      <c r="B303" s="5" t="s">
        <v>30</v>
      </c>
      <c r="C303" s="6" t="s">
        <v>531</v>
      </c>
      <c r="D303" s="6"/>
      <c r="E303" s="5" t="s">
        <v>17</v>
      </c>
      <c r="G303" s="5" t="s">
        <v>26</v>
      </c>
      <c r="H303" s="7"/>
      <c r="J303" s="5">
        <v>219</v>
      </c>
      <c r="N303" s="15">
        <v>0.22</v>
      </c>
      <c r="O303" s="15">
        <v>0.93200000000000005</v>
      </c>
      <c r="P303" s="13">
        <v>0.153</v>
      </c>
      <c r="Q303" s="17">
        <v>0.10760544669545</v>
      </c>
    </row>
    <row r="304" spans="1:17" s="5" customFormat="1" x14ac:dyDescent="0.2">
      <c r="A304" s="5" t="s">
        <v>545</v>
      </c>
      <c r="B304" s="5" t="s">
        <v>15</v>
      </c>
      <c r="C304" s="6" t="s">
        <v>546</v>
      </c>
      <c r="D304" s="6"/>
      <c r="E304" s="5" t="s">
        <v>17</v>
      </c>
      <c r="F304" s="14" t="s">
        <v>25</v>
      </c>
      <c r="G304" s="7" t="s">
        <v>18</v>
      </c>
      <c r="H304" s="7"/>
      <c r="J304" s="5">
        <v>112</v>
      </c>
      <c r="N304" s="15">
        <v>0.57999999999999996</v>
      </c>
      <c r="O304" s="15">
        <v>0.11700000000000001</v>
      </c>
      <c r="P304" s="13">
        <v>0.88900000000000001</v>
      </c>
      <c r="Q304" s="17">
        <v>0.824642975755562</v>
      </c>
    </row>
    <row r="305" spans="1:17" s="5" customFormat="1" x14ac:dyDescent="0.2">
      <c r="A305" s="5" t="s">
        <v>547</v>
      </c>
      <c r="B305" s="5" t="s">
        <v>45</v>
      </c>
      <c r="C305" s="6" t="s">
        <v>82</v>
      </c>
      <c r="D305" s="6"/>
      <c r="E305" s="5" t="s">
        <v>17</v>
      </c>
      <c r="F305" s="5" t="s">
        <v>25</v>
      </c>
      <c r="G305" s="5" t="s">
        <v>26</v>
      </c>
      <c r="H305" s="7" t="s">
        <v>39</v>
      </c>
      <c r="J305" s="14"/>
      <c r="N305" s="15">
        <v>0.27</v>
      </c>
      <c r="O305" s="15">
        <v>0.77300000000000002</v>
      </c>
      <c r="P305" s="13">
        <v>0.106</v>
      </c>
      <c r="Q305" s="17">
        <v>0.381268681501162</v>
      </c>
    </row>
    <row r="306" spans="1:17" s="5" customFormat="1" x14ac:dyDescent="0.2">
      <c r="A306" s="5" t="s">
        <v>548</v>
      </c>
      <c r="B306" s="5" t="s">
        <v>95</v>
      </c>
      <c r="C306" s="5" t="s">
        <v>549</v>
      </c>
      <c r="E306" s="5" t="s">
        <v>17</v>
      </c>
      <c r="G306" s="5" t="s">
        <v>26</v>
      </c>
      <c r="H306" s="7"/>
      <c r="J306" s="5">
        <v>15</v>
      </c>
      <c r="N306" s="13">
        <v>0.379</v>
      </c>
      <c r="O306" s="13">
        <v>0.25700000000000001</v>
      </c>
      <c r="P306" s="13">
        <v>0.68899999999999995</v>
      </c>
      <c r="Q306" s="17">
        <v>0.69235027122771997</v>
      </c>
    </row>
    <row r="307" spans="1:17" s="5" customFormat="1" x14ac:dyDescent="0.2">
      <c r="A307" s="5" t="s">
        <v>550</v>
      </c>
      <c r="B307" s="5" t="s">
        <v>68</v>
      </c>
      <c r="C307" s="16" t="s">
        <v>551</v>
      </c>
      <c r="D307" s="6" t="s">
        <v>552</v>
      </c>
      <c r="E307" s="5" t="s">
        <v>17</v>
      </c>
      <c r="F307" s="14" t="s">
        <v>25</v>
      </c>
      <c r="G307" s="5" t="s">
        <v>236</v>
      </c>
      <c r="H307" s="7"/>
      <c r="J307" s="5">
        <v>49</v>
      </c>
      <c r="N307" s="15">
        <v>0.03</v>
      </c>
      <c r="O307" s="15">
        <v>4.0000000000000001E-3</v>
      </c>
      <c r="P307" s="15">
        <v>0</v>
      </c>
      <c r="Q307" s="17"/>
    </row>
    <row r="308" spans="1:17" s="5" customFormat="1" x14ac:dyDescent="0.2">
      <c r="A308" s="5" t="s">
        <v>553</v>
      </c>
      <c r="B308" s="5" t="s">
        <v>139</v>
      </c>
      <c r="C308" s="6" t="s">
        <v>537</v>
      </c>
      <c r="D308" s="6"/>
      <c r="E308" s="5" t="s">
        <v>17</v>
      </c>
      <c r="F308" s="14" t="s">
        <v>25</v>
      </c>
      <c r="G308" s="7" t="s">
        <v>18</v>
      </c>
      <c r="H308" s="7"/>
      <c r="J308" s="5">
        <v>103</v>
      </c>
      <c r="N308" s="15">
        <v>0.9</v>
      </c>
      <c r="O308" s="15">
        <v>3.1E-2</v>
      </c>
      <c r="P308" s="13">
        <v>0.876</v>
      </c>
      <c r="Q308" s="17">
        <v>0.93811579763090802</v>
      </c>
    </row>
    <row r="309" spans="1:17" s="5" customFormat="1" x14ac:dyDescent="0.2">
      <c r="A309" s="5" t="s">
        <v>554</v>
      </c>
      <c r="B309" s="5" t="s">
        <v>95</v>
      </c>
      <c r="C309" s="5" t="s">
        <v>158</v>
      </c>
      <c r="E309" s="5" t="s">
        <v>17</v>
      </c>
      <c r="G309" s="7" t="s">
        <v>18</v>
      </c>
      <c r="H309" s="7"/>
      <c r="J309" s="5">
        <v>56</v>
      </c>
      <c r="N309" s="13">
        <v>0.92600000000000005</v>
      </c>
      <c r="O309" s="13">
        <v>0.502</v>
      </c>
      <c r="P309" s="13">
        <v>0.48899999999999999</v>
      </c>
      <c r="Q309" s="17">
        <v>0.59028008413594601</v>
      </c>
    </row>
    <row r="310" spans="1:17" s="5" customFormat="1" x14ac:dyDescent="0.2">
      <c r="A310" s="5" t="s">
        <v>555</v>
      </c>
      <c r="B310" s="5" t="s">
        <v>139</v>
      </c>
      <c r="C310" s="5" t="s">
        <v>537</v>
      </c>
      <c r="E310" s="5" t="s">
        <v>17</v>
      </c>
      <c r="G310" s="7" t="s">
        <v>18</v>
      </c>
      <c r="H310" s="7"/>
      <c r="J310" s="5">
        <v>102</v>
      </c>
      <c r="N310" s="13">
        <v>0.90200000000000002</v>
      </c>
      <c r="O310" s="13">
        <v>3.1E-2</v>
      </c>
      <c r="P310" s="13">
        <v>0.876</v>
      </c>
      <c r="Q310" s="17">
        <v>0.93811579763090802</v>
      </c>
    </row>
    <row r="311" spans="1:17" s="5" customFormat="1" x14ac:dyDescent="0.2">
      <c r="A311" s="5" t="s">
        <v>556</v>
      </c>
      <c r="B311" s="5" t="s">
        <v>20</v>
      </c>
      <c r="C311" s="5" t="s">
        <v>78</v>
      </c>
      <c r="E311" s="5" t="s">
        <v>17</v>
      </c>
      <c r="G311" s="7" t="s">
        <v>18</v>
      </c>
      <c r="H311" s="7"/>
      <c r="J311" s="5">
        <v>4</v>
      </c>
      <c r="N311" s="13">
        <v>0.495</v>
      </c>
      <c r="O311" s="13">
        <v>3.2000000000000001E-2</v>
      </c>
      <c r="P311" s="13">
        <v>0.88900000000000001</v>
      </c>
      <c r="Q311" s="17">
        <v>0.69157533488320599</v>
      </c>
    </row>
    <row r="312" spans="1:17" s="5" customFormat="1" x14ac:dyDescent="0.2">
      <c r="A312" s="5" t="s">
        <v>557</v>
      </c>
      <c r="B312" s="5" t="s">
        <v>169</v>
      </c>
      <c r="C312" s="16" t="s">
        <v>558</v>
      </c>
      <c r="D312" s="6" t="s">
        <v>559</v>
      </c>
      <c r="E312" s="5" t="s">
        <v>17</v>
      </c>
      <c r="F312" s="5" t="s">
        <v>25</v>
      </c>
      <c r="G312" s="7" t="s">
        <v>18</v>
      </c>
      <c r="H312" s="7"/>
      <c r="J312" s="5">
        <v>16</v>
      </c>
      <c r="N312" s="15">
        <v>0.19</v>
      </c>
      <c r="O312" s="15">
        <v>5.2999999999999999E-2</v>
      </c>
      <c r="P312" s="13">
        <v>0.77900000000000003</v>
      </c>
      <c r="Q312" s="17">
        <v>0.94420458319495104</v>
      </c>
    </row>
    <row r="313" spans="1:17" s="5" customFormat="1" x14ac:dyDescent="0.2">
      <c r="A313" s="5" t="s">
        <v>560</v>
      </c>
      <c r="B313" s="5" t="s">
        <v>15</v>
      </c>
      <c r="C313" s="5" t="s">
        <v>210</v>
      </c>
      <c r="E313" s="5" t="s">
        <v>17</v>
      </c>
      <c r="G313" s="7" t="s">
        <v>18</v>
      </c>
      <c r="H313" s="7"/>
      <c r="J313" s="5">
        <v>71</v>
      </c>
      <c r="N313" s="13">
        <v>0.42399999999999999</v>
      </c>
      <c r="O313" s="13">
        <v>0.22700000000000001</v>
      </c>
      <c r="P313" s="13">
        <v>0.64500000000000002</v>
      </c>
      <c r="Q313" s="17">
        <v>0.87346396545997995</v>
      </c>
    </row>
    <row r="314" spans="1:17" s="5" customFormat="1" x14ac:dyDescent="0.2">
      <c r="A314" s="5" t="s">
        <v>561</v>
      </c>
      <c r="B314" s="5" t="s">
        <v>15</v>
      </c>
      <c r="C314" s="5" t="s">
        <v>210</v>
      </c>
      <c r="E314" s="5" t="s">
        <v>17</v>
      </c>
      <c r="G314" s="7" t="s">
        <v>18</v>
      </c>
      <c r="H314" s="7"/>
      <c r="J314" s="5">
        <v>73</v>
      </c>
      <c r="N314" s="13">
        <v>0.42399999999999999</v>
      </c>
      <c r="O314" s="13">
        <v>0.22700000000000001</v>
      </c>
      <c r="P314" s="13">
        <v>0.64500000000000002</v>
      </c>
      <c r="Q314" s="17">
        <v>0.87346396545997995</v>
      </c>
    </row>
    <row r="315" spans="1:17" s="5" customFormat="1" x14ac:dyDescent="0.2">
      <c r="A315" s="5" t="s">
        <v>562</v>
      </c>
      <c r="B315" s="5" t="s">
        <v>145</v>
      </c>
      <c r="C315" s="6" t="s">
        <v>563</v>
      </c>
      <c r="D315" s="6"/>
      <c r="E315" s="5" t="s">
        <v>17</v>
      </c>
      <c r="F315" s="14" t="s">
        <v>25</v>
      </c>
      <c r="G315" s="7" t="s">
        <v>18</v>
      </c>
      <c r="H315" s="7"/>
      <c r="J315" s="5">
        <v>8</v>
      </c>
      <c r="N315" s="15">
        <v>0.91</v>
      </c>
      <c r="O315" s="15">
        <v>0.376</v>
      </c>
      <c r="P315" s="13">
        <v>0.505</v>
      </c>
      <c r="Q315" s="17">
        <v>0.72058009520646504</v>
      </c>
    </row>
    <row r="316" spans="1:17" s="5" customFormat="1" x14ac:dyDescent="0.2">
      <c r="A316" s="5" t="s">
        <v>803</v>
      </c>
      <c r="B316" s="5" t="s">
        <v>15</v>
      </c>
      <c r="C316" s="14" t="s">
        <v>804</v>
      </c>
      <c r="D316" s="5">
        <v>92801</v>
      </c>
      <c r="E316" s="5" t="s">
        <v>17</v>
      </c>
      <c r="G316" s="7" t="s">
        <v>406</v>
      </c>
      <c r="H316" s="7"/>
      <c r="J316" s="5">
        <v>17</v>
      </c>
      <c r="K316" s="5">
        <v>17</v>
      </c>
      <c r="N316" s="17"/>
      <c r="O316" s="17"/>
      <c r="P316" s="17"/>
      <c r="Q316" s="17"/>
    </row>
    <row r="317" spans="1:17" s="5" customFormat="1" x14ac:dyDescent="0.2">
      <c r="A317" s="5" t="s">
        <v>564</v>
      </c>
      <c r="B317" s="5" t="s">
        <v>565</v>
      </c>
      <c r="C317" s="14" t="s">
        <v>566</v>
      </c>
      <c r="D317" s="5" t="s">
        <v>567</v>
      </c>
      <c r="E317" s="5" t="s">
        <v>17</v>
      </c>
      <c r="G317" s="7" t="s">
        <v>406</v>
      </c>
      <c r="H317" s="7"/>
      <c r="J317" s="5">
        <v>24</v>
      </c>
      <c r="K317" s="5">
        <v>24</v>
      </c>
      <c r="N317" s="13">
        <v>0.13200000000000001</v>
      </c>
      <c r="O317" s="13">
        <v>0.49199999999999999</v>
      </c>
      <c r="P317" s="13">
        <v>9.1999999999999998E-2</v>
      </c>
      <c r="Q317" s="17">
        <v>0.26170707406177302</v>
      </c>
    </row>
    <row r="318" spans="1:17" s="5" customFormat="1" x14ac:dyDescent="0.2">
      <c r="A318" s="5" t="s">
        <v>568</v>
      </c>
      <c r="B318" s="5" t="s">
        <v>55</v>
      </c>
      <c r="C318" s="5" t="s">
        <v>569</v>
      </c>
      <c r="D318" s="5" t="s">
        <v>570</v>
      </c>
      <c r="E318" s="5" t="s">
        <v>17</v>
      </c>
      <c r="G318" s="7" t="s">
        <v>406</v>
      </c>
      <c r="H318" s="7"/>
      <c r="J318" s="5">
        <v>8</v>
      </c>
      <c r="K318" s="5">
        <v>8</v>
      </c>
      <c r="N318" s="13">
        <v>0.95699999999999996</v>
      </c>
      <c r="O318" s="13">
        <v>0.33300000000000002</v>
      </c>
      <c r="P318" s="13">
        <v>0.95199999999999996</v>
      </c>
      <c r="Q318" s="17">
        <v>0.61131407062991205</v>
      </c>
    </row>
    <row r="319" spans="1:17" s="5" customFormat="1" x14ac:dyDescent="0.2">
      <c r="A319" s="5" t="s">
        <v>805</v>
      </c>
      <c r="B319" s="5" t="s">
        <v>23</v>
      </c>
      <c r="C319" s="14"/>
      <c r="D319" s="5">
        <v>92843</v>
      </c>
      <c r="E319" s="5" t="s">
        <v>17</v>
      </c>
      <c r="G319" s="7" t="s">
        <v>406</v>
      </c>
      <c r="H319" s="7"/>
      <c r="J319" s="5">
        <v>44</v>
      </c>
      <c r="K319" s="5">
        <v>44</v>
      </c>
      <c r="N319" s="17"/>
      <c r="O319" s="17"/>
      <c r="P319" s="17"/>
      <c r="Q319" s="17"/>
    </row>
    <row r="320" spans="1:17" s="5" customFormat="1" x14ac:dyDescent="0.2">
      <c r="A320" s="5" t="s">
        <v>571</v>
      </c>
      <c r="B320" s="5" t="s">
        <v>45</v>
      </c>
      <c r="C320" s="14" t="s">
        <v>505</v>
      </c>
      <c r="D320" s="5" t="s">
        <v>572</v>
      </c>
      <c r="E320" s="5" t="s">
        <v>17</v>
      </c>
      <c r="G320" s="7" t="s">
        <v>406</v>
      </c>
      <c r="H320" s="7"/>
      <c r="J320" s="5">
        <v>4</v>
      </c>
      <c r="K320" s="5">
        <v>4</v>
      </c>
      <c r="N320" s="13">
        <v>0.35799999999999998</v>
      </c>
      <c r="O320" s="13">
        <v>0.114</v>
      </c>
      <c r="P320" s="13">
        <v>0.873</v>
      </c>
      <c r="Q320" s="17">
        <v>0.82209675633787205</v>
      </c>
    </row>
    <row r="321" spans="1:17" s="5" customFormat="1" x14ac:dyDescent="0.2">
      <c r="A321" s="5" t="s">
        <v>573</v>
      </c>
      <c r="B321" s="5" t="s">
        <v>45</v>
      </c>
      <c r="C321" s="14" t="s">
        <v>505</v>
      </c>
      <c r="D321" s="5" t="s">
        <v>574</v>
      </c>
      <c r="E321" s="5" t="s">
        <v>17</v>
      </c>
      <c r="G321" s="7" t="s">
        <v>406</v>
      </c>
      <c r="H321" s="7"/>
      <c r="J321" s="5">
        <v>43</v>
      </c>
      <c r="K321" s="5">
        <v>43</v>
      </c>
      <c r="N321" s="13">
        <v>0.35799999999999998</v>
      </c>
      <c r="O321" s="13">
        <v>0.114</v>
      </c>
      <c r="P321" s="13">
        <v>0.873</v>
      </c>
      <c r="Q321" s="17">
        <v>0.82209675633787205</v>
      </c>
    </row>
    <row r="322" spans="1:17" s="5" customFormat="1" x14ac:dyDescent="0.2">
      <c r="A322" s="5" t="s">
        <v>575</v>
      </c>
      <c r="B322" s="5" t="s">
        <v>45</v>
      </c>
      <c r="C322" s="14" t="s">
        <v>505</v>
      </c>
      <c r="D322" s="5" t="s">
        <v>576</v>
      </c>
      <c r="E322" s="5" t="s">
        <v>17</v>
      </c>
      <c r="G322" s="7" t="s">
        <v>406</v>
      </c>
      <c r="H322" s="7"/>
      <c r="J322" s="5">
        <v>8</v>
      </c>
      <c r="K322" s="5">
        <v>8</v>
      </c>
      <c r="N322" s="13">
        <v>0.35799999999999998</v>
      </c>
      <c r="O322" s="13">
        <v>0.114</v>
      </c>
      <c r="P322" s="13">
        <v>0.873</v>
      </c>
      <c r="Q322" s="17">
        <v>0.82209675633787205</v>
      </c>
    </row>
    <row r="323" spans="1:17" s="5" customFormat="1" x14ac:dyDescent="0.2">
      <c r="A323" s="5" t="s">
        <v>806</v>
      </c>
      <c r="B323" s="5" t="s">
        <v>30</v>
      </c>
      <c r="C323" s="14" t="s">
        <v>804</v>
      </c>
      <c r="D323" s="5">
        <v>92604</v>
      </c>
      <c r="E323" s="5" t="s">
        <v>17</v>
      </c>
      <c r="G323" s="7" t="s">
        <v>406</v>
      </c>
      <c r="H323" s="7"/>
      <c r="J323" s="5">
        <v>6</v>
      </c>
      <c r="K323" s="5">
        <v>6</v>
      </c>
      <c r="N323" s="17"/>
      <c r="O323" s="17"/>
      <c r="P323" s="17"/>
      <c r="Q323" s="17"/>
    </row>
    <row r="324" spans="1:17" s="5" customFormat="1" x14ac:dyDescent="0.2">
      <c r="A324" s="5" t="s">
        <v>807</v>
      </c>
      <c r="B324" s="5" t="s">
        <v>68</v>
      </c>
      <c r="C324" s="14"/>
      <c r="D324" s="5">
        <v>92870</v>
      </c>
      <c r="E324" s="5" t="s">
        <v>17</v>
      </c>
      <c r="G324" s="7" t="s">
        <v>406</v>
      </c>
      <c r="H324" s="7"/>
      <c r="J324" s="5">
        <v>14</v>
      </c>
      <c r="K324" s="5">
        <v>14</v>
      </c>
      <c r="N324" s="17"/>
      <c r="O324" s="17"/>
      <c r="P324" s="17"/>
      <c r="Q324" s="17"/>
    </row>
    <row r="325" spans="1:17" s="5" customFormat="1" x14ac:dyDescent="0.2">
      <c r="A325" s="5" t="s">
        <v>808</v>
      </c>
      <c r="B325" s="5" t="s">
        <v>42</v>
      </c>
      <c r="C325" s="14"/>
      <c r="D325" s="5">
        <v>92703</v>
      </c>
      <c r="E325" s="5" t="s">
        <v>17</v>
      </c>
      <c r="G325" s="7" t="s">
        <v>406</v>
      </c>
      <c r="H325" s="7"/>
      <c r="J325" s="5">
        <v>10</v>
      </c>
      <c r="K325" s="5">
        <v>10</v>
      </c>
      <c r="N325" s="17"/>
      <c r="O325" s="17"/>
      <c r="P325" s="17"/>
      <c r="Q325" s="17"/>
    </row>
    <row r="326" spans="1:17" s="5" customFormat="1" x14ac:dyDescent="0.2">
      <c r="A326" s="5" t="s">
        <v>577</v>
      </c>
      <c r="B326" s="5" t="s">
        <v>58</v>
      </c>
      <c r="C326" s="5" t="s">
        <v>151</v>
      </c>
      <c r="E326" s="5" t="s">
        <v>17</v>
      </c>
      <c r="G326" s="7" t="s">
        <v>406</v>
      </c>
      <c r="H326" s="7"/>
      <c r="J326" s="5">
        <v>38</v>
      </c>
      <c r="K326" s="5">
        <v>38</v>
      </c>
      <c r="N326" s="13">
        <v>0.57099999999999995</v>
      </c>
      <c r="O326" s="13">
        <v>0.2</v>
      </c>
      <c r="P326" s="13">
        <v>0.4</v>
      </c>
      <c r="Q326" s="17">
        <v>0.90966456326801703</v>
      </c>
    </row>
    <row r="327" spans="1:17" s="5" customFormat="1" x14ac:dyDescent="0.2">
      <c r="A327" s="5" t="s">
        <v>578</v>
      </c>
      <c r="B327" s="5" t="s">
        <v>42</v>
      </c>
      <c r="C327" s="6" t="s">
        <v>385</v>
      </c>
      <c r="D327" s="6"/>
      <c r="E327" s="5" t="s">
        <v>17</v>
      </c>
      <c r="F327" s="14" t="s">
        <v>25</v>
      </c>
      <c r="G327" s="7" t="s">
        <v>18</v>
      </c>
      <c r="H327" s="7"/>
      <c r="J327" s="5">
        <v>6</v>
      </c>
      <c r="K327" s="5">
        <v>2</v>
      </c>
      <c r="N327" s="15">
        <v>0.15</v>
      </c>
      <c r="O327" s="15">
        <v>0.41199999999999998</v>
      </c>
      <c r="P327" s="13">
        <v>0.21199999999999999</v>
      </c>
      <c r="Q327" s="17">
        <v>0.84445920513672001</v>
      </c>
    </row>
    <row r="328" spans="1:17" s="5" customFormat="1" x14ac:dyDescent="0.2">
      <c r="A328" s="5" t="s">
        <v>579</v>
      </c>
      <c r="B328" s="5" t="s">
        <v>68</v>
      </c>
      <c r="C328" s="5" t="s">
        <v>580</v>
      </c>
      <c r="E328" s="5" t="s">
        <v>17</v>
      </c>
      <c r="G328" s="7" t="s">
        <v>18</v>
      </c>
      <c r="H328" s="7"/>
      <c r="J328" s="5">
        <v>6</v>
      </c>
      <c r="N328" s="13">
        <v>0.441</v>
      </c>
      <c r="O328" s="13">
        <v>0.33800000000000002</v>
      </c>
      <c r="P328" s="13">
        <v>0.86099999999999999</v>
      </c>
      <c r="Q328" s="17">
        <v>0.82696778478910604</v>
      </c>
    </row>
    <row r="329" spans="1:17" s="5" customFormat="1" x14ac:dyDescent="0.2">
      <c r="A329" s="5" t="s">
        <v>581</v>
      </c>
      <c r="B329" s="5" t="s">
        <v>582</v>
      </c>
      <c r="C329" s="5" t="s">
        <v>583</v>
      </c>
      <c r="E329" s="5" t="s">
        <v>17</v>
      </c>
      <c r="G329" s="7" t="s">
        <v>18</v>
      </c>
      <c r="H329" s="7"/>
      <c r="J329" s="5">
        <v>51</v>
      </c>
      <c r="N329" s="13">
        <v>0.81299999999999994</v>
      </c>
      <c r="O329" s="13">
        <v>0.124</v>
      </c>
      <c r="P329" s="13">
        <v>0.66400000000000003</v>
      </c>
      <c r="Q329" s="17">
        <v>0.239676740839145</v>
      </c>
    </row>
    <row r="330" spans="1:17" s="5" customFormat="1" x14ac:dyDescent="0.2">
      <c r="A330" s="5" t="s">
        <v>584</v>
      </c>
      <c r="B330" s="5" t="s">
        <v>582</v>
      </c>
      <c r="C330" s="5" t="s">
        <v>583</v>
      </c>
      <c r="E330" s="5" t="s">
        <v>17</v>
      </c>
      <c r="F330" s="14" t="s">
        <v>25</v>
      </c>
      <c r="G330" s="7" t="s">
        <v>18</v>
      </c>
      <c r="H330" s="7"/>
      <c r="J330" s="5">
        <v>51</v>
      </c>
      <c r="N330" s="13">
        <v>0.81299999999999994</v>
      </c>
      <c r="O330" s="13">
        <v>0.124</v>
      </c>
      <c r="P330" s="13">
        <v>0.66400000000000003</v>
      </c>
      <c r="Q330" s="17">
        <v>0.239676740839145</v>
      </c>
    </row>
    <row r="331" spans="1:17" s="5" customFormat="1" x14ac:dyDescent="0.2">
      <c r="A331" s="5" t="s">
        <v>585</v>
      </c>
      <c r="B331" s="5" t="s">
        <v>15</v>
      </c>
      <c r="C331" s="6" t="s">
        <v>28</v>
      </c>
      <c r="D331" s="6"/>
      <c r="E331" s="5" t="s">
        <v>17</v>
      </c>
      <c r="F331" s="14" t="s">
        <v>25</v>
      </c>
      <c r="G331" s="7" t="s">
        <v>18</v>
      </c>
      <c r="H331" s="7"/>
      <c r="J331" s="5">
        <v>125</v>
      </c>
      <c r="N331" s="15">
        <v>0.76</v>
      </c>
      <c r="O331" s="15">
        <v>0.01</v>
      </c>
      <c r="P331" s="13">
        <v>0.95799999999999996</v>
      </c>
      <c r="Q331" s="17">
        <v>0.82896047824642904</v>
      </c>
    </row>
    <row r="332" spans="1:17" s="5" customFormat="1" x14ac:dyDescent="0.2">
      <c r="A332" s="5" t="s">
        <v>586</v>
      </c>
      <c r="B332" s="5" t="s">
        <v>103</v>
      </c>
      <c r="C332" s="5" t="s">
        <v>195</v>
      </c>
      <c r="E332" s="5" t="s">
        <v>17</v>
      </c>
      <c r="G332" s="7" t="s">
        <v>18</v>
      </c>
      <c r="H332" s="7"/>
      <c r="J332" s="5">
        <v>16</v>
      </c>
      <c r="N332" s="13">
        <v>0.72299999999999998</v>
      </c>
      <c r="O332" s="13">
        <v>0.16900000000000001</v>
      </c>
      <c r="P332" s="13">
        <v>0.98099999999999998</v>
      </c>
      <c r="Q332" s="17">
        <v>0.84479132071294105</v>
      </c>
    </row>
    <row r="333" spans="1:17" s="5" customFormat="1" x14ac:dyDescent="0.2">
      <c r="A333" s="5" t="s">
        <v>587</v>
      </c>
      <c r="B333" s="5" t="s">
        <v>103</v>
      </c>
      <c r="C333" s="5" t="s">
        <v>195</v>
      </c>
      <c r="E333" s="5" t="s">
        <v>17</v>
      </c>
      <c r="G333" s="7" t="s">
        <v>18</v>
      </c>
      <c r="H333" s="7"/>
      <c r="J333" s="5">
        <v>8</v>
      </c>
      <c r="N333" s="13">
        <v>0.72299999999999998</v>
      </c>
      <c r="O333" s="13">
        <v>0.16900000000000001</v>
      </c>
      <c r="P333" s="13">
        <v>0.98099999999999998</v>
      </c>
      <c r="Q333" s="17">
        <v>0.84479132071294105</v>
      </c>
    </row>
    <row r="334" spans="1:17" s="5" customFormat="1" x14ac:dyDescent="0.2">
      <c r="A334" s="5" t="s">
        <v>588</v>
      </c>
      <c r="B334" s="5" t="s">
        <v>103</v>
      </c>
      <c r="C334" s="5" t="s">
        <v>195</v>
      </c>
      <c r="E334" s="5" t="s">
        <v>17</v>
      </c>
      <c r="G334" s="7" t="s">
        <v>18</v>
      </c>
      <c r="H334" s="7"/>
      <c r="J334" s="5">
        <v>4</v>
      </c>
      <c r="N334" s="13">
        <v>0.72299999999999998</v>
      </c>
      <c r="O334" s="13">
        <v>0.16900000000000001</v>
      </c>
      <c r="P334" s="13">
        <v>0.98099999999999998</v>
      </c>
      <c r="Q334" s="17">
        <v>0.84479132071294105</v>
      </c>
    </row>
    <row r="335" spans="1:17" s="5" customFormat="1" x14ac:dyDescent="0.2">
      <c r="A335" s="5" t="s">
        <v>589</v>
      </c>
      <c r="B335" s="5" t="s">
        <v>225</v>
      </c>
      <c r="C335" s="5" t="s">
        <v>590</v>
      </c>
      <c r="E335" s="5" t="s">
        <v>17</v>
      </c>
      <c r="G335" s="7" t="s">
        <v>18</v>
      </c>
      <c r="H335" s="7"/>
      <c r="J335" s="5">
        <v>100</v>
      </c>
      <c r="N335" s="13">
        <v>0.121</v>
      </c>
      <c r="O335" s="13">
        <v>0.56999999999999995</v>
      </c>
      <c r="P335" s="13">
        <v>5.6000000000000001E-2</v>
      </c>
      <c r="Q335" s="17">
        <v>0.37351931805601601</v>
      </c>
    </row>
    <row r="336" spans="1:17" s="5" customFormat="1" x14ac:dyDescent="0.2">
      <c r="A336" s="5" t="s">
        <v>591</v>
      </c>
      <c r="B336" s="5" t="s">
        <v>30</v>
      </c>
      <c r="C336" s="6" t="s">
        <v>120</v>
      </c>
      <c r="D336" s="6"/>
      <c r="E336" s="5" t="s">
        <v>17</v>
      </c>
      <c r="F336" s="14" t="s">
        <v>25</v>
      </c>
      <c r="G336" s="7" t="s">
        <v>18</v>
      </c>
      <c r="H336" s="7"/>
      <c r="J336" s="14"/>
      <c r="N336" s="15">
        <v>0.22</v>
      </c>
      <c r="O336" s="15">
        <v>0.59899999999999998</v>
      </c>
      <c r="P336" s="13">
        <v>0.98799999999999999</v>
      </c>
      <c r="Q336" s="17">
        <v>0.614745931584191</v>
      </c>
    </row>
    <row r="337" spans="1:17" s="5" customFormat="1" x14ac:dyDescent="0.2">
      <c r="A337" s="5" t="s">
        <v>592</v>
      </c>
      <c r="B337" s="5" t="s">
        <v>15</v>
      </c>
      <c r="C337" s="6" t="s">
        <v>72</v>
      </c>
      <c r="D337" s="6"/>
      <c r="E337" s="5" t="s">
        <v>17</v>
      </c>
      <c r="F337" s="5" t="s">
        <v>25</v>
      </c>
      <c r="G337" s="5" t="s">
        <v>39</v>
      </c>
      <c r="H337" s="7" t="s">
        <v>18</v>
      </c>
      <c r="J337" s="5">
        <v>69</v>
      </c>
      <c r="N337" s="15">
        <v>0.09</v>
      </c>
      <c r="O337" s="15">
        <v>0.33800000000000002</v>
      </c>
      <c r="P337" s="13">
        <v>0.59</v>
      </c>
      <c r="Q337" s="17">
        <v>0.70386361120336505</v>
      </c>
    </row>
    <row r="338" spans="1:17" s="5" customFormat="1" x14ac:dyDescent="0.2">
      <c r="A338" s="5" t="s">
        <v>593</v>
      </c>
      <c r="B338" s="5" t="s">
        <v>95</v>
      </c>
      <c r="C338" s="5" t="s">
        <v>594</v>
      </c>
      <c r="E338" s="5" t="s">
        <v>17</v>
      </c>
      <c r="G338" s="7" t="s">
        <v>18</v>
      </c>
      <c r="H338" s="7"/>
      <c r="J338" s="5">
        <v>6</v>
      </c>
      <c r="N338" s="13">
        <v>0.193</v>
      </c>
      <c r="O338" s="13">
        <v>0.5</v>
      </c>
      <c r="P338" s="13">
        <v>0.89</v>
      </c>
      <c r="Q338" s="17">
        <v>0.67474814568803199</v>
      </c>
    </row>
    <row r="339" spans="1:17" s="5" customFormat="1" x14ac:dyDescent="0.2">
      <c r="A339" s="5" t="s">
        <v>595</v>
      </c>
      <c r="B339" s="5" t="s">
        <v>23</v>
      </c>
      <c r="C339" s="6" t="s">
        <v>451</v>
      </c>
      <c r="D339" s="6"/>
      <c r="E339" s="5" t="s">
        <v>17</v>
      </c>
      <c r="F339" s="14" t="s">
        <v>25</v>
      </c>
      <c r="G339" s="7" t="s">
        <v>18</v>
      </c>
      <c r="H339" s="7"/>
      <c r="J339" s="5">
        <v>10</v>
      </c>
      <c r="N339" s="15">
        <v>0.25</v>
      </c>
      <c r="O339" s="15">
        <v>0.34699999999999998</v>
      </c>
      <c r="P339" s="13">
        <v>0.70799999999999996</v>
      </c>
      <c r="Q339" s="17">
        <v>0.85818664895383501</v>
      </c>
    </row>
    <row r="340" spans="1:17" s="5" customFormat="1" x14ac:dyDescent="0.2">
      <c r="A340" s="5" t="s">
        <v>596</v>
      </c>
      <c r="B340" s="5" t="s">
        <v>23</v>
      </c>
      <c r="C340" s="5" t="s">
        <v>597</v>
      </c>
      <c r="E340" s="5" t="s">
        <v>17</v>
      </c>
      <c r="G340" s="7" t="s">
        <v>18</v>
      </c>
      <c r="H340" s="7"/>
      <c r="J340" s="5">
        <v>95</v>
      </c>
      <c r="N340" s="13">
        <v>0.92800000000000005</v>
      </c>
      <c r="O340" s="13">
        <v>0.11799999999999999</v>
      </c>
      <c r="P340" s="13">
        <v>0.80900000000000005</v>
      </c>
      <c r="Q340" s="17">
        <v>0.83327798073729598</v>
      </c>
    </row>
    <row r="341" spans="1:17" s="5" customFormat="1" x14ac:dyDescent="0.2">
      <c r="A341" s="5" t="s">
        <v>598</v>
      </c>
      <c r="B341" s="5" t="s">
        <v>183</v>
      </c>
      <c r="C341" s="6" t="s">
        <v>599</v>
      </c>
      <c r="D341" s="6"/>
      <c r="E341" s="5" t="s">
        <v>17</v>
      </c>
      <c r="F341" s="14" t="s">
        <v>25</v>
      </c>
      <c r="G341" s="5" t="s">
        <v>26</v>
      </c>
      <c r="H341" s="7"/>
      <c r="J341" s="5">
        <v>132</v>
      </c>
      <c r="N341" s="15">
        <v>0.53</v>
      </c>
      <c r="O341" s="15">
        <v>0</v>
      </c>
      <c r="P341" s="13">
        <v>0.91100000000000003</v>
      </c>
      <c r="Q341" s="17">
        <v>0.75799845012731104</v>
      </c>
    </row>
    <row r="342" spans="1:17" s="5" customFormat="1" x14ac:dyDescent="0.2">
      <c r="A342" s="5" t="s">
        <v>600</v>
      </c>
      <c r="B342" s="5" t="s">
        <v>42</v>
      </c>
      <c r="C342" s="6" t="s">
        <v>601</v>
      </c>
      <c r="D342" s="6"/>
      <c r="E342" s="5" t="s">
        <v>17</v>
      </c>
      <c r="F342" s="14" t="s">
        <v>25</v>
      </c>
      <c r="G342" s="7" t="s">
        <v>18</v>
      </c>
      <c r="H342" s="7"/>
      <c r="J342" s="5">
        <v>48</v>
      </c>
      <c r="N342" s="15">
        <v>0.59</v>
      </c>
      <c r="O342" s="15">
        <v>3.7999999999999999E-2</v>
      </c>
      <c r="P342" s="13">
        <v>0.996</v>
      </c>
      <c r="Q342" s="17">
        <v>0.90877892173142905</v>
      </c>
    </row>
    <row r="343" spans="1:17" s="5" customFormat="1" x14ac:dyDescent="0.2">
      <c r="A343" s="5" t="s">
        <v>602</v>
      </c>
      <c r="B343" s="5" t="s">
        <v>42</v>
      </c>
      <c r="C343" s="5" t="s">
        <v>238</v>
      </c>
      <c r="E343" s="5" t="s">
        <v>17</v>
      </c>
      <c r="G343" s="5" t="s">
        <v>26</v>
      </c>
      <c r="H343" s="7"/>
      <c r="J343" s="5">
        <v>199</v>
      </c>
      <c r="N343" s="13">
        <v>0.30099999999999999</v>
      </c>
      <c r="O343" s="13">
        <v>2.1999999999999999E-2</v>
      </c>
      <c r="P343" s="13">
        <v>0.93600000000000005</v>
      </c>
      <c r="Q343" s="17">
        <v>0.94752573895715697</v>
      </c>
    </row>
    <row r="344" spans="1:17" s="5" customFormat="1" x14ac:dyDescent="0.2">
      <c r="A344" s="5" t="s">
        <v>603</v>
      </c>
      <c r="B344" s="5" t="s">
        <v>183</v>
      </c>
      <c r="C344" s="6" t="s">
        <v>604</v>
      </c>
      <c r="D344" s="6"/>
      <c r="E344" s="5" t="s">
        <v>17</v>
      </c>
      <c r="F344" s="14" t="s">
        <v>25</v>
      </c>
      <c r="G344" s="7" t="s">
        <v>18</v>
      </c>
      <c r="H344" s="7"/>
      <c r="J344" s="5">
        <v>35</v>
      </c>
      <c r="N344" s="15">
        <v>0.88</v>
      </c>
      <c r="O344" s="15">
        <v>0.21299999999999999</v>
      </c>
      <c r="P344" s="13">
        <v>0.78700000000000003</v>
      </c>
      <c r="Q344" s="17">
        <v>0.91852097863389703</v>
      </c>
    </row>
    <row r="345" spans="1:17" s="5" customFormat="1" x14ac:dyDescent="0.2">
      <c r="A345" s="5" t="s">
        <v>605</v>
      </c>
      <c r="B345" s="5" t="s">
        <v>15</v>
      </c>
      <c r="C345" s="5" t="s">
        <v>606</v>
      </c>
      <c r="E345" s="5" t="s">
        <v>17</v>
      </c>
      <c r="G345" s="5" t="s">
        <v>26</v>
      </c>
      <c r="H345" s="7"/>
      <c r="J345" s="5">
        <v>25</v>
      </c>
      <c r="N345" s="13">
        <v>0.85899999999999999</v>
      </c>
      <c r="O345" s="13">
        <v>8.5999999999999993E-2</v>
      </c>
      <c r="P345" s="13">
        <v>0.223</v>
      </c>
      <c r="Q345" s="17">
        <v>0.86062216317945295</v>
      </c>
    </row>
    <row r="346" spans="1:17" s="5" customFormat="1" x14ac:dyDescent="0.2">
      <c r="A346" s="5" t="s">
        <v>607</v>
      </c>
      <c r="B346" s="5" t="s">
        <v>30</v>
      </c>
      <c r="C346" s="6" t="s">
        <v>395</v>
      </c>
      <c r="D346" s="6"/>
      <c r="E346" s="5" t="s">
        <v>17</v>
      </c>
      <c r="F346" s="14" t="s">
        <v>25</v>
      </c>
      <c r="G346" s="7" t="s">
        <v>18</v>
      </c>
      <c r="H346" s="7"/>
      <c r="J346" s="14" t="s">
        <v>608</v>
      </c>
      <c r="N346" s="15">
        <v>0.55000000000000004</v>
      </c>
      <c r="O346" s="15">
        <v>0.628</v>
      </c>
      <c r="P346" s="13">
        <v>0.496</v>
      </c>
      <c r="Q346" s="17">
        <v>0.42189748699213903</v>
      </c>
    </row>
    <row r="347" spans="1:17" s="5" customFormat="1" x14ac:dyDescent="0.2">
      <c r="A347" s="5" t="s">
        <v>609</v>
      </c>
      <c r="B347" s="5" t="s">
        <v>610</v>
      </c>
      <c r="C347" s="5" t="s">
        <v>611</v>
      </c>
      <c r="E347" s="5" t="s">
        <v>17</v>
      </c>
      <c r="F347" s="5" t="s">
        <v>25</v>
      </c>
      <c r="G347" s="5" t="s">
        <v>39</v>
      </c>
      <c r="H347" s="7" t="s">
        <v>18</v>
      </c>
      <c r="J347" s="5">
        <v>49</v>
      </c>
      <c r="N347" s="13">
        <v>0.251</v>
      </c>
      <c r="O347" s="13">
        <v>0.66400000000000003</v>
      </c>
      <c r="P347" s="13">
        <v>0.49299999999999999</v>
      </c>
      <c r="Q347" s="17">
        <v>0.45311635115686899</v>
      </c>
    </row>
    <row r="348" spans="1:17" s="5" customFormat="1" x14ac:dyDescent="0.2">
      <c r="A348" s="5" t="s">
        <v>612</v>
      </c>
      <c r="B348" s="5" t="s">
        <v>30</v>
      </c>
      <c r="C348" s="5" t="s">
        <v>613</v>
      </c>
      <c r="E348" s="5" t="s">
        <v>17</v>
      </c>
      <c r="F348" s="14" t="s">
        <v>25</v>
      </c>
      <c r="G348" s="7" t="s">
        <v>18</v>
      </c>
      <c r="H348" s="7"/>
      <c r="J348" s="5">
        <v>23</v>
      </c>
      <c r="N348" s="13">
        <v>8.1000000000000003E-2</v>
      </c>
      <c r="O348" s="13">
        <v>0.66200000000000003</v>
      </c>
      <c r="P348" s="13">
        <v>0.69199999999999995</v>
      </c>
      <c r="Q348" s="17">
        <v>0.418244215653714</v>
      </c>
    </row>
    <row r="349" spans="1:17" s="5" customFormat="1" x14ac:dyDescent="0.2">
      <c r="A349" s="5" t="s">
        <v>614</v>
      </c>
      <c r="B349" s="5" t="s">
        <v>30</v>
      </c>
      <c r="C349" s="5" t="s">
        <v>613</v>
      </c>
      <c r="E349" s="5" t="s">
        <v>17</v>
      </c>
      <c r="F349" s="14" t="s">
        <v>25</v>
      </c>
      <c r="G349" s="7" t="s">
        <v>18</v>
      </c>
      <c r="H349" s="7"/>
      <c r="J349" s="5">
        <v>47</v>
      </c>
      <c r="N349" s="13">
        <v>8.1000000000000003E-2</v>
      </c>
      <c r="O349" s="13">
        <v>0.66200000000000003</v>
      </c>
      <c r="P349" s="13">
        <v>0.69199999999999995</v>
      </c>
      <c r="Q349" s="17">
        <v>0.418244215653714</v>
      </c>
    </row>
    <row r="350" spans="1:17" s="5" customFormat="1" x14ac:dyDescent="0.2">
      <c r="A350" s="5" t="s">
        <v>615</v>
      </c>
      <c r="B350" s="5" t="s">
        <v>30</v>
      </c>
      <c r="C350" s="5" t="s">
        <v>616</v>
      </c>
      <c r="E350" s="5" t="s">
        <v>17</v>
      </c>
      <c r="G350" s="7" t="s">
        <v>18</v>
      </c>
      <c r="H350" s="7"/>
      <c r="J350" s="5">
        <v>19</v>
      </c>
      <c r="N350" s="13">
        <v>0.33500000000000002</v>
      </c>
      <c r="O350" s="13">
        <v>0.70399999999999996</v>
      </c>
      <c r="P350" s="13">
        <v>0.59199999999999997</v>
      </c>
      <c r="Q350" s="17">
        <v>0.27864496844901998</v>
      </c>
    </row>
    <row r="351" spans="1:17" s="5" customFormat="1" x14ac:dyDescent="0.2">
      <c r="A351" s="5" t="s">
        <v>617</v>
      </c>
      <c r="B351" s="5" t="s">
        <v>30</v>
      </c>
      <c r="C351" s="5" t="s">
        <v>613</v>
      </c>
      <c r="E351" s="5" t="s">
        <v>17</v>
      </c>
      <c r="F351" s="5" t="s">
        <v>25</v>
      </c>
      <c r="G351" s="5" t="s">
        <v>18</v>
      </c>
      <c r="H351" s="7"/>
      <c r="J351" s="14">
        <v>203</v>
      </c>
      <c r="K351" s="14">
        <v>153</v>
      </c>
      <c r="N351" s="13">
        <v>8.1000000000000003E-2</v>
      </c>
      <c r="O351" s="13">
        <v>0.66200000000000003</v>
      </c>
      <c r="P351" s="13">
        <v>0.69199999999999995</v>
      </c>
      <c r="Q351" s="17">
        <v>0.418244215653714</v>
      </c>
    </row>
    <row r="352" spans="1:17" s="5" customFormat="1" x14ac:dyDescent="0.2">
      <c r="A352" s="5" t="s">
        <v>618</v>
      </c>
      <c r="B352" s="5" t="s">
        <v>30</v>
      </c>
      <c r="C352" s="5" t="s">
        <v>613</v>
      </c>
      <c r="E352" s="5" t="s">
        <v>17</v>
      </c>
      <c r="F352" s="14" t="s">
        <v>25</v>
      </c>
      <c r="G352" s="7" t="s">
        <v>18</v>
      </c>
      <c r="H352" s="7"/>
      <c r="J352" s="5">
        <v>25</v>
      </c>
      <c r="N352" s="13">
        <v>8.1000000000000003E-2</v>
      </c>
      <c r="O352" s="13">
        <v>0.66200000000000003</v>
      </c>
      <c r="P352" s="13">
        <v>0.69199999999999995</v>
      </c>
      <c r="Q352" s="17">
        <v>0.418244215653714</v>
      </c>
    </row>
    <row r="353" spans="1:17" s="5" customFormat="1" x14ac:dyDescent="0.2">
      <c r="A353" s="5" t="s">
        <v>619</v>
      </c>
      <c r="B353" s="5" t="s">
        <v>30</v>
      </c>
      <c r="C353" s="6" t="s">
        <v>620</v>
      </c>
      <c r="D353" s="6"/>
      <c r="E353" s="5" t="s">
        <v>17</v>
      </c>
      <c r="F353" s="14" t="s">
        <v>25</v>
      </c>
      <c r="G353" s="7" t="s">
        <v>18</v>
      </c>
      <c r="H353" s="7"/>
      <c r="J353" s="5">
        <v>82</v>
      </c>
      <c r="N353" s="15">
        <v>0.15</v>
      </c>
      <c r="O353" s="15">
        <v>0.81</v>
      </c>
      <c r="P353" s="13">
        <v>0.87</v>
      </c>
      <c r="Q353" s="17">
        <v>0.511347282187534</v>
      </c>
    </row>
    <row r="354" spans="1:17" s="5" customFormat="1" x14ac:dyDescent="0.2">
      <c r="A354" s="5" t="s">
        <v>621</v>
      </c>
      <c r="B354" s="5" t="s">
        <v>42</v>
      </c>
      <c r="C354" s="6" t="s">
        <v>246</v>
      </c>
      <c r="D354" s="6"/>
      <c r="E354" s="5" t="s">
        <v>17</v>
      </c>
      <c r="F354" s="5" t="s">
        <v>25</v>
      </c>
      <c r="G354" s="5" t="s">
        <v>39</v>
      </c>
      <c r="H354" s="7" t="s">
        <v>18</v>
      </c>
      <c r="J354" s="14">
        <v>57</v>
      </c>
      <c r="K354" s="14">
        <v>43</v>
      </c>
      <c r="N354" s="15">
        <v>0.51</v>
      </c>
      <c r="O354" s="15">
        <v>0.29399999999999998</v>
      </c>
      <c r="P354" s="13">
        <v>0.215</v>
      </c>
      <c r="Q354" s="17">
        <v>0.87534595372522905</v>
      </c>
    </row>
    <row r="355" spans="1:17" s="5" customFormat="1" x14ac:dyDescent="0.2">
      <c r="A355" s="5" t="s">
        <v>622</v>
      </c>
      <c r="B355" s="5" t="s">
        <v>42</v>
      </c>
      <c r="C355" s="6" t="s">
        <v>98</v>
      </c>
      <c r="D355" s="6"/>
      <c r="E355" s="5" t="s">
        <v>17</v>
      </c>
      <c r="F355" s="14" t="s">
        <v>25</v>
      </c>
      <c r="G355" s="7" t="s">
        <v>18</v>
      </c>
      <c r="H355" s="7"/>
      <c r="J355" s="5">
        <v>50</v>
      </c>
      <c r="N355" s="15">
        <v>0.39</v>
      </c>
      <c r="O355" s="15">
        <v>6.7000000000000004E-2</v>
      </c>
      <c r="P355" s="13">
        <v>0.88700000000000001</v>
      </c>
      <c r="Q355" s="17">
        <v>0.95549651278644898</v>
      </c>
    </row>
    <row r="356" spans="1:17" s="5" customFormat="1" x14ac:dyDescent="0.2">
      <c r="A356" s="5" t="s">
        <v>623</v>
      </c>
      <c r="B356" s="5" t="s">
        <v>42</v>
      </c>
      <c r="C356" s="5" t="s">
        <v>98</v>
      </c>
      <c r="E356" s="5" t="s">
        <v>17</v>
      </c>
      <c r="G356" s="7" t="s">
        <v>18</v>
      </c>
      <c r="H356" s="7"/>
      <c r="J356" s="5">
        <v>112</v>
      </c>
      <c r="N356" s="13">
        <v>0.38500000000000001</v>
      </c>
      <c r="O356" s="13">
        <v>6.7000000000000004E-2</v>
      </c>
      <c r="P356" s="13">
        <v>0.88700000000000001</v>
      </c>
      <c r="Q356" s="17">
        <v>0.95549651278644898</v>
      </c>
    </row>
    <row r="357" spans="1:17" s="5" customFormat="1" x14ac:dyDescent="0.2">
      <c r="A357" s="5" t="s">
        <v>624</v>
      </c>
      <c r="B357" s="5" t="s">
        <v>42</v>
      </c>
      <c r="C357" s="6" t="s">
        <v>98</v>
      </c>
      <c r="D357" s="6"/>
      <c r="E357" s="5" t="s">
        <v>17</v>
      </c>
      <c r="F357" s="14" t="s">
        <v>25</v>
      </c>
      <c r="G357" s="7" t="s">
        <v>18</v>
      </c>
      <c r="H357" s="7"/>
      <c r="J357" s="5">
        <v>73</v>
      </c>
      <c r="N357" s="15">
        <v>0.39</v>
      </c>
      <c r="O357" s="15">
        <v>6.7000000000000004E-2</v>
      </c>
      <c r="P357" s="13">
        <v>0.88700000000000001</v>
      </c>
      <c r="Q357" s="17">
        <v>0.95549651278644898</v>
      </c>
    </row>
    <row r="358" spans="1:17" s="5" customFormat="1" x14ac:dyDescent="0.2">
      <c r="A358" s="5" t="s">
        <v>625</v>
      </c>
      <c r="B358" s="5" t="s">
        <v>42</v>
      </c>
      <c r="C358" s="6" t="s">
        <v>98</v>
      </c>
      <c r="D358" s="6"/>
      <c r="E358" s="5" t="s">
        <v>17</v>
      </c>
      <c r="F358" s="14" t="s">
        <v>25</v>
      </c>
      <c r="G358" s="7" t="s">
        <v>18</v>
      </c>
      <c r="H358" s="7"/>
      <c r="J358" s="5">
        <v>39</v>
      </c>
      <c r="N358" s="15">
        <v>0.39</v>
      </c>
      <c r="O358" s="15">
        <v>6.7000000000000004E-2</v>
      </c>
      <c r="P358" s="13">
        <v>0.88700000000000001</v>
      </c>
      <c r="Q358" s="17">
        <v>0.95549651278644898</v>
      </c>
    </row>
    <row r="359" spans="1:17" s="5" customFormat="1" x14ac:dyDescent="0.2">
      <c r="A359" s="5" t="s">
        <v>626</v>
      </c>
      <c r="B359" s="5" t="s">
        <v>42</v>
      </c>
      <c r="C359" s="6" t="s">
        <v>238</v>
      </c>
      <c r="D359" s="6"/>
      <c r="E359" s="5" t="s">
        <v>17</v>
      </c>
      <c r="F359" s="14" t="s">
        <v>25</v>
      </c>
      <c r="G359" s="5" t="s">
        <v>26</v>
      </c>
      <c r="H359" s="7"/>
      <c r="J359" s="5">
        <v>199</v>
      </c>
      <c r="N359" s="15">
        <v>0.3</v>
      </c>
      <c r="O359" s="15">
        <v>2.1999999999999999E-2</v>
      </c>
      <c r="P359" s="13">
        <v>0.93600000000000005</v>
      </c>
      <c r="Q359" s="17">
        <v>0.94752573895715697</v>
      </c>
    </row>
    <row r="360" spans="1:17" s="5" customFormat="1" x14ac:dyDescent="0.2">
      <c r="A360" s="5" t="s">
        <v>627</v>
      </c>
      <c r="B360" s="5" t="s">
        <v>628</v>
      </c>
      <c r="C360" s="6" t="s">
        <v>629</v>
      </c>
      <c r="D360" s="6"/>
      <c r="E360" s="5" t="s">
        <v>17</v>
      </c>
      <c r="F360" s="14" t="s">
        <v>25</v>
      </c>
      <c r="G360" s="5" t="s">
        <v>26</v>
      </c>
      <c r="H360" s="7"/>
      <c r="J360" s="14">
        <v>21</v>
      </c>
      <c r="N360" s="15">
        <v>0.6</v>
      </c>
      <c r="O360" s="15">
        <v>0.377</v>
      </c>
      <c r="P360" s="13">
        <v>0.20200000000000001</v>
      </c>
      <c r="Q360" s="17">
        <v>0.40086350049817299</v>
      </c>
    </row>
    <row r="361" spans="1:17" s="5" customFormat="1" x14ac:dyDescent="0.2">
      <c r="A361" s="5" t="s">
        <v>630</v>
      </c>
      <c r="B361" s="5" t="s">
        <v>90</v>
      </c>
      <c r="C361" s="6" t="s">
        <v>298</v>
      </c>
      <c r="D361" s="6"/>
      <c r="E361" s="5" t="s">
        <v>17</v>
      </c>
      <c r="F361" s="14" t="s">
        <v>25</v>
      </c>
      <c r="G361" s="5" t="s">
        <v>26</v>
      </c>
      <c r="H361" s="7"/>
      <c r="J361" s="5">
        <v>75</v>
      </c>
      <c r="N361" s="15">
        <v>0.64</v>
      </c>
      <c r="O361" s="15">
        <v>0.52700000000000002</v>
      </c>
      <c r="P361" s="13">
        <v>0.36899999999999999</v>
      </c>
      <c r="Q361" s="17">
        <v>0.16495073618952699</v>
      </c>
    </row>
    <row r="362" spans="1:17" s="5" customFormat="1" x14ac:dyDescent="0.2">
      <c r="A362" s="5" t="s">
        <v>631</v>
      </c>
      <c r="B362" s="5" t="s">
        <v>45</v>
      </c>
      <c r="C362" s="5" t="s">
        <v>447</v>
      </c>
      <c r="E362" s="5" t="s">
        <v>17</v>
      </c>
      <c r="G362" s="7" t="s">
        <v>18</v>
      </c>
      <c r="H362" s="7"/>
      <c r="J362" s="5">
        <v>36</v>
      </c>
      <c r="N362" s="13">
        <v>0.47699999999999998</v>
      </c>
      <c r="O362" s="13">
        <v>0.372</v>
      </c>
      <c r="P362" s="13">
        <v>0.66300000000000003</v>
      </c>
      <c r="Q362" s="17">
        <v>0.36001328462304799</v>
      </c>
    </row>
    <row r="363" spans="1:17" s="5" customFormat="1" x14ac:dyDescent="0.2">
      <c r="A363" s="5" t="s">
        <v>632</v>
      </c>
      <c r="B363" s="5" t="s">
        <v>15</v>
      </c>
      <c r="C363" s="5" t="s">
        <v>118</v>
      </c>
      <c r="E363" s="5" t="s">
        <v>17</v>
      </c>
      <c r="F363" s="14" t="s">
        <v>25</v>
      </c>
      <c r="G363" s="7" t="s">
        <v>18</v>
      </c>
      <c r="H363" s="7"/>
      <c r="J363" s="5">
        <v>90</v>
      </c>
      <c r="N363" s="13">
        <v>0.79700000000000004</v>
      </c>
      <c r="O363" s="13">
        <v>8.2000000000000003E-2</v>
      </c>
      <c r="P363" s="13">
        <v>0.73799999999999999</v>
      </c>
      <c r="Q363" s="17">
        <v>0.89649064541126899</v>
      </c>
    </row>
    <row r="364" spans="1:17" s="5" customFormat="1" x14ac:dyDescent="0.2">
      <c r="A364" s="5" t="s">
        <v>633</v>
      </c>
      <c r="B364" s="5" t="s">
        <v>610</v>
      </c>
      <c r="C364" s="5" t="s">
        <v>611</v>
      </c>
      <c r="E364" s="5" t="s">
        <v>17</v>
      </c>
      <c r="G364" s="5" t="s">
        <v>26</v>
      </c>
      <c r="H364" s="7"/>
      <c r="J364" s="5">
        <v>150</v>
      </c>
      <c r="N364" s="13">
        <v>0.251</v>
      </c>
      <c r="O364" s="13">
        <v>0.66400000000000003</v>
      </c>
      <c r="P364" s="13">
        <v>0.49299999999999999</v>
      </c>
      <c r="Q364" s="17">
        <v>0.45311635115686899</v>
      </c>
    </row>
    <row r="365" spans="1:17" s="5" customFormat="1" x14ac:dyDescent="0.2">
      <c r="A365" s="5" t="s">
        <v>634</v>
      </c>
      <c r="B365" s="5" t="s">
        <v>610</v>
      </c>
      <c r="C365" s="6" t="s">
        <v>611</v>
      </c>
      <c r="D365" s="6"/>
      <c r="E365" s="5" t="s">
        <v>17</v>
      </c>
      <c r="F365" s="14" t="s">
        <v>25</v>
      </c>
      <c r="G365" s="7" t="s">
        <v>18</v>
      </c>
      <c r="H365" s="7"/>
      <c r="J365" s="5">
        <v>37</v>
      </c>
      <c r="N365" s="15">
        <v>0.25</v>
      </c>
      <c r="O365" s="15">
        <v>0.66400000000000003</v>
      </c>
      <c r="P365" s="13">
        <v>0.49299999999999999</v>
      </c>
      <c r="Q365" s="17">
        <v>0.45311635115686899</v>
      </c>
    </row>
    <row r="366" spans="1:17" s="5" customFormat="1" x14ac:dyDescent="0.2">
      <c r="A366" s="5" t="s">
        <v>635</v>
      </c>
      <c r="B366" s="5" t="s">
        <v>465</v>
      </c>
      <c r="C366" s="5" t="s">
        <v>636</v>
      </c>
      <c r="E366" s="5" t="s">
        <v>17</v>
      </c>
      <c r="G366" s="5" t="s">
        <v>26</v>
      </c>
      <c r="H366" s="7"/>
      <c r="J366" s="5">
        <v>60</v>
      </c>
      <c r="N366" s="13">
        <v>0.65</v>
      </c>
      <c r="O366" s="13">
        <v>0.27800000000000002</v>
      </c>
      <c r="P366" s="13">
        <v>0.55600000000000005</v>
      </c>
      <c r="Q366" s="17">
        <v>0.61009631351710303</v>
      </c>
    </row>
    <row r="367" spans="1:17" s="5" customFormat="1" x14ac:dyDescent="0.2">
      <c r="A367" s="5" t="s">
        <v>637</v>
      </c>
      <c r="B367" s="5" t="s">
        <v>610</v>
      </c>
      <c r="C367" s="6" t="s">
        <v>611</v>
      </c>
      <c r="D367" s="6"/>
      <c r="E367" s="5" t="s">
        <v>17</v>
      </c>
      <c r="F367" s="14" t="s">
        <v>25</v>
      </c>
      <c r="G367" s="7" t="s">
        <v>18</v>
      </c>
      <c r="H367" s="7"/>
      <c r="J367" s="5">
        <v>112</v>
      </c>
      <c r="N367" s="15">
        <v>0.25</v>
      </c>
      <c r="O367" s="15">
        <v>0.66400000000000003</v>
      </c>
      <c r="P367" s="13">
        <v>0.49299999999999999</v>
      </c>
      <c r="Q367" s="17">
        <v>0.45311635115686899</v>
      </c>
    </row>
    <row r="368" spans="1:17" s="5" customFormat="1" x14ac:dyDescent="0.2">
      <c r="A368" s="5" t="s">
        <v>638</v>
      </c>
      <c r="B368" s="5" t="s">
        <v>639</v>
      </c>
      <c r="C368" s="5" t="s">
        <v>434</v>
      </c>
      <c r="E368" s="5" t="s">
        <v>17</v>
      </c>
      <c r="G368" s="5" t="s">
        <v>26</v>
      </c>
      <c r="H368" s="7"/>
      <c r="J368" s="5">
        <v>99</v>
      </c>
      <c r="N368" s="13">
        <v>0.66700000000000004</v>
      </c>
      <c r="O368" s="13">
        <v>0.79700000000000004</v>
      </c>
      <c r="P368" s="13">
        <v>0.497</v>
      </c>
      <c r="Q368" s="17">
        <v>4.7935348167829003E-2</v>
      </c>
    </row>
    <row r="369" spans="1:17" s="5" customFormat="1" x14ac:dyDescent="0.2">
      <c r="A369" s="5" t="s">
        <v>640</v>
      </c>
      <c r="B369" s="5" t="s">
        <v>33</v>
      </c>
      <c r="C369" s="5" t="s">
        <v>34</v>
      </c>
      <c r="E369" s="5" t="s">
        <v>17</v>
      </c>
      <c r="G369" s="5" t="s">
        <v>26</v>
      </c>
      <c r="H369" s="7"/>
      <c r="J369" s="5">
        <v>106</v>
      </c>
      <c r="N369" s="13">
        <v>0.98499999999999999</v>
      </c>
      <c r="O369" s="13">
        <v>0.92300000000000004</v>
      </c>
      <c r="P369" s="13">
        <v>4.4999999999999998E-2</v>
      </c>
      <c r="Q369" s="17">
        <v>7.9375622716705396E-2</v>
      </c>
    </row>
    <row r="370" spans="1:17" s="5" customFormat="1" x14ac:dyDescent="0.2">
      <c r="A370" s="5" t="s">
        <v>641</v>
      </c>
      <c r="B370" s="5" t="s">
        <v>95</v>
      </c>
      <c r="C370" s="6" t="s">
        <v>642</v>
      </c>
      <c r="D370" s="6"/>
      <c r="E370" s="5" t="s">
        <v>17</v>
      </c>
      <c r="F370" s="14" t="s">
        <v>25</v>
      </c>
      <c r="G370" s="7" t="s">
        <v>18</v>
      </c>
      <c r="H370" s="7"/>
      <c r="J370" s="5">
        <v>62</v>
      </c>
      <c r="N370" s="15">
        <v>0.28999999999999998</v>
      </c>
      <c r="O370" s="15">
        <v>0.74299999999999999</v>
      </c>
      <c r="P370" s="13">
        <v>0.53</v>
      </c>
      <c r="Q370" s="17">
        <v>0.60367541237683997</v>
      </c>
    </row>
    <row r="371" spans="1:17" s="5" customFormat="1" x14ac:dyDescent="0.2">
      <c r="A371" s="5" t="s">
        <v>643</v>
      </c>
      <c r="B371" s="5" t="s">
        <v>45</v>
      </c>
      <c r="C371" s="5" t="s">
        <v>644</v>
      </c>
      <c r="E371" s="5" t="s">
        <v>17</v>
      </c>
      <c r="G371" s="7" t="s">
        <v>18</v>
      </c>
      <c r="H371" s="7"/>
      <c r="J371" s="5">
        <v>66</v>
      </c>
      <c r="N371" s="13">
        <v>0.57299999999999995</v>
      </c>
      <c r="O371" s="13">
        <v>0.35599999999999998</v>
      </c>
      <c r="P371" s="13">
        <v>0.90400000000000003</v>
      </c>
      <c r="Q371" s="17">
        <v>0.61740285619395496</v>
      </c>
    </row>
    <row r="372" spans="1:17" s="5" customFormat="1" x14ac:dyDescent="0.2">
      <c r="A372" s="5" t="s">
        <v>645</v>
      </c>
      <c r="B372" s="5" t="s">
        <v>30</v>
      </c>
      <c r="C372" s="6" t="s">
        <v>120</v>
      </c>
      <c r="D372" s="6"/>
      <c r="E372" s="5" t="s">
        <v>17</v>
      </c>
      <c r="F372" s="14" t="s">
        <v>25</v>
      </c>
      <c r="G372" s="7" t="s">
        <v>18</v>
      </c>
      <c r="H372" s="7"/>
      <c r="J372" s="14"/>
      <c r="N372" s="15">
        <v>0.22</v>
      </c>
      <c r="O372" s="15">
        <v>0.59899999999999998</v>
      </c>
      <c r="P372" s="13">
        <v>0.98799999999999999</v>
      </c>
      <c r="Q372" s="17">
        <v>0.614745931584191</v>
      </c>
    </row>
    <row r="373" spans="1:17" s="5" customFormat="1" x14ac:dyDescent="0.2">
      <c r="A373" s="5" t="s">
        <v>646</v>
      </c>
      <c r="B373" s="5" t="s">
        <v>30</v>
      </c>
      <c r="C373" s="6" t="s">
        <v>531</v>
      </c>
      <c r="D373" s="6"/>
      <c r="E373" s="5" t="s">
        <v>17</v>
      </c>
      <c r="F373" s="14" t="s">
        <v>25</v>
      </c>
      <c r="G373" s="5" t="s">
        <v>26</v>
      </c>
      <c r="H373" s="7"/>
      <c r="J373" s="14"/>
      <c r="N373" s="15">
        <v>0.22</v>
      </c>
      <c r="O373" s="15">
        <v>0.93200000000000005</v>
      </c>
      <c r="P373" s="13">
        <v>0.153</v>
      </c>
      <c r="Q373" s="17">
        <v>0.10760544669545</v>
      </c>
    </row>
    <row r="374" spans="1:17" s="5" customFormat="1" x14ac:dyDescent="0.2">
      <c r="A374" s="5" t="s">
        <v>647</v>
      </c>
      <c r="B374" s="5" t="s">
        <v>15</v>
      </c>
      <c r="C374" s="6" t="s">
        <v>160</v>
      </c>
      <c r="D374" s="6"/>
      <c r="E374" s="5" t="s">
        <v>17</v>
      </c>
      <c r="F374" s="14" t="s">
        <v>25</v>
      </c>
      <c r="G374" s="7" t="s">
        <v>18</v>
      </c>
      <c r="H374" s="7"/>
      <c r="J374" s="5">
        <v>132</v>
      </c>
      <c r="N374" s="15">
        <v>1</v>
      </c>
      <c r="O374" s="15">
        <v>0.214</v>
      </c>
      <c r="P374" s="13">
        <v>0.92900000000000005</v>
      </c>
      <c r="Q374" s="17">
        <v>0.71283073176131895</v>
      </c>
    </row>
    <row r="375" spans="1:17" s="5" customFormat="1" x14ac:dyDescent="0.2">
      <c r="A375" s="5" t="s">
        <v>648</v>
      </c>
      <c r="B375" s="5" t="s">
        <v>20</v>
      </c>
      <c r="C375" s="5" t="s">
        <v>649</v>
      </c>
      <c r="E375" s="5" t="s">
        <v>17</v>
      </c>
      <c r="G375" s="7" t="s">
        <v>18</v>
      </c>
      <c r="H375" s="7"/>
      <c r="J375" s="5">
        <v>10</v>
      </c>
      <c r="N375" s="13">
        <v>0.115</v>
      </c>
      <c r="O375" s="13">
        <v>0.57899999999999996</v>
      </c>
      <c r="P375" s="13">
        <v>0.29499999999999998</v>
      </c>
      <c r="Q375" s="17">
        <v>0.49153105280637599</v>
      </c>
    </row>
    <row r="376" spans="1:17" s="5" customFormat="1" x14ac:dyDescent="0.2">
      <c r="A376" s="5" t="s">
        <v>650</v>
      </c>
      <c r="B376" s="5" t="s">
        <v>20</v>
      </c>
      <c r="C376" s="5" t="s">
        <v>649</v>
      </c>
      <c r="E376" s="5" t="s">
        <v>17</v>
      </c>
      <c r="G376" s="7" t="s">
        <v>18</v>
      </c>
      <c r="H376" s="7"/>
      <c r="J376" s="5">
        <v>5</v>
      </c>
      <c r="N376" s="13">
        <v>0.115</v>
      </c>
      <c r="O376" s="13">
        <v>0.57899999999999996</v>
      </c>
      <c r="P376" s="13">
        <v>0.29499999999999998</v>
      </c>
      <c r="Q376" s="17">
        <v>0.49153105280637599</v>
      </c>
    </row>
    <row r="377" spans="1:17" s="5" customFormat="1" x14ac:dyDescent="0.2">
      <c r="A377" s="5" t="s">
        <v>651</v>
      </c>
      <c r="B377" s="5" t="s">
        <v>15</v>
      </c>
      <c r="C377" s="6" t="s">
        <v>333</v>
      </c>
      <c r="D377" s="6"/>
      <c r="E377" s="5" t="s">
        <v>17</v>
      </c>
      <c r="F377" s="14" t="s">
        <v>25</v>
      </c>
      <c r="G377" s="7" t="s">
        <v>18</v>
      </c>
      <c r="H377" s="7"/>
      <c r="J377" s="5">
        <v>91</v>
      </c>
      <c r="N377" s="15">
        <v>0.79</v>
      </c>
      <c r="O377" s="15">
        <v>6.8000000000000005E-2</v>
      </c>
      <c r="P377" s="13">
        <v>0.75600000000000001</v>
      </c>
      <c r="Q377" s="17">
        <v>0.80681943983172799</v>
      </c>
    </row>
    <row r="378" spans="1:17" s="5" customFormat="1" x14ac:dyDescent="0.2">
      <c r="A378" s="5" t="s">
        <v>652</v>
      </c>
      <c r="B378" s="5" t="s">
        <v>64</v>
      </c>
      <c r="C378" s="5" t="s">
        <v>65</v>
      </c>
      <c r="E378" s="5" t="s">
        <v>17</v>
      </c>
      <c r="G378" s="7" t="s">
        <v>18</v>
      </c>
      <c r="H378" s="7"/>
      <c r="J378" s="5">
        <v>9</v>
      </c>
      <c r="N378" s="13">
        <v>0.86499999999999999</v>
      </c>
      <c r="O378" s="13">
        <v>0.32800000000000001</v>
      </c>
      <c r="P378" s="13">
        <v>0.88300000000000001</v>
      </c>
      <c r="Q378" s="17">
        <v>0.618731318498837</v>
      </c>
    </row>
    <row r="379" spans="1:17" s="5" customFormat="1" x14ac:dyDescent="0.2">
      <c r="A379" s="5" t="s">
        <v>653</v>
      </c>
      <c r="B379" s="5" t="s">
        <v>20</v>
      </c>
      <c r="C379" s="16" t="s">
        <v>654</v>
      </c>
      <c r="D379" s="6" t="s">
        <v>655</v>
      </c>
      <c r="E379" s="5" t="s">
        <v>17</v>
      </c>
      <c r="F379" s="14" t="s">
        <v>25</v>
      </c>
      <c r="G379" s="5" t="s">
        <v>26</v>
      </c>
      <c r="H379" s="7"/>
      <c r="J379" s="5">
        <v>36</v>
      </c>
      <c r="N379" s="15">
        <v>0.51</v>
      </c>
      <c r="O379" s="15">
        <v>0.48449999999999999</v>
      </c>
      <c r="P379" s="13">
        <v>0.22450000000000001</v>
      </c>
      <c r="Q379" s="17">
        <v>0.57112808590722897</v>
      </c>
    </row>
    <row r="380" spans="1:17" s="5" customFormat="1" ht="15.75" customHeight="1" x14ac:dyDescent="0.2">
      <c r="A380" s="5" t="s">
        <v>656</v>
      </c>
      <c r="B380" s="5" t="s">
        <v>30</v>
      </c>
      <c r="C380" s="5" t="s">
        <v>31</v>
      </c>
      <c r="E380" s="5" t="s">
        <v>17</v>
      </c>
      <c r="G380" s="7" t="s">
        <v>18</v>
      </c>
      <c r="H380" s="7"/>
      <c r="J380" s="5">
        <v>31</v>
      </c>
      <c r="N380" s="13">
        <v>0.76100000000000001</v>
      </c>
      <c r="O380" s="13">
        <v>4.9000000000000002E-2</v>
      </c>
      <c r="P380" s="13">
        <v>0.997</v>
      </c>
      <c r="Q380" s="17">
        <v>0.326580316616849</v>
      </c>
    </row>
    <row r="381" spans="1:17" s="5" customFormat="1" x14ac:dyDescent="0.2">
      <c r="A381" s="5" t="s">
        <v>657</v>
      </c>
      <c r="B381" s="5" t="s">
        <v>15</v>
      </c>
      <c r="C381" s="5" t="s">
        <v>50</v>
      </c>
      <c r="E381" s="5" t="s">
        <v>17</v>
      </c>
      <c r="G381" s="5" t="s">
        <v>26</v>
      </c>
      <c r="H381" s="7"/>
      <c r="J381" s="5">
        <v>33</v>
      </c>
      <c r="N381" s="13">
        <v>0.76700000000000002</v>
      </c>
      <c r="O381" s="13">
        <v>0.214</v>
      </c>
      <c r="P381" s="13">
        <v>0.98399999999999999</v>
      </c>
      <c r="Q381" s="17">
        <v>0.79264917524631895</v>
      </c>
    </row>
    <row r="382" spans="1:17" s="5" customFormat="1" x14ac:dyDescent="0.2">
      <c r="A382" s="5" t="s">
        <v>658</v>
      </c>
      <c r="B382" s="5" t="s">
        <v>15</v>
      </c>
      <c r="C382" s="6" t="s">
        <v>546</v>
      </c>
      <c r="D382" s="6"/>
      <c r="E382" s="5" t="s">
        <v>17</v>
      </c>
      <c r="F382" s="14" t="s">
        <v>25</v>
      </c>
      <c r="G382" s="7" t="s">
        <v>18</v>
      </c>
      <c r="H382" s="7"/>
      <c r="J382" s="5">
        <v>37</v>
      </c>
      <c r="N382" s="15">
        <v>0.57999999999999996</v>
      </c>
      <c r="O382" s="15">
        <v>0.11700000000000001</v>
      </c>
      <c r="P382" s="13">
        <v>0.88900000000000001</v>
      </c>
      <c r="Q382" s="17">
        <v>0.824642975755562</v>
      </c>
    </row>
    <row r="383" spans="1:17" s="5" customFormat="1" x14ac:dyDescent="0.2">
      <c r="A383" s="5" t="s">
        <v>659</v>
      </c>
      <c r="B383" s="5" t="s">
        <v>15</v>
      </c>
      <c r="C383" s="6" t="s">
        <v>660</v>
      </c>
      <c r="D383" s="6"/>
      <c r="E383" s="5" t="s">
        <v>17</v>
      </c>
      <c r="F383" s="14" t="s">
        <v>25</v>
      </c>
      <c r="G383" s="7" t="s">
        <v>18</v>
      </c>
      <c r="H383" s="7"/>
      <c r="J383" s="5">
        <v>25</v>
      </c>
      <c r="N383" s="15">
        <v>0.65</v>
      </c>
      <c r="O383" s="15">
        <v>0.123</v>
      </c>
      <c r="P383" s="13">
        <v>0.81599999999999995</v>
      </c>
      <c r="Q383" s="17">
        <v>0.95195394664009703</v>
      </c>
    </row>
    <row r="384" spans="1:17" s="5" customFormat="1" x14ac:dyDescent="0.2">
      <c r="A384" s="5" t="s">
        <v>661</v>
      </c>
      <c r="B384" s="5" t="s">
        <v>95</v>
      </c>
      <c r="C384" s="6" t="s">
        <v>662</v>
      </c>
      <c r="D384" s="6"/>
      <c r="E384" s="5" t="s">
        <v>17</v>
      </c>
      <c r="F384" s="14" t="s">
        <v>25</v>
      </c>
      <c r="G384" s="5" t="s">
        <v>26</v>
      </c>
      <c r="H384" s="7"/>
      <c r="J384" s="5">
        <v>19</v>
      </c>
      <c r="N384" s="15">
        <v>0.31</v>
      </c>
      <c r="O384" s="15">
        <v>0.48899999999999999</v>
      </c>
      <c r="P384" s="13">
        <v>0.44</v>
      </c>
      <c r="Q384" s="17">
        <v>0.48212111148012798</v>
      </c>
    </row>
    <row r="385" spans="1:17" s="5" customFormat="1" x14ac:dyDescent="0.2">
      <c r="A385" s="5" t="s">
        <v>663</v>
      </c>
      <c r="B385" s="5" t="s">
        <v>23</v>
      </c>
      <c r="C385" s="5" t="s">
        <v>451</v>
      </c>
      <c r="E385" s="5" t="s">
        <v>17</v>
      </c>
      <c r="G385" s="7" t="s">
        <v>18</v>
      </c>
      <c r="H385" s="7"/>
      <c r="J385" s="5">
        <v>144</v>
      </c>
      <c r="N385" s="13">
        <v>0.247</v>
      </c>
      <c r="O385" s="13">
        <v>0.34699999999999998</v>
      </c>
      <c r="P385" s="13">
        <v>0.70799999999999996</v>
      </c>
      <c r="Q385" s="17">
        <v>0.85818664895383501</v>
      </c>
    </row>
    <row r="386" spans="1:17" s="5" customFormat="1" x14ac:dyDescent="0.2">
      <c r="A386" s="5" t="s">
        <v>664</v>
      </c>
      <c r="B386" s="5" t="s">
        <v>42</v>
      </c>
      <c r="C386" s="6" t="s">
        <v>378</v>
      </c>
      <c r="D386" s="6"/>
      <c r="E386" s="5" t="s">
        <v>17</v>
      </c>
      <c r="F386" s="14" t="s">
        <v>25</v>
      </c>
      <c r="G386" s="7" t="s">
        <v>18</v>
      </c>
      <c r="H386" s="7"/>
      <c r="J386" s="5">
        <v>53</v>
      </c>
      <c r="N386" s="15">
        <v>0.06</v>
      </c>
      <c r="O386" s="15">
        <v>0.33300000000000002</v>
      </c>
      <c r="P386" s="13">
        <v>0.83899999999999997</v>
      </c>
      <c r="Q386" s="17">
        <v>0.88254179121000698</v>
      </c>
    </row>
    <row r="387" spans="1:17" s="5" customFormat="1" x14ac:dyDescent="0.2">
      <c r="A387" s="5" t="s">
        <v>665</v>
      </c>
      <c r="B387" s="5" t="s">
        <v>183</v>
      </c>
      <c r="C387" s="5" t="s">
        <v>666</v>
      </c>
      <c r="E387" s="5" t="s">
        <v>17</v>
      </c>
      <c r="G387" s="7" t="s">
        <v>18</v>
      </c>
      <c r="H387" s="7"/>
      <c r="J387" s="5">
        <v>24</v>
      </c>
      <c r="N387" s="13">
        <v>0.86199999999999999</v>
      </c>
      <c r="O387" s="13">
        <v>0.19</v>
      </c>
      <c r="P387" s="13">
        <v>0.86799999999999999</v>
      </c>
      <c r="Q387" s="17">
        <v>0.66456326801726995</v>
      </c>
    </row>
    <row r="388" spans="1:17" s="5" customFormat="1" x14ac:dyDescent="0.2">
      <c r="A388" s="5" t="s">
        <v>667</v>
      </c>
      <c r="B388" s="5" t="s">
        <v>55</v>
      </c>
      <c r="C388" s="5" t="s">
        <v>569</v>
      </c>
      <c r="E388" s="5" t="s">
        <v>17</v>
      </c>
      <c r="G388" s="7" t="s">
        <v>18</v>
      </c>
      <c r="H388" s="7"/>
      <c r="J388" s="5">
        <v>5</v>
      </c>
      <c r="N388" s="13">
        <v>0.95699999999999996</v>
      </c>
      <c r="O388" s="13">
        <v>0.33300000000000002</v>
      </c>
      <c r="P388" s="13">
        <v>0.95199999999999996</v>
      </c>
      <c r="Q388" s="17">
        <v>0.61131407062991205</v>
      </c>
    </row>
    <row r="389" spans="1:17" s="5" customFormat="1" x14ac:dyDescent="0.2">
      <c r="A389" s="5" t="s">
        <v>668</v>
      </c>
      <c r="B389" s="5" t="s">
        <v>23</v>
      </c>
      <c r="C389" s="6" t="s">
        <v>325</v>
      </c>
      <c r="D389" s="6"/>
      <c r="E389" s="5" t="s">
        <v>17</v>
      </c>
      <c r="F389" s="14" t="s">
        <v>25</v>
      </c>
      <c r="G389" s="5" t="s">
        <v>26</v>
      </c>
      <c r="H389" s="7"/>
      <c r="J389" s="5">
        <v>80</v>
      </c>
      <c r="N389" s="15">
        <v>0.77</v>
      </c>
      <c r="O389" s="15">
        <v>0.32200000000000001</v>
      </c>
      <c r="P389" s="13">
        <v>0.76900000000000002</v>
      </c>
      <c r="Q389" s="17">
        <v>0.80870142809697698</v>
      </c>
    </row>
    <row r="390" spans="1:17" s="5" customFormat="1" x14ac:dyDescent="0.2">
      <c r="A390" s="5" t="s">
        <v>669</v>
      </c>
      <c r="B390" s="5" t="s">
        <v>90</v>
      </c>
      <c r="C390" s="6" t="s">
        <v>91</v>
      </c>
      <c r="D390" s="6"/>
      <c r="E390" s="5" t="s">
        <v>17</v>
      </c>
      <c r="F390" s="14" t="s">
        <v>25</v>
      </c>
      <c r="G390" s="7" t="s">
        <v>18</v>
      </c>
      <c r="H390" s="7"/>
      <c r="J390" s="5">
        <v>123</v>
      </c>
      <c r="N390" s="15">
        <v>0.26</v>
      </c>
      <c r="O390" s="15">
        <v>0.89900000000000002</v>
      </c>
      <c r="P390" s="13">
        <v>0.14199999999999999</v>
      </c>
      <c r="Q390" s="17">
        <v>2.6347835713494899E-2</v>
      </c>
    </row>
    <row r="391" spans="1:17" s="5" customFormat="1" x14ac:dyDescent="0.2">
      <c r="A391" s="5" t="s">
        <v>670</v>
      </c>
      <c r="B391" s="5" t="s">
        <v>90</v>
      </c>
      <c r="C391" s="6" t="s">
        <v>91</v>
      </c>
      <c r="D391" s="6"/>
      <c r="E391" s="5" t="s">
        <v>17</v>
      </c>
      <c r="F391" s="14" t="s">
        <v>25</v>
      </c>
      <c r="G391" s="7" t="s">
        <v>18</v>
      </c>
      <c r="H391" s="7"/>
      <c r="J391" s="5">
        <v>61</v>
      </c>
      <c r="N391" s="15">
        <v>0.26</v>
      </c>
      <c r="O391" s="15">
        <v>0.89900000000000002</v>
      </c>
      <c r="P391" s="13">
        <v>0.14199999999999999</v>
      </c>
      <c r="Q391" s="17">
        <v>2.6347835713494899E-2</v>
      </c>
    </row>
    <row r="392" spans="1:17" s="5" customFormat="1" x14ac:dyDescent="0.2">
      <c r="A392" s="5" t="s">
        <v>671</v>
      </c>
      <c r="B392" s="5" t="s">
        <v>64</v>
      </c>
      <c r="C392" s="5" t="s">
        <v>462</v>
      </c>
      <c r="E392" s="5" t="s">
        <v>17</v>
      </c>
      <c r="G392" s="7" t="s">
        <v>18</v>
      </c>
      <c r="H392" s="7"/>
      <c r="J392" s="5">
        <v>5</v>
      </c>
      <c r="N392" s="13">
        <v>0.21099999999999999</v>
      </c>
      <c r="O392" s="13">
        <v>0.379</v>
      </c>
      <c r="P392" s="13">
        <v>0.17799999999999999</v>
      </c>
      <c r="Q392" s="17">
        <v>0.54644082807483596</v>
      </c>
    </row>
    <row r="393" spans="1:17" s="5" customFormat="1" x14ac:dyDescent="0.2">
      <c r="A393" s="5" t="s">
        <v>672</v>
      </c>
      <c r="B393" s="5" t="s">
        <v>55</v>
      </c>
      <c r="C393" s="5" t="s">
        <v>56</v>
      </c>
      <c r="E393" s="5" t="s">
        <v>17</v>
      </c>
      <c r="F393" s="14" t="s">
        <v>25</v>
      </c>
      <c r="G393" s="7" t="s">
        <v>18</v>
      </c>
      <c r="H393" s="7"/>
      <c r="J393" s="5">
        <v>170</v>
      </c>
      <c r="N393" s="13">
        <v>0.82099999999999995</v>
      </c>
      <c r="O393" s="13">
        <v>0.34599999999999997</v>
      </c>
      <c r="P393" s="13">
        <v>0.115</v>
      </c>
      <c r="Q393" s="17">
        <v>0.62482010406288002</v>
      </c>
    </row>
    <row r="394" spans="1:17" s="5" customFormat="1" x14ac:dyDescent="0.2">
      <c r="A394" s="5" t="s">
        <v>673</v>
      </c>
      <c r="B394" s="5" t="s">
        <v>103</v>
      </c>
      <c r="C394" s="6" t="s">
        <v>162</v>
      </c>
      <c r="D394" s="6"/>
      <c r="E394" s="5" t="s">
        <v>17</v>
      </c>
      <c r="F394" s="14" t="s">
        <v>25</v>
      </c>
      <c r="G394" s="7" t="s">
        <v>18</v>
      </c>
      <c r="H394" s="7"/>
      <c r="J394" s="5">
        <v>94</v>
      </c>
      <c r="N394" s="15">
        <v>0.7</v>
      </c>
      <c r="O394" s="15">
        <v>0.28999999999999998</v>
      </c>
      <c r="P394" s="13">
        <v>0.60299999999999998</v>
      </c>
      <c r="Q394" s="17">
        <v>0.73475035979187397</v>
      </c>
    </row>
    <row r="395" spans="1:17" s="5" customFormat="1" x14ac:dyDescent="0.2">
      <c r="A395" s="5" t="s">
        <v>674</v>
      </c>
      <c r="B395" s="5" t="s">
        <v>30</v>
      </c>
      <c r="C395" s="5" t="s">
        <v>120</v>
      </c>
      <c r="E395" s="5" t="s">
        <v>17</v>
      </c>
      <c r="F395" s="14" t="s">
        <v>25</v>
      </c>
      <c r="G395" s="7" t="s">
        <v>18</v>
      </c>
      <c r="H395" s="7"/>
      <c r="J395" s="5">
        <v>17</v>
      </c>
      <c r="N395" s="13">
        <v>0.221</v>
      </c>
      <c r="O395" s="13">
        <v>0.59899999999999998</v>
      </c>
      <c r="P395" s="13">
        <v>0.98799999999999999</v>
      </c>
      <c r="Q395" s="17">
        <v>0.614745931584191</v>
      </c>
    </row>
    <row r="396" spans="1:17" s="5" customFormat="1" x14ac:dyDescent="0.2">
      <c r="A396" s="5" t="s">
        <v>675</v>
      </c>
      <c r="B396" s="5" t="s">
        <v>30</v>
      </c>
      <c r="C396" s="5" t="s">
        <v>676</v>
      </c>
      <c r="E396" s="5" t="s">
        <v>17</v>
      </c>
      <c r="F396" s="14" t="s">
        <v>25</v>
      </c>
      <c r="G396" s="7" t="s">
        <v>18</v>
      </c>
      <c r="H396" s="7"/>
      <c r="J396" s="5">
        <v>89</v>
      </c>
      <c r="N396" s="13">
        <v>0.48799999999999999</v>
      </c>
      <c r="O396" s="13">
        <v>0.72199999999999998</v>
      </c>
      <c r="P396" s="13">
        <v>0.36299999999999999</v>
      </c>
      <c r="Q396" s="17">
        <v>0.15432303775046999</v>
      </c>
    </row>
    <row r="397" spans="1:17" s="5" customFormat="1" x14ac:dyDescent="0.2">
      <c r="A397" s="5" t="s">
        <v>677</v>
      </c>
      <c r="B397" s="5" t="s">
        <v>15</v>
      </c>
      <c r="C397" s="14">
        <v>87404</v>
      </c>
      <c r="D397" s="5" t="s">
        <v>678</v>
      </c>
      <c r="E397" s="5" t="s">
        <v>17</v>
      </c>
      <c r="G397" s="7" t="s">
        <v>18</v>
      </c>
      <c r="H397" s="7"/>
      <c r="J397" s="5">
        <v>16</v>
      </c>
      <c r="N397" s="17"/>
      <c r="O397" s="17">
        <v>6.8000000000000005E-2</v>
      </c>
      <c r="P397" s="17">
        <v>0.75600000000000001</v>
      </c>
      <c r="Q397" s="17">
        <v>0.80681943983172799</v>
      </c>
    </row>
    <row r="398" spans="1:17" s="5" customFormat="1" x14ac:dyDescent="0.2">
      <c r="A398" s="5" t="s">
        <v>679</v>
      </c>
      <c r="B398" s="5" t="s">
        <v>45</v>
      </c>
      <c r="C398" s="5" t="s">
        <v>453</v>
      </c>
      <c r="E398" s="5" t="s">
        <v>17</v>
      </c>
      <c r="G398" s="7" t="s">
        <v>18</v>
      </c>
      <c r="H398" s="7"/>
      <c r="J398" s="5">
        <v>400</v>
      </c>
      <c r="N398" s="13">
        <v>0.68899999999999995</v>
      </c>
      <c r="O398" s="13">
        <v>0.13900000000000001</v>
      </c>
      <c r="P398" s="13">
        <v>0.90300000000000002</v>
      </c>
      <c r="Q398" s="17">
        <v>0.57101738071515495</v>
      </c>
    </row>
    <row r="399" spans="1:17" s="5" customFormat="1" x14ac:dyDescent="0.2">
      <c r="A399" s="5" t="s">
        <v>680</v>
      </c>
      <c r="B399" s="5" t="s">
        <v>30</v>
      </c>
      <c r="C399" s="6" t="s">
        <v>120</v>
      </c>
      <c r="D399" s="6"/>
      <c r="E399" s="5" t="s">
        <v>17</v>
      </c>
      <c r="F399" s="5" t="s">
        <v>25</v>
      </c>
      <c r="G399" s="5" t="s">
        <v>39</v>
      </c>
      <c r="H399" s="7" t="s">
        <v>18</v>
      </c>
      <c r="N399" s="15">
        <v>0.22</v>
      </c>
      <c r="O399" s="15">
        <v>0.59899999999999998</v>
      </c>
      <c r="P399" s="13">
        <v>0.98799999999999999</v>
      </c>
      <c r="Q399" s="17">
        <v>0.614745931584191</v>
      </c>
    </row>
    <row r="400" spans="1:17" s="5" customFormat="1" x14ac:dyDescent="0.2">
      <c r="A400" s="5" t="s">
        <v>681</v>
      </c>
      <c r="B400" s="5" t="s">
        <v>15</v>
      </c>
      <c r="C400" s="6" t="s">
        <v>471</v>
      </c>
      <c r="D400" s="6"/>
      <c r="E400" s="5" t="s">
        <v>17</v>
      </c>
      <c r="F400" s="14" t="s">
        <v>25</v>
      </c>
      <c r="G400" s="7" t="s">
        <v>18</v>
      </c>
      <c r="H400" s="7"/>
      <c r="J400" s="5">
        <v>44</v>
      </c>
      <c r="K400" s="5">
        <v>16</v>
      </c>
      <c r="N400" s="15">
        <v>0.94</v>
      </c>
      <c r="O400" s="15">
        <v>4.8000000000000001E-2</v>
      </c>
      <c r="P400" s="13">
        <v>0.98899999999999999</v>
      </c>
      <c r="Q400" s="17">
        <v>0.88874128196612401</v>
      </c>
    </row>
    <row r="401" spans="1:17" s="5" customFormat="1" x14ac:dyDescent="0.2">
      <c r="A401" s="5" t="s">
        <v>682</v>
      </c>
      <c r="B401" s="5" t="s">
        <v>610</v>
      </c>
      <c r="C401" s="5" t="s">
        <v>611</v>
      </c>
      <c r="E401" s="5" t="s">
        <v>17</v>
      </c>
      <c r="F401" s="5" t="s">
        <v>25</v>
      </c>
      <c r="G401" s="5" t="s">
        <v>26</v>
      </c>
      <c r="H401" s="7" t="s">
        <v>39</v>
      </c>
      <c r="J401" s="5" t="s">
        <v>683</v>
      </c>
      <c r="N401" s="13">
        <v>0.251</v>
      </c>
      <c r="O401" s="13">
        <v>0.66400000000000003</v>
      </c>
      <c r="P401" s="13">
        <v>0.49299999999999999</v>
      </c>
      <c r="Q401" s="17">
        <v>0.45311635115686899</v>
      </c>
    </row>
    <row r="402" spans="1:17" s="5" customFormat="1" x14ac:dyDescent="0.2">
      <c r="A402" s="5" t="s">
        <v>684</v>
      </c>
      <c r="B402" s="5" t="s">
        <v>30</v>
      </c>
      <c r="C402" s="5" t="s">
        <v>48</v>
      </c>
      <c r="E402" s="5" t="s">
        <v>17</v>
      </c>
      <c r="G402" s="5" t="s">
        <v>26</v>
      </c>
      <c r="H402" s="7"/>
      <c r="J402" s="5">
        <v>116</v>
      </c>
      <c r="N402" s="13">
        <v>0.64300000000000002</v>
      </c>
      <c r="O402" s="13">
        <v>0.63100000000000001</v>
      </c>
      <c r="P402" s="13">
        <v>0.13600000000000001</v>
      </c>
      <c r="Q402" s="17">
        <v>0.29336875899479598</v>
      </c>
    </row>
    <row r="403" spans="1:17" s="5" customFormat="1" x14ac:dyDescent="0.2">
      <c r="A403" s="5" t="s">
        <v>685</v>
      </c>
      <c r="B403" s="5" t="s">
        <v>145</v>
      </c>
      <c r="C403" s="5" t="s">
        <v>686</v>
      </c>
      <c r="E403" s="5" t="s">
        <v>17</v>
      </c>
      <c r="G403" s="5" t="s">
        <v>26</v>
      </c>
      <c r="H403" s="7"/>
      <c r="J403" s="5">
        <v>154</v>
      </c>
      <c r="N403" s="13">
        <v>0.879</v>
      </c>
      <c r="O403" s="13">
        <v>0.77100000000000002</v>
      </c>
      <c r="P403" s="13">
        <v>0.4</v>
      </c>
      <c r="Q403" s="17">
        <v>0.399535038193291</v>
      </c>
    </row>
    <row r="404" spans="1:17" s="5" customFormat="1" x14ac:dyDescent="0.2">
      <c r="A404" s="5" t="s">
        <v>687</v>
      </c>
      <c r="B404" s="5" t="s">
        <v>30</v>
      </c>
      <c r="C404" s="6" t="s">
        <v>120</v>
      </c>
      <c r="D404" s="6"/>
      <c r="E404" s="5" t="s">
        <v>17</v>
      </c>
      <c r="F404" s="14" t="s">
        <v>25</v>
      </c>
      <c r="G404" s="7" t="s">
        <v>18</v>
      </c>
      <c r="H404" s="7"/>
      <c r="J404" s="5">
        <v>20</v>
      </c>
      <c r="N404" s="15">
        <v>0.22</v>
      </c>
      <c r="O404" s="15">
        <v>0.59899999999999998</v>
      </c>
      <c r="P404" s="13">
        <v>0.98799999999999999</v>
      </c>
      <c r="Q404" s="17">
        <v>0.614745931584191</v>
      </c>
    </row>
    <row r="405" spans="1:17" s="5" customFormat="1" x14ac:dyDescent="0.2">
      <c r="A405" s="5" t="s">
        <v>688</v>
      </c>
      <c r="B405" s="5" t="s">
        <v>95</v>
      </c>
      <c r="C405" s="6" t="s">
        <v>662</v>
      </c>
      <c r="D405" s="6"/>
      <c r="E405" s="5" t="s">
        <v>17</v>
      </c>
      <c r="F405" s="5" t="s">
        <v>25</v>
      </c>
      <c r="G405" s="7" t="s">
        <v>18</v>
      </c>
      <c r="H405" s="7"/>
      <c r="J405" s="5">
        <v>260</v>
      </c>
      <c r="N405" s="15">
        <v>0.31</v>
      </c>
      <c r="O405" s="15">
        <v>0.48899999999999999</v>
      </c>
      <c r="P405" s="13">
        <v>0.44</v>
      </c>
      <c r="Q405" s="17">
        <v>0.48212111148012798</v>
      </c>
    </row>
    <row r="406" spans="1:17" s="5" customFormat="1" x14ac:dyDescent="0.2">
      <c r="A406" s="5" t="s">
        <v>689</v>
      </c>
      <c r="B406" s="5" t="s">
        <v>335</v>
      </c>
      <c r="C406" s="6" t="s">
        <v>432</v>
      </c>
      <c r="D406" s="6"/>
      <c r="E406" s="5" t="s">
        <v>17</v>
      </c>
      <c r="F406" s="5" t="s">
        <v>25</v>
      </c>
      <c r="G406" s="5" t="s">
        <v>26</v>
      </c>
      <c r="H406" s="7" t="s">
        <v>39</v>
      </c>
      <c r="J406" s="14"/>
      <c r="K406" s="5">
        <v>7</v>
      </c>
      <c r="N406" s="15">
        <v>0.34</v>
      </c>
      <c r="O406" s="15">
        <v>0.85</v>
      </c>
      <c r="P406" s="13">
        <v>7.3999999999999996E-2</v>
      </c>
      <c r="Q406" s="17">
        <v>0.29967895494298602</v>
      </c>
    </row>
    <row r="407" spans="1:17" s="5" customFormat="1" x14ac:dyDescent="0.2">
      <c r="A407" s="5" t="s">
        <v>690</v>
      </c>
      <c r="B407" s="5" t="s">
        <v>15</v>
      </c>
      <c r="C407" s="5" t="s">
        <v>134</v>
      </c>
      <c r="E407" s="5" t="s">
        <v>17</v>
      </c>
      <c r="F407" s="5" t="s">
        <v>691</v>
      </c>
      <c r="G407" s="7" t="s">
        <v>18</v>
      </c>
      <c r="H407" s="7"/>
      <c r="J407" s="5">
        <v>276</v>
      </c>
      <c r="N407" s="13">
        <v>0.40300000000000002</v>
      </c>
      <c r="O407" s="13">
        <v>0.17899999999999999</v>
      </c>
      <c r="P407" s="13">
        <v>0.19600000000000001</v>
      </c>
      <c r="Q407" s="17">
        <v>0.77261153548101402</v>
      </c>
    </row>
    <row r="408" spans="1:17" s="5" customFormat="1" x14ac:dyDescent="0.2">
      <c r="A408" s="5" t="s">
        <v>692</v>
      </c>
      <c r="B408" s="5" t="s">
        <v>95</v>
      </c>
      <c r="C408" s="6" t="s">
        <v>549</v>
      </c>
      <c r="D408" s="6"/>
      <c r="E408" s="5" t="s">
        <v>17</v>
      </c>
      <c r="F408" s="5" t="s">
        <v>25</v>
      </c>
      <c r="G408" s="5" t="s">
        <v>105</v>
      </c>
      <c r="H408" s="7" t="s">
        <v>18</v>
      </c>
      <c r="J408" s="14"/>
      <c r="N408" s="15">
        <v>0.38</v>
      </c>
      <c r="O408" s="15">
        <v>0.25700000000000001</v>
      </c>
      <c r="P408" s="13">
        <v>0.68899999999999995</v>
      </c>
      <c r="Q408" s="17">
        <v>0.69235027122771997</v>
      </c>
    </row>
    <row r="409" spans="1:17" s="5" customFormat="1" x14ac:dyDescent="0.2">
      <c r="A409" s="5" t="s">
        <v>693</v>
      </c>
      <c r="B409" s="5" t="s">
        <v>30</v>
      </c>
      <c r="C409" s="6" t="s">
        <v>497</v>
      </c>
      <c r="D409" s="6"/>
      <c r="E409" s="5" t="s">
        <v>17</v>
      </c>
      <c r="F409" s="14" t="s">
        <v>25</v>
      </c>
      <c r="G409" s="7" t="s">
        <v>18</v>
      </c>
      <c r="H409" s="7"/>
      <c r="J409" s="5" t="s">
        <v>694</v>
      </c>
      <c r="N409" s="15">
        <v>0.21</v>
      </c>
      <c r="O409" s="15">
        <v>0.84599999999999997</v>
      </c>
      <c r="P409" s="13">
        <v>0.57899999999999996</v>
      </c>
      <c r="Q409" s="17">
        <v>0.235469943540352</v>
      </c>
    </row>
    <row r="410" spans="1:17" s="5" customFormat="1" x14ac:dyDescent="0.2">
      <c r="A410" s="5" t="s">
        <v>695</v>
      </c>
      <c r="B410" s="5" t="s">
        <v>64</v>
      </c>
      <c r="C410" s="5" t="s">
        <v>445</v>
      </c>
      <c r="E410" s="5" t="s">
        <v>17</v>
      </c>
      <c r="G410" s="7" t="s">
        <v>18</v>
      </c>
      <c r="H410" s="7"/>
      <c r="J410" s="5">
        <v>26</v>
      </c>
      <c r="N410" s="13">
        <v>0.31</v>
      </c>
      <c r="O410" s="13">
        <v>0.95499999999999996</v>
      </c>
      <c r="P410" s="13">
        <v>8.0000000000000002E-3</v>
      </c>
      <c r="Q410" s="17">
        <v>0.32879442045831903</v>
      </c>
    </row>
    <row r="411" spans="1:17" s="5" customFormat="1" x14ac:dyDescent="0.2">
      <c r="A411" s="5" t="s">
        <v>696</v>
      </c>
      <c r="B411" s="5" t="s">
        <v>90</v>
      </c>
      <c r="C411" s="6" t="s">
        <v>298</v>
      </c>
      <c r="D411" s="6"/>
      <c r="E411" s="5" t="s">
        <v>17</v>
      </c>
      <c r="F411" s="14" t="s">
        <v>25</v>
      </c>
      <c r="G411" s="7" t="s">
        <v>18</v>
      </c>
      <c r="H411" s="7"/>
      <c r="J411" s="5">
        <v>71</v>
      </c>
      <c r="N411" s="15">
        <v>0.64</v>
      </c>
      <c r="O411" s="15">
        <v>0.52700000000000002</v>
      </c>
      <c r="P411" s="13">
        <v>0.36899999999999999</v>
      </c>
      <c r="Q411" s="17">
        <v>0.16495073618952699</v>
      </c>
    </row>
    <row r="412" spans="1:17" s="5" customFormat="1" x14ac:dyDescent="0.2">
      <c r="A412" s="5" t="s">
        <v>697</v>
      </c>
      <c r="B412" s="5" t="s">
        <v>30</v>
      </c>
      <c r="C412" s="5" t="s">
        <v>120</v>
      </c>
      <c r="E412" s="5" t="s">
        <v>17</v>
      </c>
      <c r="F412" s="14" t="s">
        <v>25</v>
      </c>
      <c r="G412" s="7" t="s">
        <v>18</v>
      </c>
      <c r="H412" s="7"/>
      <c r="J412" s="5">
        <v>38</v>
      </c>
      <c r="N412" s="13">
        <v>0.221</v>
      </c>
      <c r="O412" s="13">
        <v>0.59899999999999998</v>
      </c>
      <c r="P412" s="13">
        <v>0.98799999999999999</v>
      </c>
      <c r="Q412" s="17">
        <v>0.614745931584191</v>
      </c>
    </row>
    <row r="413" spans="1:17" s="5" customFormat="1" x14ac:dyDescent="0.2">
      <c r="A413" s="5" t="s">
        <v>698</v>
      </c>
      <c r="B413" s="5" t="s">
        <v>20</v>
      </c>
      <c r="C413" s="5" t="s">
        <v>78</v>
      </c>
      <c r="E413" s="5" t="s">
        <v>17</v>
      </c>
      <c r="F413" s="14" t="s">
        <v>25</v>
      </c>
      <c r="G413" s="5" t="s">
        <v>26</v>
      </c>
      <c r="H413" s="7"/>
      <c r="J413" s="5">
        <v>268</v>
      </c>
      <c r="N413" s="13">
        <v>0.495</v>
      </c>
      <c r="O413" s="13">
        <v>3.2000000000000001E-2</v>
      </c>
      <c r="P413" s="13">
        <v>0.88900000000000001</v>
      </c>
      <c r="Q413" s="17">
        <v>0.69157533488320599</v>
      </c>
    </row>
    <row r="414" spans="1:17" s="5" customFormat="1" x14ac:dyDescent="0.2">
      <c r="A414" s="5" t="s">
        <v>699</v>
      </c>
      <c r="B414" s="5" t="s">
        <v>23</v>
      </c>
      <c r="C414" s="5" t="s">
        <v>153</v>
      </c>
      <c r="E414" s="5" t="s">
        <v>17</v>
      </c>
      <c r="G414" s="7" t="s">
        <v>18</v>
      </c>
      <c r="H414" s="7"/>
      <c r="J414" s="5">
        <v>14</v>
      </c>
      <c r="N414" s="13">
        <v>0.59699999999999998</v>
      </c>
      <c r="O414" s="13">
        <v>3.1E-2</v>
      </c>
      <c r="P414" s="13">
        <v>0.95299999999999996</v>
      </c>
      <c r="Q414" s="17">
        <v>0.90269013616738603</v>
      </c>
    </row>
    <row r="415" spans="1:17" s="5" customFormat="1" x14ac:dyDescent="0.2">
      <c r="A415" s="5" t="s">
        <v>700</v>
      </c>
      <c r="B415" s="5" t="s">
        <v>30</v>
      </c>
      <c r="C415" s="6" t="s">
        <v>221</v>
      </c>
      <c r="D415" s="6"/>
      <c r="E415" s="5" t="s">
        <v>17</v>
      </c>
      <c r="F415" s="14" t="s">
        <v>25</v>
      </c>
      <c r="G415" s="7" t="s">
        <v>18</v>
      </c>
      <c r="H415" s="7"/>
      <c r="J415" s="5">
        <v>84</v>
      </c>
      <c r="N415" s="15">
        <v>0.54</v>
      </c>
      <c r="O415" s="15">
        <v>0.52600000000000002</v>
      </c>
      <c r="P415" s="13">
        <v>0.97099999999999997</v>
      </c>
      <c r="Q415" s="17">
        <v>0.57777039743163905</v>
      </c>
    </row>
    <row r="416" spans="1:17" s="5" customFormat="1" x14ac:dyDescent="0.2">
      <c r="A416" s="5" t="s">
        <v>701</v>
      </c>
      <c r="B416" s="5" t="s">
        <v>64</v>
      </c>
      <c r="C416" s="5" t="s">
        <v>389</v>
      </c>
      <c r="E416" s="5" t="s">
        <v>17</v>
      </c>
      <c r="G416" s="7" t="s">
        <v>18</v>
      </c>
      <c r="H416" s="7"/>
      <c r="J416" s="5">
        <v>12</v>
      </c>
      <c r="N416" s="13">
        <v>0.53300000000000003</v>
      </c>
      <c r="O416" s="13">
        <v>0.63600000000000001</v>
      </c>
      <c r="P416" s="13">
        <v>1.4999999999999999E-2</v>
      </c>
      <c r="Q416" s="17">
        <v>0.405402413373187</v>
      </c>
    </row>
    <row r="417" spans="1:17" s="5" customFormat="1" x14ac:dyDescent="0.2">
      <c r="A417" s="5" t="s">
        <v>702</v>
      </c>
      <c r="B417" s="5" t="s">
        <v>42</v>
      </c>
      <c r="C417" s="5" t="s">
        <v>238</v>
      </c>
      <c r="E417" s="5" t="s">
        <v>17</v>
      </c>
      <c r="G417" s="7" t="s">
        <v>18</v>
      </c>
      <c r="H417" s="7"/>
      <c r="J417" s="5">
        <v>48</v>
      </c>
      <c r="N417" s="13">
        <v>0.30099999999999999</v>
      </c>
      <c r="O417" s="13">
        <v>2.1999999999999999E-2</v>
      </c>
      <c r="P417" s="13">
        <v>0.93600000000000005</v>
      </c>
      <c r="Q417" s="17">
        <v>0.94752573895715697</v>
      </c>
    </row>
    <row r="418" spans="1:17" s="5" customFormat="1" x14ac:dyDescent="0.2">
      <c r="A418" s="5" t="s">
        <v>703</v>
      </c>
      <c r="B418" s="5" t="s">
        <v>95</v>
      </c>
      <c r="C418" s="5" t="s">
        <v>357</v>
      </c>
      <c r="E418" s="5" t="s">
        <v>17</v>
      </c>
      <c r="F418" s="14" t="s">
        <v>25</v>
      </c>
      <c r="G418" s="5" t="s">
        <v>26</v>
      </c>
      <c r="H418" s="7"/>
      <c r="J418" s="5">
        <v>75</v>
      </c>
      <c r="N418" s="13">
        <v>0.19600000000000001</v>
      </c>
      <c r="O418" s="13">
        <v>0.21099999999999999</v>
      </c>
      <c r="P418" s="13">
        <v>0.70399999999999996</v>
      </c>
      <c r="Q418" s="17">
        <v>0.62614856636776195</v>
      </c>
    </row>
    <row r="419" spans="1:17" s="5" customFormat="1" x14ac:dyDescent="0.2">
      <c r="A419" s="5" t="s">
        <v>704</v>
      </c>
      <c r="B419" s="5" t="s">
        <v>23</v>
      </c>
      <c r="C419" s="5" t="s">
        <v>153</v>
      </c>
      <c r="E419" s="5" t="s">
        <v>17</v>
      </c>
      <c r="G419" s="7" t="s">
        <v>18</v>
      </c>
      <c r="H419" s="7"/>
      <c r="J419" s="5">
        <v>144</v>
      </c>
      <c r="N419" s="13">
        <v>0.59699999999999998</v>
      </c>
      <c r="O419" s="13">
        <v>3.1E-2</v>
      </c>
      <c r="P419" s="13">
        <v>0.95299999999999996</v>
      </c>
      <c r="Q419" s="17">
        <v>0.90269013616738603</v>
      </c>
    </row>
    <row r="420" spans="1:17" s="5" customFormat="1" x14ac:dyDescent="0.2">
      <c r="A420" s="5" t="s">
        <v>705</v>
      </c>
      <c r="B420" s="5" t="s">
        <v>30</v>
      </c>
      <c r="C420" s="6" t="s">
        <v>706</v>
      </c>
      <c r="D420" s="6"/>
      <c r="E420" s="5" t="s">
        <v>17</v>
      </c>
      <c r="F420" s="14" t="s">
        <v>25</v>
      </c>
      <c r="G420" s="7" t="s">
        <v>18</v>
      </c>
      <c r="H420" s="7"/>
      <c r="J420" s="5">
        <v>21</v>
      </c>
      <c r="N420" s="15">
        <v>0.38</v>
      </c>
      <c r="O420" s="15">
        <v>0.40400000000000003</v>
      </c>
      <c r="P420" s="13">
        <v>0.84299999999999997</v>
      </c>
      <c r="Q420" s="17">
        <v>0.32403409719915799</v>
      </c>
    </row>
    <row r="421" spans="1:17" s="5" customFormat="1" x14ac:dyDescent="0.2">
      <c r="A421" s="5" t="s">
        <v>707</v>
      </c>
      <c r="B421" s="5" t="s">
        <v>15</v>
      </c>
      <c r="C421" s="6" t="s">
        <v>72</v>
      </c>
      <c r="D421" s="6"/>
      <c r="E421" s="5" t="s">
        <v>17</v>
      </c>
      <c r="F421" s="14" t="s">
        <v>25</v>
      </c>
      <c r="G421" s="5" t="s">
        <v>26</v>
      </c>
      <c r="H421" s="7"/>
      <c r="J421" s="5">
        <v>59</v>
      </c>
      <c r="N421" s="15">
        <v>0.09</v>
      </c>
      <c r="O421" s="15">
        <v>0.33800000000000002</v>
      </c>
      <c r="P421" s="13">
        <v>0.59</v>
      </c>
      <c r="Q421" s="17">
        <v>0.70386361120336505</v>
      </c>
    </row>
    <row r="422" spans="1:17" s="5" customFormat="1" x14ac:dyDescent="0.2">
      <c r="A422" s="5" t="s">
        <v>708</v>
      </c>
      <c r="B422" s="5" t="s">
        <v>30</v>
      </c>
      <c r="C422" s="6" t="s">
        <v>31</v>
      </c>
      <c r="D422" s="6"/>
      <c r="E422" s="5" t="s">
        <v>17</v>
      </c>
      <c r="F422" s="14" t="s">
        <v>25</v>
      </c>
      <c r="G422" s="7" t="s">
        <v>18</v>
      </c>
      <c r="H422" s="7"/>
      <c r="J422" s="14"/>
      <c r="N422" s="15">
        <v>0.76</v>
      </c>
      <c r="O422" s="15">
        <v>4.9000000000000002E-2</v>
      </c>
      <c r="P422" s="13">
        <v>0.997</v>
      </c>
      <c r="Q422" s="17">
        <v>0.326580316616849</v>
      </c>
    </row>
    <row r="423" spans="1:17" s="5" customFormat="1" x14ac:dyDescent="0.2">
      <c r="A423" s="5" t="s">
        <v>709</v>
      </c>
      <c r="B423" s="5" t="s">
        <v>273</v>
      </c>
      <c r="C423" s="6" t="s">
        <v>221</v>
      </c>
      <c r="D423" s="6"/>
      <c r="E423" s="5" t="s">
        <v>17</v>
      </c>
      <c r="F423" s="14" t="s">
        <v>25</v>
      </c>
      <c r="G423" s="7" t="s">
        <v>18</v>
      </c>
      <c r="H423" s="7"/>
      <c r="J423" s="5">
        <v>46</v>
      </c>
      <c r="N423" s="15">
        <v>0.54</v>
      </c>
      <c r="O423" s="15">
        <v>0.52600000000000002</v>
      </c>
      <c r="P423" s="13">
        <v>0.97099999999999997</v>
      </c>
      <c r="Q423" s="17">
        <v>0.57777039743163905</v>
      </c>
    </row>
    <row r="424" spans="1:17" s="5" customFormat="1" x14ac:dyDescent="0.2">
      <c r="A424" s="5" t="s">
        <v>710</v>
      </c>
      <c r="B424" s="5" t="s">
        <v>273</v>
      </c>
      <c r="C424" s="6" t="s">
        <v>221</v>
      </c>
      <c r="D424" s="6"/>
      <c r="E424" s="5" t="s">
        <v>17</v>
      </c>
      <c r="F424" s="14" t="s">
        <v>25</v>
      </c>
      <c r="G424" s="5" t="s">
        <v>18</v>
      </c>
      <c r="H424" s="7"/>
      <c r="J424" s="5">
        <v>45</v>
      </c>
      <c r="N424" s="15">
        <v>0.54</v>
      </c>
      <c r="O424" s="15">
        <v>0.52600000000000002</v>
      </c>
      <c r="P424" s="13">
        <v>0.97099999999999997</v>
      </c>
      <c r="Q424" s="17">
        <v>0.57777039743163905</v>
      </c>
    </row>
    <row r="425" spans="1:17" s="5" customFormat="1" x14ac:dyDescent="0.2">
      <c r="A425" s="5" t="s">
        <v>711</v>
      </c>
      <c r="B425" s="5" t="s">
        <v>95</v>
      </c>
      <c r="C425" s="6" t="s">
        <v>246</v>
      </c>
      <c r="D425" s="6"/>
      <c r="E425" s="5" t="s">
        <v>17</v>
      </c>
      <c r="G425" s="7" t="s">
        <v>18</v>
      </c>
      <c r="H425" s="7"/>
      <c r="J425" s="5">
        <v>26</v>
      </c>
      <c r="N425" s="15">
        <v>0.51</v>
      </c>
      <c r="O425" s="15">
        <v>0.29399999999999998</v>
      </c>
      <c r="P425" s="13">
        <v>0.215</v>
      </c>
      <c r="Q425" s="17">
        <v>0.87534595372522905</v>
      </c>
    </row>
    <row r="426" spans="1:17" s="5" customFormat="1" x14ac:dyDescent="0.2">
      <c r="A426" s="5" t="s">
        <v>712</v>
      </c>
      <c r="B426" s="5" t="s">
        <v>23</v>
      </c>
      <c r="C426" s="5" t="s">
        <v>713</v>
      </c>
      <c r="E426" s="5" t="s">
        <v>17</v>
      </c>
      <c r="G426" s="5" t="s">
        <v>26</v>
      </c>
      <c r="H426" s="7"/>
      <c r="J426" s="5">
        <v>36</v>
      </c>
      <c r="N426" s="13">
        <v>1</v>
      </c>
      <c r="O426" s="13">
        <v>0.26300000000000001</v>
      </c>
      <c r="P426" s="13">
        <v>0.68400000000000005</v>
      </c>
      <c r="Q426" s="17">
        <v>0.59515111258718001</v>
      </c>
    </row>
    <row r="427" spans="1:17" s="5" customFormat="1" x14ac:dyDescent="0.2">
      <c r="A427" s="5" t="s">
        <v>714</v>
      </c>
      <c r="B427" s="5" t="s">
        <v>103</v>
      </c>
      <c r="C427" s="5" t="s">
        <v>162</v>
      </c>
      <c r="E427" s="5" t="s">
        <v>17</v>
      </c>
      <c r="G427" s="5" t="s">
        <v>26</v>
      </c>
      <c r="H427" s="7"/>
      <c r="J427" s="5">
        <v>94</v>
      </c>
      <c r="N427" s="13">
        <v>0.69799999999999995</v>
      </c>
      <c r="O427" s="13">
        <v>0.28999999999999998</v>
      </c>
      <c r="P427" s="13">
        <v>0.60299999999999998</v>
      </c>
      <c r="Q427" s="17">
        <v>0.73475035979187397</v>
      </c>
    </row>
    <row r="428" spans="1:17" s="5" customFormat="1" x14ac:dyDescent="0.2">
      <c r="A428" s="5" t="s">
        <v>715</v>
      </c>
      <c r="B428" s="5" t="s">
        <v>225</v>
      </c>
      <c r="C428" s="5" t="s">
        <v>716</v>
      </c>
      <c r="E428" s="5" t="s">
        <v>17</v>
      </c>
      <c r="G428" s="5" t="s">
        <v>26</v>
      </c>
      <c r="H428" s="7"/>
      <c r="J428" s="5">
        <v>125</v>
      </c>
      <c r="N428" s="13">
        <v>0.38500000000000001</v>
      </c>
      <c r="O428" s="13">
        <v>0.80500000000000005</v>
      </c>
      <c r="P428" s="13">
        <v>0.372</v>
      </c>
      <c r="Q428" s="17">
        <v>0.13982065758883999</v>
      </c>
    </row>
    <row r="429" spans="1:17" s="5" customFormat="1" x14ac:dyDescent="0.2">
      <c r="A429" s="5" t="s">
        <v>717</v>
      </c>
      <c r="B429" s="5" t="s">
        <v>718</v>
      </c>
      <c r="C429" s="5" t="s">
        <v>719</v>
      </c>
      <c r="E429" s="5" t="s">
        <v>17</v>
      </c>
      <c r="G429" s="7" t="s">
        <v>18</v>
      </c>
      <c r="H429" s="7"/>
      <c r="J429" s="5">
        <v>23</v>
      </c>
      <c r="N429" s="13">
        <v>0.59099999999999997</v>
      </c>
      <c r="O429" s="13">
        <v>0.49399999999999999</v>
      </c>
      <c r="P429" s="13">
        <v>0.154</v>
      </c>
      <c r="Q429" s="17">
        <v>0.14469168604007501</v>
      </c>
    </row>
    <row r="430" spans="1:17" s="5" customFormat="1" x14ac:dyDescent="0.2">
      <c r="A430" s="5" t="s">
        <v>720</v>
      </c>
      <c r="B430" s="5" t="s">
        <v>15</v>
      </c>
      <c r="C430" s="6" t="s">
        <v>160</v>
      </c>
      <c r="D430" s="6"/>
      <c r="E430" s="5" t="s">
        <v>17</v>
      </c>
      <c r="F430" s="5" t="s">
        <v>25</v>
      </c>
      <c r="G430" s="5" t="s">
        <v>26</v>
      </c>
      <c r="H430" s="7"/>
      <c r="J430" s="5" t="s">
        <v>721</v>
      </c>
      <c r="N430" s="15">
        <v>1</v>
      </c>
      <c r="O430" s="15">
        <v>0.214</v>
      </c>
      <c r="P430" s="13">
        <v>0.92900000000000005</v>
      </c>
      <c r="Q430" s="17">
        <v>0.71283073176131895</v>
      </c>
    </row>
    <row r="431" spans="1:17" s="5" customFormat="1" x14ac:dyDescent="0.2">
      <c r="A431" s="5" t="s">
        <v>722</v>
      </c>
      <c r="B431" s="5" t="s">
        <v>52</v>
      </c>
      <c r="C431" s="5" t="s">
        <v>479</v>
      </c>
      <c r="E431" s="5" t="s">
        <v>17</v>
      </c>
      <c r="G431" s="7" t="s">
        <v>18</v>
      </c>
      <c r="H431" s="7"/>
      <c r="J431" s="5">
        <v>12</v>
      </c>
      <c r="N431" s="13">
        <v>0.82899999999999996</v>
      </c>
      <c r="O431" s="13">
        <v>0.34399999999999997</v>
      </c>
      <c r="P431" s="13">
        <v>0.68200000000000005</v>
      </c>
      <c r="Q431" s="17">
        <v>0.80084135945975798</v>
      </c>
    </row>
    <row r="432" spans="1:17" s="5" customFormat="1" x14ac:dyDescent="0.2">
      <c r="A432" s="5" t="s">
        <v>723</v>
      </c>
      <c r="B432" s="5" t="s">
        <v>15</v>
      </c>
      <c r="C432" s="5" t="s">
        <v>606</v>
      </c>
      <c r="E432" s="5" t="s">
        <v>17</v>
      </c>
      <c r="G432" s="5" t="s">
        <v>26</v>
      </c>
      <c r="H432" s="7"/>
      <c r="J432" s="5">
        <v>6</v>
      </c>
      <c r="N432" s="13">
        <v>0.85899999999999999</v>
      </c>
      <c r="O432" s="13">
        <v>8.5999999999999993E-2</v>
      </c>
      <c r="P432" s="13">
        <v>0.223</v>
      </c>
      <c r="Q432" s="17">
        <v>0.86062216317945295</v>
      </c>
    </row>
    <row r="433" spans="1:17" s="5" customFormat="1" x14ac:dyDescent="0.2">
      <c r="A433" s="5" t="s">
        <v>724</v>
      </c>
      <c r="B433" s="5" t="s">
        <v>42</v>
      </c>
      <c r="C433" s="5" t="s">
        <v>725</v>
      </c>
      <c r="E433" s="5" t="s">
        <v>17</v>
      </c>
      <c r="G433" s="7" t="s">
        <v>18</v>
      </c>
      <c r="H433" s="7"/>
      <c r="J433" s="5">
        <v>114</v>
      </c>
      <c r="N433" s="13">
        <v>0.751</v>
      </c>
      <c r="O433" s="13">
        <v>0.17299999999999999</v>
      </c>
      <c r="P433" s="13">
        <v>0.79</v>
      </c>
      <c r="Q433" s="17">
        <v>0.77571128085907204</v>
      </c>
    </row>
    <row r="434" spans="1:17" s="5" customFormat="1" x14ac:dyDescent="0.2">
      <c r="A434" s="5" t="s">
        <v>726</v>
      </c>
      <c r="B434" s="5" t="s">
        <v>30</v>
      </c>
      <c r="C434" s="5" t="s">
        <v>727</v>
      </c>
      <c r="E434" s="5" t="s">
        <v>17</v>
      </c>
      <c r="F434" s="14" t="s">
        <v>25</v>
      </c>
      <c r="G434" s="7" t="s">
        <v>18</v>
      </c>
      <c r="H434" s="7"/>
      <c r="J434" s="5">
        <v>24</v>
      </c>
      <c r="N434" s="13">
        <v>0.54400000000000004</v>
      </c>
      <c r="O434" s="13">
        <v>0.88900000000000001</v>
      </c>
      <c r="P434" s="13">
        <v>0.28599999999999998</v>
      </c>
      <c r="Q434" s="17">
        <v>0.23613417469279299</v>
      </c>
    </row>
    <row r="435" spans="1:17" s="5" customFormat="1" x14ac:dyDescent="0.2">
      <c r="A435" s="5" t="s">
        <v>728</v>
      </c>
      <c r="B435" s="5" t="s">
        <v>68</v>
      </c>
      <c r="C435" s="6" t="s">
        <v>729</v>
      </c>
      <c r="D435" s="6"/>
      <c r="E435" s="5" t="s">
        <v>17</v>
      </c>
      <c r="F435" s="14" t="s">
        <v>25</v>
      </c>
      <c r="G435" s="7" t="s">
        <v>18</v>
      </c>
      <c r="H435" s="7"/>
      <c r="J435" s="5">
        <v>54</v>
      </c>
      <c r="N435" s="15">
        <v>0.92</v>
      </c>
      <c r="O435" s="15">
        <v>0.05</v>
      </c>
      <c r="P435" s="13">
        <v>0.95499999999999996</v>
      </c>
      <c r="Q435" s="17">
        <v>0.941879774161408</v>
      </c>
    </row>
    <row r="436" spans="1:17" s="5" customFormat="1" x14ac:dyDescent="0.2">
      <c r="A436" s="5" t="s">
        <v>730</v>
      </c>
      <c r="B436" s="5" t="s">
        <v>95</v>
      </c>
      <c r="C436" s="5" t="s">
        <v>731</v>
      </c>
      <c r="E436" s="5" t="s">
        <v>17</v>
      </c>
      <c r="G436" s="7" t="s">
        <v>18</v>
      </c>
      <c r="H436" s="7"/>
      <c r="J436" s="5">
        <v>5</v>
      </c>
      <c r="N436" s="13">
        <v>0.307</v>
      </c>
      <c r="O436" s="13">
        <v>0.79300000000000004</v>
      </c>
      <c r="P436" s="13">
        <v>0.435</v>
      </c>
      <c r="Q436" s="17">
        <v>0.29978966013505998</v>
      </c>
    </row>
    <row r="437" spans="1:17" s="5" customFormat="1" x14ac:dyDescent="0.2">
      <c r="A437" s="5" t="s">
        <v>732</v>
      </c>
      <c r="B437" s="5" t="s">
        <v>610</v>
      </c>
      <c r="C437" s="5" t="s">
        <v>611</v>
      </c>
      <c r="E437" s="5" t="s">
        <v>17</v>
      </c>
      <c r="F437" s="14" t="s">
        <v>25</v>
      </c>
      <c r="G437" s="5" t="s">
        <v>26</v>
      </c>
      <c r="H437" s="7"/>
      <c r="J437" s="5">
        <v>66</v>
      </c>
      <c r="N437" s="13">
        <v>0.251</v>
      </c>
      <c r="O437" s="13">
        <v>0.66400000000000003</v>
      </c>
      <c r="P437" s="13">
        <v>0.49299999999999999</v>
      </c>
      <c r="Q437" s="17">
        <v>0.45311635115686899</v>
      </c>
    </row>
    <row r="438" spans="1:17" s="5" customFormat="1" x14ac:dyDescent="0.2">
      <c r="A438" s="5" t="s">
        <v>733</v>
      </c>
      <c r="B438" s="5" t="s">
        <v>225</v>
      </c>
      <c r="C438" s="6" t="s">
        <v>226</v>
      </c>
      <c r="D438" s="6"/>
      <c r="E438" s="5" t="s">
        <v>17</v>
      </c>
      <c r="F438" s="14" t="s">
        <v>25</v>
      </c>
      <c r="G438" s="7" t="s">
        <v>18</v>
      </c>
      <c r="H438" s="7"/>
      <c r="J438" s="5">
        <v>75</v>
      </c>
      <c r="N438" s="15">
        <v>0.44</v>
      </c>
      <c r="O438" s="15">
        <v>0.79900000000000004</v>
      </c>
      <c r="P438" s="13">
        <v>0.308</v>
      </c>
      <c r="Q438" s="17">
        <v>0.38248643861397102</v>
      </c>
    </row>
    <row r="439" spans="1:17" s="5" customFormat="1" x14ac:dyDescent="0.2">
      <c r="A439" s="5" t="s">
        <v>734</v>
      </c>
      <c r="B439" s="5" t="s">
        <v>30</v>
      </c>
      <c r="C439" s="5" t="s">
        <v>221</v>
      </c>
      <c r="E439" s="5" t="s">
        <v>17</v>
      </c>
      <c r="F439" s="14" t="s">
        <v>25</v>
      </c>
      <c r="G439" s="5" t="s">
        <v>18</v>
      </c>
      <c r="H439" s="7"/>
      <c r="J439" s="5">
        <v>149</v>
      </c>
      <c r="N439" s="13">
        <v>0.54200000000000004</v>
      </c>
      <c r="O439" s="13">
        <v>0.52600000000000002</v>
      </c>
      <c r="P439" s="13">
        <v>0.97099999999999997</v>
      </c>
      <c r="Q439" s="17">
        <v>0.57777039743163905</v>
      </c>
    </row>
    <row r="440" spans="1:17" s="5" customFormat="1" x14ac:dyDescent="0.2">
      <c r="A440" s="5" t="s">
        <v>735</v>
      </c>
      <c r="B440" s="5" t="s">
        <v>95</v>
      </c>
      <c r="C440" s="6" t="s">
        <v>549</v>
      </c>
      <c r="D440" s="6"/>
      <c r="E440" s="5" t="s">
        <v>17</v>
      </c>
      <c r="F440" s="14" t="s">
        <v>25</v>
      </c>
      <c r="G440" s="7" t="s">
        <v>18</v>
      </c>
      <c r="H440" s="7"/>
      <c r="J440" s="14"/>
      <c r="K440" s="5">
        <v>19</v>
      </c>
      <c r="N440" s="15">
        <v>0.38</v>
      </c>
      <c r="O440" s="15">
        <v>0.25700000000000001</v>
      </c>
      <c r="P440" s="13">
        <v>0.68899999999999995</v>
      </c>
      <c r="Q440" s="17">
        <v>0.69235027122771997</v>
      </c>
    </row>
    <row r="441" spans="1:17" s="5" customFormat="1" x14ac:dyDescent="0.2">
      <c r="A441" s="5" t="s">
        <v>736</v>
      </c>
      <c r="B441" s="5" t="s">
        <v>15</v>
      </c>
      <c r="C441" s="5" t="s">
        <v>134</v>
      </c>
      <c r="E441" s="5" t="s">
        <v>17</v>
      </c>
      <c r="F441" s="5" t="s">
        <v>25</v>
      </c>
      <c r="G441" s="5" t="s">
        <v>26</v>
      </c>
      <c r="H441" s="7" t="s">
        <v>105</v>
      </c>
      <c r="J441" s="5">
        <v>99</v>
      </c>
      <c r="N441" s="13">
        <v>0.40300000000000002</v>
      </c>
      <c r="O441" s="13">
        <v>0.17899999999999999</v>
      </c>
      <c r="P441" s="13">
        <v>0.19600000000000001</v>
      </c>
      <c r="Q441" s="17">
        <v>0.77261153548101402</v>
      </c>
    </row>
    <row r="442" spans="1:17" s="5" customFormat="1" x14ac:dyDescent="0.2">
      <c r="A442" s="5" t="s">
        <v>737</v>
      </c>
      <c r="B442" s="5" t="s">
        <v>400</v>
      </c>
      <c r="C442" s="5" t="s">
        <v>738</v>
      </c>
      <c r="E442" s="5" t="s">
        <v>17</v>
      </c>
      <c r="G442" s="7" t="s">
        <v>18</v>
      </c>
      <c r="H442" s="7"/>
      <c r="J442" s="5">
        <v>100</v>
      </c>
      <c r="N442" s="13">
        <v>0.54</v>
      </c>
      <c r="O442" s="13">
        <v>0.36299999999999999</v>
      </c>
      <c r="P442" s="13">
        <v>0.124</v>
      </c>
      <c r="Q442" s="17">
        <v>0.246540462747702</v>
      </c>
    </row>
    <row r="443" spans="1:17" s="5" customFormat="1" x14ac:dyDescent="0.2">
      <c r="A443" s="5" t="s">
        <v>739</v>
      </c>
      <c r="B443" s="5" t="s">
        <v>183</v>
      </c>
      <c r="C443" s="5" t="s">
        <v>202</v>
      </c>
      <c r="E443" s="5" t="s">
        <v>17</v>
      </c>
      <c r="G443" s="7" t="s">
        <v>18</v>
      </c>
      <c r="H443" s="7"/>
      <c r="J443" s="5">
        <v>4</v>
      </c>
      <c r="N443" s="13">
        <v>0.754</v>
      </c>
      <c r="O443" s="13">
        <v>7.2999999999999995E-2</v>
      </c>
      <c r="P443" s="13">
        <v>0.90900000000000003</v>
      </c>
      <c r="Q443" s="17">
        <v>0.91708181113694198</v>
      </c>
    </row>
    <row r="444" spans="1:17" s="5" customFormat="1" x14ac:dyDescent="0.2">
      <c r="A444" s="5" t="s">
        <v>740</v>
      </c>
      <c r="B444" s="5" t="s">
        <v>15</v>
      </c>
      <c r="C444" s="6" t="s">
        <v>134</v>
      </c>
      <c r="D444" s="6"/>
      <c r="E444" s="5" t="s">
        <v>17</v>
      </c>
      <c r="F444" s="14" t="s">
        <v>25</v>
      </c>
      <c r="G444" s="7" t="s">
        <v>18</v>
      </c>
      <c r="H444" s="7"/>
      <c r="J444" s="5">
        <v>59</v>
      </c>
      <c r="N444" s="15">
        <v>0.4</v>
      </c>
      <c r="O444" s="15">
        <v>0.17899999999999999</v>
      </c>
      <c r="P444" s="13">
        <v>0.19600000000000001</v>
      </c>
      <c r="Q444" s="17">
        <v>0.77261153548101402</v>
      </c>
    </row>
    <row r="445" spans="1:17" s="5" customFormat="1" x14ac:dyDescent="0.2">
      <c r="A445" s="5" t="s">
        <v>741</v>
      </c>
      <c r="B445" s="5" t="s">
        <v>15</v>
      </c>
      <c r="C445" s="5" t="s">
        <v>100</v>
      </c>
      <c r="E445" s="5" t="s">
        <v>17</v>
      </c>
      <c r="G445" s="5" t="s">
        <v>26</v>
      </c>
      <c r="H445" s="7"/>
      <c r="J445" s="5">
        <v>21</v>
      </c>
      <c r="N445" s="13">
        <v>0.53</v>
      </c>
      <c r="O445" s="13">
        <v>0.19900000000000001</v>
      </c>
      <c r="P445" s="13">
        <v>0.89</v>
      </c>
      <c r="Q445" s="17">
        <v>0.92073508247536795</v>
      </c>
    </row>
    <row r="446" spans="1:17" s="5" customFormat="1" x14ac:dyDescent="0.2">
      <c r="A446" s="5" t="s">
        <v>742</v>
      </c>
      <c r="B446" s="5" t="s">
        <v>225</v>
      </c>
      <c r="C446" s="6" t="s">
        <v>716</v>
      </c>
      <c r="D446" s="6"/>
      <c r="E446" s="5" t="s">
        <v>17</v>
      </c>
      <c r="F446" s="14" t="s">
        <v>25</v>
      </c>
      <c r="G446" s="7" t="s">
        <v>18</v>
      </c>
      <c r="H446" s="7"/>
      <c r="J446" s="5">
        <v>124</v>
      </c>
      <c r="N446" s="15">
        <v>0.39</v>
      </c>
      <c r="O446" s="15">
        <v>0.80500000000000005</v>
      </c>
      <c r="P446" s="13">
        <v>0.372</v>
      </c>
      <c r="Q446" s="17">
        <v>0.13982065758883999</v>
      </c>
    </row>
    <row r="447" spans="1:17" s="5" customFormat="1" x14ac:dyDescent="0.2">
      <c r="A447" s="5" t="s">
        <v>743</v>
      </c>
      <c r="B447" s="5" t="s">
        <v>64</v>
      </c>
      <c r="C447" s="6" t="s">
        <v>744</v>
      </c>
      <c r="D447" s="6"/>
      <c r="E447" s="5" t="s">
        <v>17</v>
      </c>
      <c r="F447" s="14" t="s">
        <v>25</v>
      </c>
      <c r="G447" s="5" t="s">
        <v>26</v>
      </c>
      <c r="H447" s="7"/>
      <c r="J447" s="5">
        <v>105</v>
      </c>
      <c r="N447" s="15">
        <v>0.56000000000000005</v>
      </c>
      <c r="O447" s="15">
        <v>0.58799999999999997</v>
      </c>
      <c r="P447" s="13">
        <v>0.33600000000000002</v>
      </c>
      <c r="Q447" s="17">
        <v>0.65327133842577201</v>
      </c>
    </row>
    <row r="448" spans="1:17" s="5" customFormat="1" x14ac:dyDescent="0.2">
      <c r="A448" s="5" t="s">
        <v>745</v>
      </c>
      <c r="B448" s="5" t="s">
        <v>15</v>
      </c>
      <c r="C448" s="5" t="s">
        <v>333</v>
      </c>
      <c r="E448" s="5" t="s">
        <v>17</v>
      </c>
      <c r="G448" s="7" t="s">
        <v>18</v>
      </c>
      <c r="H448" s="7"/>
      <c r="J448" s="5">
        <v>91</v>
      </c>
      <c r="N448" s="13">
        <v>0.79200000000000004</v>
      </c>
      <c r="O448" s="13">
        <v>6.8000000000000005E-2</v>
      </c>
      <c r="P448" s="13">
        <v>0.75600000000000001</v>
      </c>
      <c r="Q448" s="17">
        <v>0.80681943983172799</v>
      </c>
    </row>
    <row r="449" spans="1:17" s="5" customFormat="1" x14ac:dyDescent="0.2">
      <c r="A449" s="5" t="s">
        <v>746</v>
      </c>
      <c r="B449" s="5" t="s">
        <v>90</v>
      </c>
      <c r="C449" s="6" t="s">
        <v>747</v>
      </c>
      <c r="D449" s="6"/>
      <c r="E449" s="5" t="s">
        <v>17</v>
      </c>
      <c r="F449" s="14" t="s">
        <v>25</v>
      </c>
      <c r="G449" s="5" t="s">
        <v>26</v>
      </c>
      <c r="H449" s="7"/>
      <c r="J449" s="5">
        <v>120</v>
      </c>
      <c r="N449" s="15">
        <v>0.94</v>
      </c>
      <c r="O449" s="15">
        <v>0.40600000000000003</v>
      </c>
      <c r="P449" s="13">
        <v>9.1999999999999998E-2</v>
      </c>
      <c r="Q449" s="17">
        <v>0.23856968891840999</v>
      </c>
    </row>
    <row r="450" spans="1:17" s="5" customFormat="1" x14ac:dyDescent="0.2">
      <c r="A450" s="5" t="s">
        <v>748</v>
      </c>
      <c r="B450" s="5" t="s">
        <v>148</v>
      </c>
      <c r="C450" s="5" t="s">
        <v>749</v>
      </c>
      <c r="E450" s="5" t="s">
        <v>17</v>
      </c>
      <c r="G450" s="5" t="s">
        <v>26</v>
      </c>
      <c r="H450" s="7"/>
      <c r="J450" s="5">
        <v>70</v>
      </c>
      <c r="N450" s="13">
        <v>0.51800000000000002</v>
      </c>
      <c r="O450" s="13">
        <v>0.86</v>
      </c>
      <c r="P450" s="13">
        <v>0.159</v>
      </c>
      <c r="Q450" s="17">
        <v>0.215985829735414</v>
      </c>
    </row>
    <row r="451" spans="1:17" s="5" customFormat="1" x14ac:dyDescent="0.2">
      <c r="A451" s="5" t="s">
        <v>750</v>
      </c>
      <c r="B451" s="5" t="s">
        <v>42</v>
      </c>
      <c r="C451" s="6" t="s">
        <v>751</v>
      </c>
      <c r="D451" s="6"/>
      <c r="E451" s="5" t="s">
        <v>17</v>
      </c>
      <c r="F451" s="14" t="s">
        <v>25</v>
      </c>
      <c r="G451" s="7" t="s">
        <v>18</v>
      </c>
      <c r="H451" s="7"/>
      <c r="J451" s="5">
        <v>40</v>
      </c>
      <c r="N451" s="15">
        <v>0.55000000000000004</v>
      </c>
      <c r="O451" s="15">
        <v>0.66900000000000004</v>
      </c>
      <c r="P451" s="13">
        <v>0.53200000000000003</v>
      </c>
      <c r="Q451" s="17">
        <v>0.76209454223402995</v>
      </c>
    </row>
    <row r="452" spans="1:17" s="5" customFormat="1" x14ac:dyDescent="0.2">
      <c r="A452" s="5" t="s">
        <v>752</v>
      </c>
      <c r="B452" s="5" t="s">
        <v>58</v>
      </c>
      <c r="C452" s="6" t="s">
        <v>151</v>
      </c>
      <c r="D452" s="6"/>
      <c r="E452" s="5" t="s">
        <v>17</v>
      </c>
      <c r="F452" s="14" t="s">
        <v>25</v>
      </c>
      <c r="G452" s="7" t="s">
        <v>18</v>
      </c>
      <c r="H452" s="7"/>
      <c r="J452" s="5">
        <v>185</v>
      </c>
      <c r="N452" s="15">
        <v>0.56999999999999995</v>
      </c>
      <c r="O452" s="15">
        <v>0.2</v>
      </c>
      <c r="P452" s="13">
        <v>0.4</v>
      </c>
      <c r="Q452" s="17">
        <v>0.90966456326801703</v>
      </c>
    </row>
    <row r="453" spans="1:17" s="5" customFormat="1" x14ac:dyDescent="0.2">
      <c r="A453" s="5" t="s">
        <v>753</v>
      </c>
      <c r="B453" s="5" t="s">
        <v>20</v>
      </c>
      <c r="C453" s="5" t="s">
        <v>78</v>
      </c>
      <c r="E453" s="5" t="s">
        <v>17</v>
      </c>
      <c r="G453" s="7" t="s">
        <v>18</v>
      </c>
      <c r="H453" s="7"/>
      <c r="J453" s="5">
        <v>5</v>
      </c>
      <c r="N453" s="13">
        <v>0.495</v>
      </c>
      <c r="O453" s="13">
        <v>3.2000000000000001E-2</v>
      </c>
      <c r="P453" s="13">
        <v>0.88900000000000001</v>
      </c>
      <c r="Q453" s="17">
        <v>0.69157533488320599</v>
      </c>
    </row>
    <row r="454" spans="1:17" s="5" customFormat="1" x14ac:dyDescent="0.2">
      <c r="A454" s="5" t="s">
        <v>754</v>
      </c>
      <c r="B454" s="5" t="s">
        <v>95</v>
      </c>
      <c r="C454" s="5" t="s">
        <v>755</v>
      </c>
      <c r="E454" s="5" t="s">
        <v>17</v>
      </c>
      <c r="G454" s="7" t="s">
        <v>18</v>
      </c>
      <c r="H454" s="7"/>
      <c r="J454" s="5">
        <v>7</v>
      </c>
      <c r="N454" s="13">
        <v>0.318</v>
      </c>
      <c r="O454" s="13">
        <v>0.60399999999999998</v>
      </c>
      <c r="P454" s="13">
        <v>0.68899999999999995</v>
      </c>
      <c r="Q454" s="17">
        <v>0.53913428539798502</v>
      </c>
    </row>
    <row r="455" spans="1:17" s="5" customFormat="1" x14ac:dyDescent="0.2">
      <c r="A455" s="5" t="s">
        <v>756</v>
      </c>
      <c r="B455" s="5" t="s">
        <v>95</v>
      </c>
      <c r="C455" s="6" t="s">
        <v>755</v>
      </c>
      <c r="D455" s="6"/>
      <c r="E455" s="5" t="s">
        <v>17</v>
      </c>
      <c r="F455" s="14" t="s">
        <v>25</v>
      </c>
      <c r="G455" s="5" t="s">
        <v>18</v>
      </c>
      <c r="H455" s="7"/>
      <c r="J455" s="5">
        <v>22</v>
      </c>
      <c r="N455" s="15">
        <v>0.32</v>
      </c>
      <c r="O455" s="15">
        <v>0.60399999999999998</v>
      </c>
      <c r="P455" s="13">
        <v>0.68899999999999995</v>
      </c>
      <c r="Q455" s="17">
        <v>0.53913428539798502</v>
      </c>
    </row>
    <row r="456" spans="1:17" s="5" customFormat="1" x14ac:dyDescent="0.2">
      <c r="A456" s="5" t="s">
        <v>757</v>
      </c>
      <c r="B456" s="5" t="s">
        <v>64</v>
      </c>
      <c r="C456" s="5" t="s">
        <v>65</v>
      </c>
      <c r="E456" s="5" t="s">
        <v>17</v>
      </c>
      <c r="F456" s="14" t="s">
        <v>25</v>
      </c>
      <c r="G456" s="7" t="s">
        <v>18</v>
      </c>
      <c r="H456" s="7"/>
      <c r="J456" s="5">
        <v>47</v>
      </c>
      <c r="N456" s="13">
        <v>0.86499999999999999</v>
      </c>
      <c r="O456" s="13">
        <v>0.32800000000000001</v>
      </c>
      <c r="P456" s="13">
        <v>0.88300000000000001</v>
      </c>
      <c r="Q456" s="17">
        <v>0.618731318498837</v>
      </c>
    </row>
    <row r="457" spans="1:17" s="5" customFormat="1" x14ac:dyDescent="0.2">
      <c r="A457" s="5" t="s">
        <v>758</v>
      </c>
      <c r="B457" s="5" t="s">
        <v>42</v>
      </c>
      <c r="C457" s="6" t="s">
        <v>558</v>
      </c>
      <c r="D457" s="6"/>
      <c r="E457" s="5" t="s">
        <v>17</v>
      </c>
      <c r="F457" s="14" t="s">
        <v>25</v>
      </c>
      <c r="G457" s="7" t="s">
        <v>18</v>
      </c>
      <c r="H457" s="7"/>
      <c r="J457" s="5">
        <v>500</v>
      </c>
      <c r="N457" s="15">
        <v>0.19</v>
      </c>
      <c r="O457" s="15">
        <v>5.2999999999999999E-2</v>
      </c>
      <c r="P457" s="13">
        <v>0.77900000000000003</v>
      </c>
      <c r="Q457" s="17">
        <v>0.94420458319495104</v>
      </c>
    </row>
    <row r="458" spans="1:17" s="5" customFormat="1" x14ac:dyDescent="0.2">
      <c r="A458" s="5" t="s">
        <v>759</v>
      </c>
      <c r="B458" s="5" t="s">
        <v>23</v>
      </c>
      <c r="C458" s="6" t="s">
        <v>391</v>
      </c>
      <c r="D458" s="6"/>
      <c r="E458" s="5" t="s">
        <v>17</v>
      </c>
      <c r="F458" s="14" t="s">
        <v>25</v>
      </c>
      <c r="G458" s="7" t="s">
        <v>18</v>
      </c>
      <c r="H458" s="7"/>
      <c r="J458" s="5">
        <v>46</v>
      </c>
      <c r="N458" s="15">
        <v>0.13</v>
      </c>
      <c r="O458" s="15">
        <v>0.22500000000000001</v>
      </c>
      <c r="P458" s="13">
        <v>0.80300000000000005</v>
      </c>
      <c r="Q458" s="17">
        <v>0.71781246540462695</v>
      </c>
    </row>
    <row r="459" spans="1:17" s="5" customFormat="1" x14ac:dyDescent="0.2">
      <c r="A459" s="5" t="s">
        <v>760</v>
      </c>
      <c r="B459" s="5" t="s">
        <v>15</v>
      </c>
      <c r="C459" s="5" t="s">
        <v>28</v>
      </c>
      <c r="E459" s="5" t="s">
        <v>17</v>
      </c>
      <c r="G459" s="7" t="s">
        <v>18</v>
      </c>
      <c r="H459" s="7"/>
      <c r="J459" s="5">
        <v>64</v>
      </c>
      <c r="N459" s="13">
        <v>0.76200000000000001</v>
      </c>
      <c r="O459" s="13">
        <v>0.01</v>
      </c>
      <c r="P459" s="13">
        <v>0.95799999999999996</v>
      </c>
      <c r="Q459" s="17">
        <v>0.82896047824642904</v>
      </c>
    </row>
    <row r="460" spans="1:17" s="5" customFormat="1" x14ac:dyDescent="0.2">
      <c r="A460" s="5" t="s">
        <v>761</v>
      </c>
      <c r="B460" s="5" t="s">
        <v>136</v>
      </c>
      <c r="C460" s="6" t="s">
        <v>411</v>
      </c>
      <c r="D460" s="6"/>
      <c r="E460" s="5" t="s">
        <v>17</v>
      </c>
      <c r="F460" s="14" t="s">
        <v>25</v>
      </c>
      <c r="G460" s="7" t="s">
        <v>18</v>
      </c>
      <c r="H460" s="7"/>
      <c r="J460" s="5">
        <v>149</v>
      </c>
      <c r="N460" s="15">
        <v>0.43</v>
      </c>
      <c r="O460" s="15">
        <v>0.38200000000000001</v>
      </c>
      <c r="P460" s="13">
        <v>0.32900000000000001</v>
      </c>
      <c r="Q460" s="17">
        <v>0.62581645079154202</v>
      </c>
    </row>
    <row r="461" spans="1:17" s="5" customFormat="1" x14ac:dyDescent="0.2">
      <c r="A461" s="5" t="s">
        <v>762</v>
      </c>
      <c r="B461" s="5" t="s">
        <v>183</v>
      </c>
      <c r="C461" s="5" t="s">
        <v>202</v>
      </c>
      <c r="E461" s="5" t="s">
        <v>17</v>
      </c>
      <c r="F461" s="5" t="s">
        <v>25</v>
      </c>
      <c r="G461" s="5" t="s">
        <v>39</v>
      </c>
      <c r="H461" s="7" t="s">
        <v>18</v>
      </c>
      <c r="J461" s="14" t="s">
        <v>763</v>
      </c>
      <c r="N461" s="13">
        <v>0.754</v>
      </c>
      <c r="O461" s="13">
        <v>7.2999999999999995E-2</v>
      </c>
      <c r="P461" s="13">
        <v>0.90900000000000003</v>
      </c>
      <c r="Q461" s="17">
        <v>0.91708181113694198</v>
      </c>
    </row>
    <row r="462" spans="1:17" s="5" customFormat="1" x14ac:dyDescent="0.2">
      <c r="A462" s="5" t="s">
        <v>764</v>
      </c>
      <c r="B462" s="5" t="s">
        <v>183</v>
      </c>
      <c r="C462" s="6" t="s">
        <v>278</v>
      </c>
      <c r="D462" s="6"/>
      <c r="E462" s="5" t="s">
        <v>17</v>
      </c>
      <c r="F462" s="14" t="s">
        <v>25</v>
      </c>
      <c r="G462" s="5" t="s">
        <v>26</v>
      </c>
      <c r="H462" s="7"/>
      <c r="J462" s="5">
        <v>91</v>
      </c>
      <c r="N462" s="15">
        <v>0.77</v>
      </c>
      <c r="O462" s="15">
        <v>0</v>
      </c>
      <c r="P462" s="13">
        <v>0.97799999999999998</v>
      </c>
      <c r="Q462" s="17">
        <v>0.92372412266135195</v>
      </c>
    </row>
    <row r="463" spans="1:17" s="5" customFormat="1" x14ac:dyDescent="0.2">
      <c r="A463" s="5" t="s">
        <v>765</v>
      </c>
      <c r="B463" s="5" t="s">
        <v>15</v>
      </c>
      <c r="C463" s="23" t="s">
        <v>766</v>
      </c>
      <c r="D463" s="23"/>
      <c r="E463" s="5" t="s">
        <v>17</v>
      </c>
      <c r="F463" s="14" t="s">
        <v>25</v>
      </c>
      <c r="G463" s="7" t="s">
        <v>18</v>
      </c>
      <c r="H463" s="7"/>
      <c r="J463" s="5">
        <v>11</v>
      </c>
      <c r="N463" s="15">
        <v>0.27</v>
      </c>
      <c r="O463" s="15">
        <v>0.34699999999999998</v>
      </c>
      <c r="P463" s="13">
        <v>0.84399999999999997</v>
      </c>
      <c r="Q463" s="17">
        <v>0.967452673530388</v>
      </c>
    </row>
    <row r="464" spans="1:17" s="5" customFormat="1" x14ac:dyDescent="0.2">
      <c r="A464" s="5" t="s">
        <v>767</v>
      </c>
      <c r="B464" s="5" t="s">
        <v>64</v>
      </c>
      <c r="C464" s="5" t="s">
        <v>449</v>
      </c>
      <c r="E464" s="5" t="s">
        <v>17</v>
      </c>
      <c r="G464" s="5" t="s">
        <v>26</v>
      </c>
      <c r="H464" s="7"/>
      <c r="J464" s="5">
        <v>28</v>
      </c>
      <c r="N464" s="13">
        <v>0.47899999999999998</v>
      </c>
      <c r="O464" s="13">
        <v>0.29499999999999998</v>
      </c>
      <c r="P464" s="13">
        <v>0.50900000000000001</v>
      </c>
      <c r="Q464" s="17">
        <v>0.65227499169711001</v>
      </c>
    </row>
    <row r="465" spans="1:17" s="5" customFormat="1" x14ac:dyDescent="0.2">
      <c r="A465" s="5" t="s">
        <v>768</v>
      </c>
      <c r="B465" s="5" t="s">
        <v>42</v>
      </c>
      <c r="C465" s="6" t="s">
        <v>769</v>
      </c>
      <c r="D465" s="6"/>
      <c r="E465" s="5" t="s">
        <v>17</v>
      </c>
      <c r="F465" s="14" t="s">
        <v>25</v>
      </c>
      <c r="G465" s="7" t="s">
        <v>18</v>
      </c>
      <c r="H465" s="7"/>
      <c r="J465" s="5">
        <v>143</v>
      </c>
      <c r="N465" s="15">
        <v>0.6</v>
      </c>
      <c r="O465" s="15">
        <v>0.17499999999999999</v>
      </c>
      <c r="P465" s="13">
        <v>0.56100000000000005</v>
      </c>
      <c r="Q465" s="17">
        <v>0.722129967895494</v>
      </c>
    </row>
    <row r="466" spans="1:17" s="5" customFormat="1" x14ac:dyDescent="0.2">
      <c r="A466" s="5" t="s">
        <v>770</v>
      </c>
      <c r="B466" s="5" t="s">
        <v>95</v>
      </c>
      <c r="C466" s="5" t="s">
        <v>158</v>
      </c>
      <c r="E466" s="5" t="s">
        <v>17</v>
      </c>
      <c r="G466" s="7" t="s">
        <v>18</v>
      </c>
      <c r="H466" s="7"/>
      <c r="J466" s="5">
        <v>20</v>
      </c>
      <c r="N466" s="13">
        <v>0.92600000000000005</v>
      </c>
      <c r="O466" s="13">
        <v>0.502</v>
      </c>
      <c r="P466" s="13">
        <v>0.48899999999999999</v>
      </c>
      <c r="Q466" s="17">
        <v>0.59028008413594601</v>
      </c>
    </row>
    <row r="467" spans="1:17" x14ac:dyDescent="0.2">
      <c r="A467" t="s">
        <v>771</v>
      </c>
      <c r="B467" s="5" t="s">
        <v>95</v>
      </c>
      <c r="C467" s="5" t="s">
        <v>158</v>
      </c>
      <c r="D467" s="5"/>
      <c r="E467" s="5" t="s">
        <v>17</v>
      </c>
      <c r="G467" s="7" t="s">
        <v>18</v>
      </c>
      <c r="J467" s="5">
        <v>10</v>
      </c>
      <c r="N467" s="13">
        <v>0.92600000000000005</v>
      </c>
      <c r="O467" s="13">
        <v>0.502</v>
      </c>
      <c r="P467" s="13">
        <v>0.48899999999999999</v>
      </c>
      <c r="Q467" s="17">
        <v>0.59028008413594601</v>
      </c>
    </row>
    <row r="468" spans="1:17" x14ac:dyDescent="0.2">
      <c r="A468" t="s">
        <v>772</v>
      </c>
      <c r="B468" s="5" t="s">
        <v>95</v>
      </c>
      <c r="C468" s="5" t="s">
        <v>158</v>
      </c>
      <c r="D468" s="5"/>
      <c r="E468" s="5" t="s">
        <v>17</v>
      </c>
      <c r="G468" s="7" t="s">
        <v>18</v>
      </c>
      <c r="J468" s="5">
        <v>10</v>
      </c>
      <c r="N468" s="13">
        <v>0.92600000000000005</v>
      </c>
      <c r="O468" s="13">
        <v>0.502</v>
      </c>
      <c r="P468" s="13">
        <v>0.48899999999999999</v>
      </c>
      <c r="Q468" s="17">
        <v>0.59028008413594601</v>
      </c>
    </row>
    <row r="469" spans="1:17" x14ac:dyDescent="0.2">
      <c r="A469" t="s">
        <v>773</v>
      </c>
      <c r="B469" s="5" t="s">
        <v>30</v>
      </c>
      <c r="C469" s="14">
        <v>52433</v>
      </c>
      <c r="D469" s="5" t="s">
        <v>774</v>
      </c>
      <c r="E469" s="5" t="s">
        <v>17</v>
      </c>
      <c r="F469" s="14" t="s">
        <v>25</v>
      </c>
      <c r="G469" s="7" t="s">
        <v>18</v>
      </c>
      <c r="J469" s="5">
        <v>174</v>
      </c>
      <c r="K469" s="5">
        <v>96</v>
      </c>
      <c r="N469" s="17"/>
      <c r="O469" s="17">
        <v>0.628</v>
      </c>
      <c r="P469" s="17">
        <v>0.496</v>
      </c>
      <c r="Q469" s="17">
        <v>0.42189748699213903</v>
      </c>
    </row>
    <row r="470" spans="1:17" x14ac:dyDescent="0.2">
      <c r="A470" t="s">
        <v>775</v>
      </c>
      <c r="B470" s="5" t="s">
        <v>183</v>
      </c>
      <c r="C470" s="6" t="s">
        <v>599</v>
      </c>
      <c r="E470" s="5" t="s">
        <v>17</v>
      </c>
      <c r="F470" s="14" t="s">
        <v>25</v>
      </c>
      <c r="G470" t="s">
        <v>26</v>
      </c>
      <c r="H470" s="7" t="s">
        <v>18</v>
      </c>
      <c r="J470" s="5">
        <v>85</v>
      </c>
      <c r="N470" s="15">
        <v>0.53</v>
      </c>
      <c r="O470" s="15">
        <v>0</v>
      </c>
      <c r="P470" s="13">
        <v>0.91100000000000003</v>
      </c>
      <c r="Q470" s="17">
        <v>0.75799845012731104</v>
      </c>
    </row>
    <row r="471" spans="1:17" x14ac:dyDescent="0.2">
      <c r="A471" t="s">
        <v>776</v>
      </c>
      <c r="B471" s="5" t="s">
        <v>30</v>
      </c>
      <c r="C471" s="5" t="s">
        <v>727</v>
      </c>
      <c r="D471" s="5"/>
      <c r="E471" s="5" t="s">
        <v>17</v>
      </c>
      <c r="F471" s="14" t="s">
        <v>25</v>
      </c>
      <c r="G471" s="7" t="s">
        <v>18</v>
      </c>
      <c r="J471" s="5">
        <v>16</v>
      </c>
      <c r="N471" s="13">
        <v>0.54400000000000004</v>
      </c>
      <c r="O471" s="13">
        <v>0.88900000000000001</v>
      </c>
      <c r="P471" s="13">
        <v>0.28599999999999998</v>
      </c>
      <c r="Q471" s="17">
        <v>0.23613417469279299</v>
      </c>
    </row>
    <row r="472" spans="1:17" x14ac:dyDescent="0.2">
      <c r="A472" t="s">
        <v>777</v>
      </c>
      <c r="B472" s="5" t="s">
        <v>30</v>
      </c>
      <c r="C472" s="5" t="s">
        <v>727</v>
      </c>
      <c r="D472" s="5"/>
      <c r="E472" s="5" t="s">
        <v>17</v>
      </c>
      <c r="F472" s="14" t="s">
        <v>25</v>
      </c>
      <c r="G472" s="7" t="s">
        <v>18</v>
      </c>
      <c r="J472" s="5">
        <v>60</v>
      </c>
      <c r="N472" s="13">
        <v>0.54400000000000004</v>
      </c>
      <c r="O472" s="13">
        <v>0.88900000000000001</v>
      </c>
      <c r="P472" s="13">
        <v>0.28599999999999998</v>
      </c>
      <c r="Q472" s="17">
        <v>0.23613417469279299</v>
      </c>
    </row>
    <row r="473" spans="1:17" x14ac:dyDescent="0.2">
      <c r="A473" t="s">
        <v>778</v>
      </c>
      <c r="B473" s="5" t="s">
        <v>242</v>
      </c>
      <c r="C473" s="5" t="s">
        <v>243</v>
      </c>
      <c r="D473" s="5"/>
      <c r="E473" s="5" t="s">
        <v>17</v>
      </c>
      <c r="G473" s="7" t="s">
        <v>18</v>
      </c>
      <c r="J473" s="5">
        <v>46</v>
      </c>
      <c r="N473" s="13">
        <v>0.78300000000000003</v>
      </c>
      <c r="O473" s="13">
        <v>0.80700000000000005</v>
      </c>
      <c r="P473" s="13">
        <v>9.5000000000000001E-2</v>
      </c>
      <c r="Q473" s="17">
        <v>7.6607992914867695E-2</v>
      </c>
    </row>
    <row r="474" spans="1:17" x14ac:dyDescent="0.2">
      <c r="A474" t="s">
        <v>779</v>
      </c>
      <c r="B474" s="5" t="s">
        <v>30</v>
      </c>
      <c r="C474" s="5" t="s">
        <v>126</v>
      </c>
      <c r="D474" s="5"/>
      <c r="E474" s="5" t="s">
        <v>17</v>
      </c>
      <c r="G474" s="7" t="s">
        <v>18</v>
      </c>
      <c r="J474" s="5">
        <v>45</v>
      </c>
      <c r="N474" s="13">
        <v>0.64100000000000001</v>
      </c>
      <c r="O474" s="13">
        <v>0.52800000000000002</v>
      </c>
      <c r="P474" s="13">
        <v>0.34799999999999998</v>
      </c>
      <c r="Q474" s="17">
        <v>0.348278534263256</v>
      </c>
    </row>
    <row r="475" spans="1:17" x14ac:dyDescent="0.2">
      <c r="A475" t="s">
        <v>780</v>
      </c>
      <c r="B475" s="5" t="s">
        <v>30</v>
      </c>
      <c r="C475" s="6" t="s">
        <v>781</v>
      </c>
      <c r="E475" s="5" t="s">
        <v>17</v>
      </c>
      <c r="F475" s="14" t="s">
        <v>25</v>
      </c>
      <c r="G475" s="7" t="s">
        <v>18</v>
      </c>
      <c r="J475" s="5">
        <v>164</v>
      </c>
      <c r="N475" s="15">
        <v>0.22</v>
      </c>
      <c r="O475" s="15">
        <v>0.81499999999999995</v>
      </c>
      <c r="P475" s="13">
        <v>0.27100000000000002</v>
      </c>
      <c r="Q475" s="17">
        <v>0.14447027565592799</v>
      </c>
    </row>
    <row r="476" spans="1:17" x14ac:dyDescent="0.2">
      <c r="A476" t="s">
        <v>782</v>
      </c>
      <c r="B476" s="5" t="s">
        <v>30</v>
      </c>
      <c r="C476" s="6" t="s">
        <v>491</v>
      </c>
      <c r="E476" s="5" t="s">
        <v>17</v>
      </c>
      <c r="F476" s="14" t="s">
        <v>25</v>
      </c>
      <c r="G476" s="7" t="s">
        <v>18</v>
      </c>
      <c r="J476" s="14">
        <v>264</v>
      </c>
      <c r="K476" s="14">
        <v>120</v>
      </c>
      <c r="N476" s="15">
        <v>0.41</v>
      </c>
      <c r="O476" s="15">
        <v>0.59899999999999998</v>
      </c>
      <c r="P476" s="13">
        <v>0.65</v>
      </c>
      <c r="Q476" s="17">
        <v>0.47802501937340802</v>
      </c>
    </row>
    <row r="477" spans="1:17" x14ac:dyDescent="0.2">
      <c r="A477" t="s">
        <v>783</v>
      </c>
      <c r="B477" s="5" t="s">
        <v>30</v>
      </c>
      <c r="C477" s="6" t="s">
        <v>784</v>
      </c>
      <c r="E477" s="5" t="s">
        <v>17</v>
      </c>
      <c r="F477" s="14" t="s">
        <v>25</v>
      </c>
      <c r="G477" s="7" t="s">
        <v>18</v>
      </c>
      <c r="J477" s="14">
        <v>138</v>
      </c>
      <c r="K477" s="14">
        <v>60</v>
      </c>
      <c r="N477" s="15">
        <v>0.41</v>
      </c>
      <c r="O477" s="15">
        <v>0.70599999999999996</v>
      </c>
      <c r="P477" s="13">
        <v>0.30099999999999999</v>
      </c>
      <c r="Q477" s="17">
        <v>0.150780471604118</v>
      </c>
    </row>
    <row r="478" spans="1:17" x14ac:dyDescent="0.2">
      <c r="A478" t="s">
        <v>785</v>
      </c>
      <c r="B478" s="5" t="s">
        <v>30</v>
      </c>
      <c r="C478" s="5" t="s">
        <v>491</v>
      </c>
      <c r="D478" s="5"/>
      <c r="E478" s="5" t="s">
        <v>17</v>
      </c>
      <c r="F478" s="14" t="s">
        <v>25</v>
      </c>
      <c r="G478" s="7" t="s">
        <v>18</v>
      </c>
      <c r="J478" s="5">
        <v>8</v>
      </c>
      <c r="N478" s="13">
        <v>0.41099999999999998</v>
      </c>
      <c r="O478" s="13">
        <v>0.59899999999999998</v>
      </c>
      <c r="P478" s="13">
        <v>0.65</v>
      </c>
      <c r="Q478" s="17">
        <v>0.47802501937340802</v>
      </c>
    </row>
    <row r="479" spans="1:17" x14ac:dyDescent="0.2">
      <c r="A479" t="s">
        <v>786</v>
      </c>
      <c r="B479" s="5" t="s">
        <v>30</v>
      </c>
      <c r="C479" s="6" t="s">
        <v>676</v>
      </c>
      <c r="E479" s="5" t="s">
        <v>17</v>
      </c>
      <c r="F479" s="14" t="s">
        <v>25</v>
      </c>
      <c r="G479" s="7" t="s">
        <v>18</v>
      </c>
      <c r="J479" s="5">
        <v>150</v>
      </c>
      <c r="N479" s="15">
        <v>0.49</v>
      </c>
      <c r="O479" s="15">
        <v>0.72199999999999998</v>
      </c>
      <c r="P479" s="13">
        <v>0.36299999999999999</v>
      </c>
      <c r="Q479" s="17">
        <v>0.15432303775046999</v>
      </c>
    </row>
    <row r="480" spans="1:17" x14ac:dyDescent="0.2">
      <c r="A480" t="s">
        <v>787</v>
      </c>
      <c r="B480" s="5" t="s">
        <v>225</v>
      </c>
      <c r="C480" s="6" t="s">
        <v>226</v>
      </c>
      <c r="E480" s="5" t="s">
        <v>17</v>
      </c>
      <c r="F480" s="14" t="s">
        <v>25</v>
      </c>
      <c r="G480" s="7" t="s">
        <v>18</v>
      </c>
      <c r="J480" s="5">
        <v>43</v>
      </c>
      <c r="N480" s="15">
        <v>0.44</v>
      </c>
      <c r="O480" s="15">
        <v>0.79900000000000004</v>
      </c>
      <c r="P480" s="13">
        <v>0.308</v>
      </c>
      <c r="Q480" s="17">
        <v>0.38248643861397102</v>
      </c>
    </row>
  </sheetData>
  <autoFilter ref="A1:Q1" xr:uid="{00000000-0009-0000-0000-000001000000}"/>
  <conditionalFormatting sqref="A1:A1048576">
    <cfRule type="duplicateValues" dxfId="2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79"/>
  <sheetViews>
    <sheetView zoomScale="79" zoomScaleNormal="79" workbookViewId="0">
      <pane xSplit="1" ySplit="1" topLeftCell="F41" activePane="bottomRight" state="frozen"/>
      <selection pane="topRight" activeCell="F1" sqref="F1"/>
      <selection pane="bottomLeft" activeCell="A2" sqref="A2"/>
      <selection pane="bottomRight" activeCell="AN1" sqref="AN1"/>
    </sheetView>
  </sheetViews>
  <sheetFormatPr baseColWidth="10" defaultColWidth="8.83203125" defaultRowHeight="15" x14ac:dyDescent="0.2"/>
  <cols>
    <col min="1" max="1" width="58.1640625" customWidth="1"/>
    <col min="2" max="2" width="13.5" style="5" hidden="1" customWidth="1"/>
    <col min="3" max="3" width="16.6640625" style="5" customWidth="1"/>
    <col min="4" max="4" width="16.6640625" style="6" customWidth="1"/>
    <col min="5" max="5" width="36.6640625" style="6" customWidth="1"/>
    <col min="6" max="6" width="19.6640625" style="5" customWidth="1"/>
    <col min="7" max="7" width="29.6640625" style="5" customWidth="1"/>
    <col min="8" max="8" width="26.6640625" customWidth="1"/>
    <col min="9" max="9" width="26.6640625" style="7" customWidth="1"/>
    <col min="10" max="10" width="26.6640625" customWidth="1"/>
    <col min="11" max="11" width="48.5" customWidth="1"/>
    <col min="12" max="12" width="41.1640625" customWidth="1"/>
    <col min="13" max="15" width="17.33203125" customWidth="1"/>
    <col min="16" max="18" width="21.83203125" hidden="1" customWidth="1"/>
    <col min="19" max="19" width="34.1640625" hidden="1" customWidth="1"/>
    <col min="20" max="33" width="9.1640625" hidden="1" customWidth="1"/>
    <col min="34" max="35" width="10.33203125" style="5" customWidth="1"/>
    <col min="36" max="36" width="12.5" style="5" customWidth="1"/>
    <col min="37" max="37" width="17.83203125" style="5" customWidth="1"/>
    <col min="38" max="38" width="14.5" hidden="1" customWidth="1"/>
    <col min="39" max="39" width="0.1640625" customWidth="1"/>
    <col min="40" max="40" width="17.1640625" style="5" customWidth="1"/>
  </cols>
  <sheetData>
    <row r="1" spans="1:40" s="12" customFormat="1" ht="111" customHeight="1" x14ac:dyDescent="0.2">
      <c r="A1" s="8" t="s">
        <v>0</v>
      </c>
      <c r="B1" s="8" t="s">
        <v>809</v>
      </c>
      <c r="C1" s="8" t="s">
        <v>1</v>
      </c>
      <c r="D1" s="10" t="s">
        <v>2</v>
      </c>
      <c r="E1" s="10" t="s">
        <v>3</v>
      </c>
      <c r="F1" s="24" t="s">
        <v>4</v>
      </c>
      <c r="G1" s="25" t="s">
        <v>4</v>
      </c>
      <c r="H1" s="24" t="s">
        <v>5</v>
      </c>
      <c r="I1" s="26" t="s">
        <v>5</v>
      </c>
      <c r="J1" s="25" t="s">
        <v>5</v>
      </c>
      <c r="K1" s="8" t="s">
        <v>810</v>
      </c>
      <c r="L1" s="8" t="s">
        <v>811</v>
      </c>
      <c r="M1" s="8" t="s">
        <v>10</v>
      </c>
      <c r="N1" s="8" t="s">
        <v>11</v>
      </c>
      <c r="O1" s="8" t="s">
        <v>12</v>
      </c>
      <c r="P1" s="8" t="s">
        <v>812</v>
      </c>
      <c r="Q1" s="8" t="s">
        <v>813</v>
      </c>
      <c r="R1" s="8" t="s">
        <v>814</v>
      </c>
      <c r="S1" s="8" t="s">
        <v>815</v>
      </c>
      <c r="T1" s="27" t="s">
        <v>816</v>
      </c>
      <c r="U1" s="27" t="s">
        <v>817</v>
      </c>
      <c r="V1" s="27" t="s">
        <v>818</v>
      </c>
      <c r="W1" s="27" t="s">
        <v>819</v>
      </c>
      <c r="X1" s="27" t="s">
        <v>820</v>
      </c>
      <c r="Y1" s="27" t="s">
        <v>821</v>
      </c>
      <c r="Z1" s="27" t="s">
        <v>822</v>
      </c>
      <c r="AA1" s="27" t="s">
        <v>823</v>
      </c>
      <c r="AB1" s="27" t="s">
        <v>824</v>
      </c>
      <c r="AC1" s="27" t="s">
        <v>825</v>
      </c>
      <c r="AD1" s="27" t="s">
        <v>826</v>
      </c>
      <c r="AE1" s="27" t="s">
        <v>827</v>
      </c>
      <c r="AF1" s="27" t="s">
        <v>828</v>
      </c>
      <c r="AG1" s="27" t="s">
        <v>829</v>
      </c>
      <c r="AH1" s="27" t="s">
        <v>6</v>
      </c>
      <c r="AI1" s="27" t="s">
        <v>7</v>
      </c>
      <c r="AJ1" s="27" t="s">
        <v>8</v>
      </c>
      <c r="AK1" s="27" t="s">
        <v>9</v>
      </c>
      <c r="AL1" s="28" t="s">
        <v>830</v>
      </c>
      <c r="AM1" s="28" t="s">
        <v>831</v>
      </c>
      <c r="AN1" s="8" t="s">
        <v>13</v>
      </c>
    </row>
    <row r="2" spans="1:40" x14ac:dyDescent="0.2">
      <c r="A2" t="s">
        <v>289</v>
      </c>
      <c r="C2" s="5" t="s">
        <v>42</v>
      </c>
      <c r="D2" s="5" t="s">
        <v>290</v>
      </c>
      <c r="E2" s="5"/>
      <c r="F2" s="29" t="s">
        <v>17</v>
      </c>
      <c r="G2" s="30"/>
      <c r="H2" s="31" t="s">
        <v>18</v>
      </c>
      <c r="J2" s="30"/>
      <c r="L2" t="s">
        <v>289</v>
      </c>
      <c r="M2" s="32">
        <v>0.65900000000000003</v>
      </c>
      <c r="N2" s="32">
        <v>2.5999999999999999E-2</v>
      </c>
      <c r="O2" s="32">
        <v>0.36199999999999999</v>
      </c>
      <c r="AH2" s="5">
        <v>4</v>
      </c>
      <c r="AN2" s="13">
        <v>0.73</v>
      </c>
    </row>
    <row r="3" spans="1:40" x14ac:dyDescent="0.2">
      <c r="A3" t="s">
        <v>173</v>
      </c>
      <c r="C3" s="5" t="s">
        <v>42</v>
      </c>
      <c r="D3" s="5" t="s">
        <v>43</v>
      </c>
      <c r="E3" s="5"/>
      <c r="F3" s="29" t="s">
        <v>17</v>
      </c>
      <c r="G3" s="30"/>
      <c r="H3" s="31" t="s">
        <v>18</v>
      </c>
      <c r="J3" s="33"/>
      <c r="L3" t="s">
        <v>173</v>
      </c>
      <c r="M3" s="32">
        <v>0.27300000000000002</v>
      </c>
      <c r="N3" s="32">
        <v>0.16700000000000001</v>
      </c>
      <c r="O3" s="32">
        <v>0.82199999999999995</v>
      </c>
      <c r="AH3" s="5">
        <v>4</v>
      </c>
      <c r="AN3" s="13">
        <v>0.48</v>
      </c>
    </row>
    <row r="4" spans="1:40" x14ac:dyDescent="0.2">
      <c r="A4" t="s">
        <v>291</v>
      </c>
      <c r="C4" s="5" t="s">
        <v>15</v>
      </c>
      <c r="D4" s="5" t="s">
        <v>292</v>
      </c>
      <c r="E4" s="5"/>
      <c r="F4" s="29" t="s">
        <v>17</v>
      </c>
      <c r="G4" s="30"/>
      <c r="H4" s="34" t="s">
        <v>26</v>
      </c>
      <c r="J4" s="33"/>
      <c r="L4" t="s">
        <v>291</v>
      </c>
      <c r="M4" s="32">
        <v>0.44700000000000001</v>
      </c>
      <c r="N4" s="32">
        <v>0.183</v>
      </c>
      <c r="O4" s="32">
        <v>0.78500000000000003</v>
      </c>
      <c r="AH4" s="5">
        <v>11</v>
      </c>
      <c r="AI4" s="5">
        <v>4</v>
      </c>
      <c r="AN4" s="13">
        <v>0.73</v>
      </c>
    </row>
    <row r="5" spans="1:40" x14ac:dyDescent="0.2">
      <c r="A5" t="s">
        <v>374</v>
      </c>
      <c r="C5" s="5" t="s">
        <v>15</v>
      </c>
      <c r="D5" s="5" t="s">
        <v>59</v>
      </c>
      <c r="E5" s="5"/>
      <c r="F5" s="29" t="s">
        <v>17</v>
      </c>
      <c r="G5" s="30"/>
      <c r="H5" s="34" t="s">
        <v>26</v>
      </c>
      <c r="J5" s="33"/>
      <c r="L5" t="s">
        <v>374</v>
      </c>
      <c r="M5" s="32">
        <v>0.438</v>
      </c>
      <c r="N5" s="32">
        <v>0.44800000000000001</v>
      </c>
      <c r="O5" s="32">
        <v>0.57799999999999996</v>
      </c>
      <c r="AH5" s="5">
        <v>9</v>
      </c>
      <c r="AI5" s="5">
        <v>3</v>
      </c>
    </row>
    <row r="6" spans="1:40" x14ac:dyDescent="0.2">
      <c r="A6" t="s">
        <v>375</v>
      </c>
      <c r="C6" s="5" t="s">
        <v>15</v>
      </c>
      <c r="D6" s="5" t="s">
        <v>210</v>
      </c>
      <c r="E6" s="5"/>
      <c r="F6" s="29" t="s">
        <v>17</v>
      </c>
      <c r="G6" s="30"/>
      <c r="H6" s="31" t="s">
        <v>18</v>
      </c>
      <c r="J6" s="33"/>
      <c r="L6" t="s">
        <v>375</v>
      </c>
      <c r="M6" s="32">
        <v>0.42399999999999999</v>
      </c>
      <c r="N6" s="32">
        <v>0.22700000000000001</v>
      </c>
      <c r="O6" s="32">
        <v>0.64500000000000002</v>
      </c>
      <c r="AH6" s="5">
        <v>14</v>
      </c>
      <c r="AI6" s="5">
        <v>2</v>
      </c>
    </row>
    <row r="7" spans="1:40" x14ac:dyDescent="0.2">
      <c r="A7" t="s">
        <v>376</v>
      </c>
      <c r="C7" s="5" t="s">
        <v>15</v>
      </c>
      <c r="D7" s="5" t="s">
        <v>210</v>
      </c>
      <c r="E7" s="5"/>
      <c r="F7" s="29" t="s">
        <v>17</v>
      </c>
      <c r="G7" s="30"/>
      <c r="H7" s="34" t="s">
        <v>26</v>
      </c>
      <c r="J7" s="33"/>
      <c r="L7" t="s">
        <v>376</v>
      </c>
      <c r="M7" s="32">
        <v>0.42399999999999999</v>
      </c>
      <c r="N7" s="32">
        <v>0.22700000000000001</v>
      </c>
      <c r="O7" s="32">
        <v>0.64500000000000002</v>
      </c>
      <c r="AH7" s="5">
        <v>4</v>
      </c>
      <c r="AI7" s="5">
        <v>1</v>
      </c>
    </row>
    <row r="8" spans="1:40" x14ac:dyDescent="0.2">
      <c r="A8" t="s">
        <v>377</v>
      </c>
      <c r="C8" s="5" t="s">
        <v>42</v>
      </c>
      <c r="D8" s="5" t="s">
        <v>378</v>
      </c>
      <c r="E8" s="5"/>
      <c r="F8" s="29" t="s">
        <v>17</v>
      </c>
      <c r="G8" s="30"/>
      <c r="H8" s="31" t="s">
        <v>18</v>
      </c>
      <c r="J8" s="33"/>
      <c r="L8" t="s">
        <v>377</v>
      </c>
      <c r="M8" s="32">
        <v>5.5E-2</v>
      </c>
      <c r="N8" s="32">
        <v>0.33300000000000002</v>
      </c>
      <c r="O8" s="32">
        <v>0.83899999999999997</v>
      </c>
      <c r="AH8" s="5">
        <v>6</v>
      </c>
    </row>
    <row r="9" spans="1:40" x14ac:dyDescent="0.2">
      <c r="A9" t="s">
        <v>379</v>
      </c>
      <c r="C9" s="5" t="s">
        <v>15</v>
      </c>
      <c r="D9" s="5" t="s">
        <v>100</v>
      </c>
      <c r="E9" s="5"/>
      <c r="F9" s="29" t="s">
        <v>17</v>
      </c>
      <c r="G9" s="30"/>
      <c r="H9" s="34" t="s">
        <v>26</v>
      </c>
      <c r="J9" s="33"/>
      <c r="L9" t="s">
        <v>379</v>
      </c>
      <c r="M9" s="32">
        <v>0.53</v>
      </c>
      <c r="N9" s="32">
        <v>0.19900000000000001</v>
      </c>
      <c r="O9" s="32">
        <v>0.89</v>
      </c>
      <c r="AH9" s="5">
        <v>6</v>
      </c>
      <c r="AI9" s="5">
        <v>2</v>
      </c>
    </row>
    <row r="10" spans="1:40" x14ac:dyDescent="0.2">
      <c r="A10" t="s">
        <v>380</v>
      </c>
      <c r="C10" s="5" t="s">
        <v>15</v>
      </c>
      <c r="D10" s="5" t="s">
        <v>134</v>
      </c>
      <c r="E10" s="5"/>
      <c r="F10" s="29" t="s">
        <v>17</v>
      </c>
      <c r="G10" s="30"/>
      <c r="H10" s="34" t="s">
        <v>26</v>
      </c>
      <c r="J10" s="33"/>
      <c r="L10" t="s">
        <v>380</v>
      </c>
      <c r="M10" s="32">
        <v>0.40300000000000002</v>
      </c>
      <c r="N10" s="32">
        <v>0.17899999999999999</v>
      </c>
      <c r="O10" s="32">
        <v>0.19600000000000001</v>
      </c>
      <c r="AH10" s="5">
        <v>1</v>
      </c>
    </row>
    <row r="11" spans="1:40" x14ac:dyDescent="0.2">
      <c r="A11" t="s">
        <v>381</v>
      </c>
      <c r="C11" s="5" t="s">
        <v>15</v>
      </c>
      <c r="D11" s="5" t="s">
        <v>134</v>
      </c>
      <c r="E11" s="5"/>
      <c r="F11" s="29" t="s">
        <v>17</v>
      </c>
      <c r="G11" s="30"/>
      <c r="H11" s="31" t="s">
        <v>18</v>
      </c>
      <c r="J11" s="33"/>
      <c r="L11" t="s">
        <v>381</v>
      </c>
      <c r="M11" s="32">
        <v>0.40300000000000002</v>
      </c>
      <c r="N11" s="32">
        <v>0.17899999999999999</v>
      </c>
      <c r="O11" s="32">
        <v>0.19600000000000001</v>
      </c>
      <c r="AH11" s="5">
        <v>22</v>
      </c>
      <c r="AI11" s="5">
        <v>2</v>
      </c>
    </row>
    <row r="12" spans="1:40" x14ac:dyDescent="0.2">
      <c r="A12" t="s">
        <v>382</v>
      </c>
      <c r="C12" s="5" t="s">
        <v>15</v>
      </c>
      <c r="D12" s="5" t="s">
        <v>134</v>
      </c>
      <c r="E12" s="5"/>
      <c r="F12" s="29" t="s">
        <v>17</v>
      </c>
      <c r="G12" s="30"/>
      <c r="H12" s="31" t="s">
        <v>18</v>
      </c>
      <c r="J12" s="33"/>
      <c r="L12" t="s">
        <v>382</v>
      </c>
      <c r="M12" s="32">
        <v>0.40300000000000002</v>
      </c>
      <c r="N12" s="32">
        <v>0.17899999999999999</v>
      </c>
      <c r="O12" s="32">
        <v>0.19600000000000001</v>
      </c>
      <c r="AH12" s="5">
        <v>4</v>
      </c>
      <c r="AI12" s="5">
        <v>1</v>
      </c>
    </row>
    <row r="13" spans="1:40" x14ac:dyDescent="0.2">
      <c r="A13" t="s">
        <v>383</v>
      </c>
      <c r="C13" s="5" t="s">
        <v>42</v>
      </c>
      <c r="D13" s="5" t="s">
        <v>109</v>
      </c>
      <c r="E13" s="5"/>
      <c r="F13" s="29" t="s">
        <v>17</v>
      </c>
      <c r="G13" s="30"/>
      <c r="H13" s="31" t="s">
        <v>18</v>
      </c>
      <c r="J13" s="33"/>
      <c r="L13" t="s">
        <v>383</v>
      </c>
      <c r="M13" s="32">
        <v>0.50800000000000001</v>
      </c>
      <c r="N13" s="32">
        <v>6.3E-2</v>
      </c>
      <c r="O13" s="32">
        <v>0.92100000000000004</v>
      </c>
      <c r="AH13" s="5">
        <v>6</v>
      </c>
    </row>
    <row r="14" spans="1:40" x14ac:dyDescent="0.2">
      <c r="A14" t="s">
        <v>384</v>
      </c>
      <c r="C14" s="5" t="s">
        <v>42</v>
      </c>
      <c r="D14" s="5" t="s">
        <v>385</v>
      </c>
      <c r="E14" s="5"/>
      <c r="F14" s="29" t="s">
        <v>17</v>
      </c>
      <c r="G14" s="30"/>
      <c r="H14" s="31" t="s">
        <v>18</v>
      </c>
      <c r="J14" s="33"/>
      <c r="L14" t="s">
        <v>384</v>
      </c>
      <c r="M14" s="32">
        <v>0.14899999999999999</v>
      </c>
      <c r="N14" s="32">
        <v>0.41199999999999998</v>
      </c>
      <c r="O14" s="32">
        <v>0.21199999999999999</v>
      </c>
      <c r="AH14" s="5">
        <v>6</v>
      </c>
    </row>
    <row r="15" spans="1:40" x14ac:dyDescent="0.2">
      <c r="A15" t="s">
        <v>79</v>
      </c>
      <c r="C15" s="5" t="s">
        <v>42</v>
      </c>
      <c r="D15" s="5" t="s">
        <v>80</v>
      </c>
      <c r="E15" s="5"/>
      <c r="F15" s="29" t="s">
        <v>17</v>
      </c>
      <c r="G15" s="30"/>
      <c r="H15" s="31" t="s">
        <v>18</v>
      </c>
      <c r="J15" s="33"/>
      <c r="L15" t="s">
        <v>79</v>
      </c>
      <c r="M15" s="32">
        <v>0.17899999999999999</v>
      </c>
      <c r="N15" s="32">
        <v>0.59399999999999997</v>
      </c>
      <c r="O15" s="32">
        <v>0.38500000000000001</v>
      </c>
      <c r="AH15" s="5">
        <v>3</v>
      </c>
      <c r="AN15" s="13">
        <v>0.3</v>
      </c>
    </row>
    <row r="16" spans="1:40" x14ac:dyDescent="0.2">
      <c r="A16" t="s">
        <v>121</v>
      </c>
      <c r="C16" s="5" t="s">
        <v>58</v>
      </c>
      <c r="D16" s="5" t="s">
        <v>122</v>
      </c>
      <c r="E16" s="5"/>
      <c r="F16" s="29" t="s">
        <v>17</v>
      </c>
      <c r="G16" s="30"/>
      <c r="H16" s="31" t="s">
        <v>18</v>
      </c>
      <c r="J16" s="33"/>
      <c r="L16" t="s">
        <v>121</v>
      </c>
      <c r="M16" s="32">
        <v>0.33300000000000002</v>
      </c>
      <c r="N16" s="32">
        <v>0.5</v>
      </c>
      <c r="O16" s="32">
        <v>0.75</v>
      </c>
      <c r="AH16" s="5">
        <v>3</v>
      </c>
      <c r="AN16" s="13">
        <v>0.4</v>
      </c>
    </row>
    <row r="17" spans="1:40" x14ac:dyDescent="0.2">
      <c r="A17" t="s">
        <v>123</v>
      </c>
      <c r="C17" s="5" t="s">
        <v>42</v>
      </c>
      <c r="D17" s="5" t="s">
        <v>124</v>
      </c>
      <c r="E17" s="5"/>
      <c r="F17" s="29" t="s">
        <v>17</v>
      </c>
      <c r="G17" s="30"/>
      <c r="H17" s="31" t="s">
        <v>18</v>
      </c>
      <c r="J17" s="33"/>
      <c r="L17" t="s">
        <v>123</v>
      </c>
      <c r="M17" s="32">
        <v>0.17899999999999999</v>
      </c>
      <c r="N17" s="32">
        <v>0.59499999999999997</v>
      </c>
      <c r="O17" s="32">
        <v>0.72599999999999998</v>
      </c>
      <c r="AH17" s="5">
        <v>6</v>
      </c>
      <c r="AN17" s="13">
        <v>0.4</v>
      </c>
    </row>
    <row r="18" spans="1:40" x14ac:dyDescent="0.2">
      <c r="A18" t="s">
        <v>386</v>
      </c>
      <c r="C18" s="5" t="s">
        <v>15</v>
      </c>
      <c r="D18" s="5" t="s">
        <v>387</v>
      </c>
      <c r="E18" s="5"/>
      <c r="F18" s="29" t="s">
        <v>17</v>
      </c>
      <c r="G18" s="30"/>
      <c r="H18" s="31" t="s">
        <v>18</v>
      </c>
      <c r="J18" s="33"/>
      <c r="L18" t="s">
        <v>386</v>
      </c>
      <c r="M18" s="32">
        <v>0.95</v>
      </c>
      <c r="N18" s="32">
        <v>5.6000000000000001E-2</v>
      </c>
      <c r="O18" s="32">
        <v>0.81299999999999994</v>
      </c>
      <c r="AH18" s="5">
        <v>2</v>
      </c>
    </row>
    <row r="19" spans="1:40" x14ac:dyDescent="0.2">
      <c r="A19" t="s">
        <v>388</v>
      </c>
      <c r="C19" s="5" t="s">
        <v>64</v>
      </c>
      <c r="D19" s="5" t="s">
        <v>389</v>
      </c>
      <c r="E19" s="5"/>
      <c r="F19" s="29" t="s">
        <v>17</v>
      </c>
      <c r="G19" s="30"/>
      <c r="H19" s="31" t="s">
        <v>18</v>
      </c>
      <c r="J19" s="33"/>
      <c r="L19" t="s">
        <v>388</v>
      </c>
      <c r="M19" s="32">
        <v>0.53300000000000003</v>
      </c>
      <c r="N19" s="32">
        <v>0.63600000000000001</v>
      </c>
      <c r="O19" s="32">
        <v>1.4999999999999999E-2</v>
      </c>
      <c r="AH19" s="5">
        <v>16</v>
      </c>
    </row>
    <row r="20" spans="1:40" x14ac:dyDescent="0.2">
      <c r="A20" t="s">
        <v>390</v>
      </c>
      <c r="C20" s="5" t="s">
        <v>23</v>
      </c>
      <c r="D20" s="5" t="s">
        <v>391</v>
      </c>
      <c r="E20" s="5"/>
      <c r="F20" s="29" t="s">
        <v>17</v>
      </c>
      <c r="G20" s="30"/>
      <c r="H20" s="34" t="s">
        <v>26</v>
      </c>
      <c r="J20" s="33"/>
      <c r="L20" t="s">
        <v>390</v>
      </c>
      <c r="M20" s="32">
        <v>0.125</v>
      </c>
      <c r="N20" s="32">
        <v>0.22500000000000001</v>
      </c>
      <c r="O20" s="32">
        <v>0.80300000000000005</v>
      </c>
      <c r="AH20" s="5">
        <v>159</v>
      </c>
    </row>
    <row r="21" spans="1:40" x14ac:dyDescent="0.2">
      <c r="A21" t="s">
        <v>392</v>
      </c>
      <c r="C21" s="5" t="s">
        <v>15</v>
      </c>
      <c r="D21" s="5" t="s">
        <v>393</v>
      </c>
      <c r="E21" s="5"/>
      <c r="F21" s="29" t="s">
        <v>17</v>
      </c>
      <c r="G21" s="30"/>
      <c r="H21" s="34" t="s">
        <v>26</v>
      </c>
      <c r="J21" s="33"/>
      <c r="L21" t="s">
        <v>392</v>
      </c>
      <c r="M21" s="32">
        <v>0.79300000000000004</v>
      </c>
      <c r="N21" s="32">
        <v>2.1999999999999999E-2</v>
      </c>
      <c r="O21" s="32">
        <v>0.46200000000000002</v>
      </c>
      <c r="AH21" s="5">
        <v>31</v>
      </c>
    </row>
    <row r="22" spans="1:40" x14ac:dyDescent="0.2">
      <c r="A22" t="s">
        <v>157</v>
      </c>
      <c r="C22" s="5" t="s">
        <v>95</v>
      </c>
      <c r="D22" s="5" t="s">
        <v>158</v>
      </c>
      <c r="E22" s="5"/>
      <c r="F22" s="29" t="s">
        <v>17</v>
      </c>
      <c r="G22" s="30"/>
      <c r="H22" s="31" t="s">
        <v>18</v>
      </c>
      <c r="J22" s="33"/>
      <c r="L22" t="s">
        <v>157</v>
      </c>
      <c r="M22" s="32">
        <v>0.92600000000000005</v>
      </c>
      <c r="N22" s="32">
        <v>0.502</v>
      </c>
      <c r="O22" s="32">
        <v>0.48899999999999999</v>
      </c>
      <c r="AH22" s="5">
        <v>9</v>
      </c>
      <c r="AN22" s="13">
        <v>0.45</v>
      </c>
    </row>
    <row r="23" spans="1:40" x14ac:dyDescent="0.2">
      <c r="A23" t="s">
        <v>394</v>
      </c>
      <c r="C23" s="5" t="s">
        <v>30</v>
      </c>
      <c r="D23" s="6" t="s">
        <v>395</v>
      </c>
      <c r="F23" s="29" t="s">
        <v>17</v>
      </c>
      <c r="G23" s="30" t="s">
        <v>25</v>
      </c>
      <c r="H23" s="34" t="s">
        <v>39</v>
      </c>
      <c r="J23" s="33"/>
      <c r="K23" t="s">
        <v>832</v>
      </c>
      <c r="L23" t="s">
        <v>394</v>
      </c>
      <c r="M23" s="35">
        <v>0.55000000000000004</v>
      </c>
      <c r="N23" s="35">
        <v>0.63</v>
      </c>
      <c r="O23" s="32">
        <v>0.5</v>
      </c>
      <c r="P23" t="s">
        <v>833</v>
      </c>
      <c r="R23" t="s">
        <v>834</v>
      </c>
      <c r="S23" t="s">
        <v>835</v>
      </c>
      <c r="T23">
        <v>50</v>
      </c>
      <c r="U23">
        <v>10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50</v>
      </c>
      <c r="AF23">
        <v>0</v>
      </c>
      <c r="AG23">
        <v>0</v>
      </c>
      <c r="AH23" s="5">
        <v>104</v>
      </c>
      <c r="AI23" s="5">
        <v>104</v>
      </c>
      <c r="AK23" s="5" t="s">
        <v>40</v>
      </c>
      <c r="AL23">
        <v>53</v>
      </c>
      <c r="AM23" s="36">
        <f>AL23/AH23</f>
        <v>0.50961538461538458</v>
      </c>
    </row>
    <row r="24" spans="1:40" x14ac:dyDescent="0.2">
      <c r="A24" t="s">
        <v>396</v>
      </c>
      <c r="C24" s="5" t="s">
        <v>95</v>
      </c>
      <c r="D24" s="5" t="s">
        <v>397</v>
      </c>
      <c r="E24" s="5"/>
      <c r="F24" s="29" t="s">
        <v>17</v>
      </c>
      <c r="G24" s="30"/>
      <c r="H24" s="34" t="s">
        <v>26</v>
      </c>
      <c r="J24" s="33"/>
      <c r="L24" t="s">
        <v>396</v>
      </c>
      <c r="M24" s="32">
        <v>0.38600000000000001</v>
      </c>
      <c r="N24" s="32">
        <v>0.72799999999999998</v>
      </c>
      <c r="O24" s="32">
        <v>0.58199999999999996</v>
      </c>
      <c r="AH24" s="5">
        <v>4</v>
      </c>
    </row>
    <row r="25" spans="1:40" x14ac:dyDescent="0.2">
      <c r="A25" t="s">
        <v>398</v>
      </c>
      <c r="C25" s="5" t="s">
        <v>148</v>
      </c>
      <c r="D25" s="5" t="s">
        <v>149</v>
      </c>
      <c r="E25" s="5"/>
      <c r="F25" s="29" t="s">
        <v>17</v>
      </c>
      <c r="G25" s="30"/>
      <c r="H25" s="31" t="s">
        <v>18</v>
      </c>
      <c r="J25" s="33"/>
      <c r="L25" t="s">
        <v>398</v>
      </c>
      <c r="M25" s="32">
        <v>0.56999999999999995</v>
      </c>
      <c r="N25" s="32">
        <v>0.40100000000000002</v>
      </c>
      <c r="O25" s="32">
        <v>0.64900000000000002</v>
      </c>
      <c r="AH25" s="5">
        <v>26</v>
      </c>
    </row>
    <row r="26" spans="1:40" x14ac:dyDescent="0.2">
      <c r="A26" t="s">
        <v>399</v>
      </c>
      <c r="C26" s="5" t="s">
        <v>400</v>
      </c>
      <c r="D26" s="5" t="s">
        <v>401</v>
      </c>
      <c r="E26" s="5"/>
      <c r="F26" s="29" t="s">
        <v>17</v>
      </c>
      <c r="G26" s="30"/>
      <c r="H26" s="31" t="s">
        <v>18</v>
      </c>
      <c r="J26" s="33"/>
      <c r="L26" t="s">
        <v>399</v>
      </c>
      <c r="M26" s="32">
        <v>0.32600000000000001</v>
      </c>
      <c r="N26" s="32">
        <v>0.76500000000000001</v>
      </c>
      <c r="O26" s="32">
        <v>0.28699999999999998</v>
      </c>
      <c r="AH26" s="5">
        <v>55</v>
      </c>
    </row>
    <row r="27" spans="1:40" x14ac:dyDescent="0.2">
      <c r="A27" t="s">
        <v>402</v>
      </c>
      <c r="C27" s="5" t="s">
        <v>103</v>
      </c>
      <c r="D27" s="5" t="s">
        <v>104</v>
      </c>
      <c r="E27" s="5"/>
      <c r="F27" s="29" t="s">
        <v>17</v>
      </c>
      <c r="G27" s="30"/>
      <c r="H27" s="31" t="s">
        <v>18</v>
      </c>
      <c r="J27" s="33"/>
      <c r="L27" t="s">
        <v>402</v>
      </c>
      <c r="M27" s="32">
        <v>0.69899999999999995</v>
      </c>
      <c r="N27" s="32">
        <v>7.0999999999999994E-2</v>
      </c>
      <c r="O27" s="32">
        <v>0.94699999999999995</v>
      </c>
      <c r="AH27" s="5">
        <v>16</v>
      </c>
    </row>
    <row r="28" spans="1:40" x14ac:dyDescent="0.2">
      <c r="A28" t="s">
        <v>403</v>
      </c>
      <c r="C28" s="5" t="s">
        <v>225</v>
      </c>
      <c r="D28" s="5" t="s">
        <v>226</v>
      </c>
      <c r="E28" s="5"/>
      <c r="F28" s="29" t="s">
        <v>17</v>
      </c>
      <c r="G28" s="30" t="s">
        <v>25</v>
      </c>
      <c r="H28" s="34" t="s">
        <v>26</v>
      </c>
      <c r="J28" s="33"/>
      <c r="L28" t="s">
        <v>403</v>
      </c>
      <c r="M28" s="32">
        <v>0.442</v>
      </c>
      <c r="N28" s="32">
        <v>0.79900000000000004</v>
      </c>
      <c r="O28" s="32">
        <v>0.308</v>
      </c>
      <c r="AH28" s="5">
        <v>38</v>
      </c>
    </row>
    <row r="29" spans="1:40" x14ac:dyDescent="0.2">
      <c r="A29" t="s">
        <v>404</v>
      </c>
      <c r="C29" s="5" t="s">
        <v>183</v>
      </c>
      <c r="D29" s="5" t="s">
        <v>804</v>
      </c>
      <c r="E29" s="5"/>
      <c r="F29" s="29" t="s">
        <v>17</v>
      </c>
      <c r="G29" s="30" t="s">
        <v>406</v>
      </c>
      <c r="H29" s="31" t="s">
        <v>18</v>
      </c>
      <c r="J29" s="33"/>
      <c r="L29" t="s">
        <v>404</v>
      </c>
      <c r="M29" s="32"/>
      <c r="N29" s="32"/>
      <c r="O29" s="32"/>
      <c r="AH29" s="5">
        <v>35</v>
      </c>
      <c r="AN29" s="13">
        <v>0.7</v>
      </c>
    </row>
    <row r="30" spans="1:40" x14ac:dyDescent="0.2">
      <c r="A30" t="s">
        <v>407</v>
      </c>
      <c r="C30" s="5" t="s">
        <v>103</v>
      </c>
      <c r="D30" s="5" t="s">
        <v>408</v>
      </c>
      <c r="E30" s="5"/>
      <c r="F30" s="29" t="s">
        <v>17</v>
      </c>
      <c r="G30" s="30"/>
      <c r="H30" s="34" t="s">
        <v>26</v>
      </c>
      <c r="J30" s="33"/>
      <c r="L30" t="s">
        <v>407</v>
      </c>
      <c r="M30" s="32">
        <v>0.438</v>
      </c>
      <c r="N30" s="32">
        <v>0.39600000000000002</v>
      </c>
      <c r="O30" s="32">
        <v>0.66</v>
      </c>
      <c r="AH30" s="5">
        <v>100</v>
      </c>
    </row>
    <row r="31" spans="1:40" x14ac:dyDescent="0.2">
      <c r="A31" t="s">
        <v>409</v>
      </c>
      <c r="C31" s="5" t="s">
        <v>15</v>
      </c>
      <c r="D31" s="5" t="s">
        <v>134</v>
      </c>
      <c r="E31" s="5"/>
      <c r="F31" s="29" t="s">
        <v>17</v>
      </c>
      <c r="G31" s="30"/>
      <c r="H31" s="34" t="s">
        <v>26</v>
      </c>
      <c r="J31" s="33"/>
      <c r="L31" t="s">
        <v>409</v>
      </c>
      <c r="M31" s="32">
        <v>0.40300000000000002</v>
      </c>
      <c r="N31" s="32">
        <v>0.17899999999999999</v>
      </c>
      <c r="O31" s="32">
        <v>0.19600000000000001</v>
      </c>
      <c r="AH31" s="5">
        <v>75</v>
      </c>
    </row>
    <row r="32" spans="1:40" x14ac:dyDescent="0.2">
      <c r="A32" t="s">
        <v>247</v>
      </c>
      <c r="C32" s="5" t="s">
        <v>42</v>
      </c>
      <c r="D32" s="5" t="s">
        <v>109</v>
      </c>
      <c r="E32" s="5"/>
      <c r="F32" s="29" t="s">
        <v>17</v>
      </c>
      <c r="G32" s="30"/>
      <c r="H32" s="31" t="s">
        <v>18</v>
      </c>
      <c r="J32" s="33"/>
      <c r="L32" t="s">
        <v>247</v>
      </c>
      <c r="M32" s="32">
        <v>0.50800000000000001</v>
      </c>
      <c r="N32" s="32">
        <v>6.3E-2</v>
      </c>
      <c r="O32" s="32">
        <v>0.92100000000000004</v>
      </c>
      <c r="AH32" s="5">
        <v>69</v>
      </c>
    </row>
    <row r="33" spans="1:40" x14ac:dyDescent="0.2">
      <c r="A33" t="s">
        <v>312</v>
      </c>
      <c r="C33" s="5" t="s">
        <v>15</v>
      </c>
      <c r="D33" s="5" t="s">
        <v>313</v>
      </c>
      <c r="E33" s="5"/>
      <c r="F33" s="29" t="s">
        <v>17</v>
      </c>
      <c r="G33" s="30"/>
      <c r="H33" s="34" t="s">
        <v>26</v>
      </c>
      <c r="J33" s="33"/>
      <c r="L33" t="s">
        <v>312</v>
      </c>
      <c r="M33" s="32">
        <v>0.52500000000000002</v>
      </c>
      <c r="N33" s="32">
        <v>0.26</v>
      </c>
      <c r="O33" s="32">
        <v>0.92500000000000004</v>
      </c>
      <c r="AH33" s="5">
        <v>2</v>
      </c>
      <c r="AN33" s="13">
        <v>0.69</v>
      </c>
    </row>
    <row r="34" spans="1:40" x14ac:dyDescent="0.2">
      <c r="A34" t="s">
        <v>410</v>
      </c>
      <c r="C34" s="5" t="s">
        <v>136</v>
      </c>
      <c r="D34" s="6" t="s">
        <v>411</v>
      </c>
      <c r="F34" s="29" t="s">
        <v>17</v>
      </c>
      <c r="G34" s="30"/>
      <c r="H34" s="31" t="s">
        <v>18</v>
      </c>
      <c r="J34" s="33"/>
      <c r="L34" t="s">
        <v>410</v>
      </c>
      <c r="M34" s="35">
        <v>0.43</v>
      </c>
      <c r="N34" s="35">
        <v>0.38</v>
      </c>
      <c r="O34" s="32">
        <v>0.33</v>
      </c>
      <c r="AH34" s="5">
        <v>161</v>
      </c>
      <c r="AN34" s="13">
        <v>0.76</v>
      </c>
    </row>
    <row r="35" spans="1:40" x14ac:dyDescent="0.2">
      <c r="A35" t="s">
        <v>412</v>
      </c>
      <c r="C35" s="5" t="s">
        <v>15</v>
      </c>
      <c r="D35" s="5" t="s">
        <v>413</v>
      </c>
      <c r="E35" s="5"/>
      <c r="F35" s="29" t="s">
        <v>17</v>
      </c>
      <c r="G35" s="30"/>
      <c r="H35" s="31" t="s">
        <v>18</v>
      </c>
      <c r="J35" s="33"/>
      <c r="L35" t="s">
        <v>412</v>
      </c>
      <c r="M35" s="32">
        <v>0.46</v>
      </c>
      <c r="N35" s="32">
        <v>8.5999999999999993E-2</v>
      </c>
      <c r="O35" s="32">
        <v>0.94099999999999995</v>
      </c>
      <c r="AH35" s="5">
        <v>229</v>
      </c>
    </row>
    <row r="36" spans="1:40" x14ac:dyDescent="0.2">
      <c r="A36" t="s">
        <v>329</v>
      </c>
      <c r="C36" s="5" t="s">
        <v>30</v>
      </c>
      <c r="D36" s="6" t="s">
        <v>330</v>
      </c>
      <c r="F36" s="29" t="s">
        <v>17</v>
      </c>
      <c r="G36" s="30"/>
      <c r="H36" s="31" t="s">
        <v>18</v>
      </c>
      <c r="J36" s="33"/>
      <c r="K36" t="s">
        <v>832</v>
      </c>
      <c r="L36" t="s">
        <v>329</v>
      </c>
      <c r="M36" s="35">
        <v>0.34</v>
      </c>
      <c r="N36" s="35">
        <v>0.92</v>
      </c>
      <c r="O36" s="32">
        <v>0.26</v>
      </c>
      <c r="AH36" s="5">
        <v>253</v>
      </c>
    </row>
    <row r="37" spans="1:40" x14ac:dyDescent="0.2">
      <c r="A37" t="s">
        <v>414</v>
      </c>
      <c r="C37" s="5" t="s">
        <v>23</v>
      </c>
      <c r="D37" s="5" t="s">
        <v>325</v>
      </c>
      <c r="E37" s="5"/>
      <c r="F37" s="29" t="s">
        <v>17</v>
      </c>
      <c r="G37" s="30"/>
      <c r="H37" s="31" t="s">
        <v>18</v>
      </c>
      <c r="J37" s="33"/>
      <c r="L37" t="s">
        <v>414</v>
      </c>
      <c r="M37" s="32">
        <v>0.77200000000000002</v>
      </c>
      <c r="N37" s="32">
        <v>0.32200000000000001</v>
      </c>
      <c r="O37" s="32">
        <v>0.76900000000000002</v>
      </c>
      <c r="AH37" s="5">
        <v>68</v>
      </c>
      <c r="AN37" s="13">
        <v>0.82</v>
      </c>
    </row>
    <row r="38" spans="1:40" x14ac:dyDescent="0.2">
      <c r="A38" t="s">
        <v>248</v>
      </c>
      <c r="C38" s="5" t="s">
        <v>15</v>
      </c>
      <c r="D38" s="6" t="s">
        <v>50</v>
      </c>
      <c r="F38" s="29" t="s">
        <v>17</v>
      </c>
      <c r="G38" s="30"/>
      <c r="H38" s="31" t="s">
        <v>18</v>
      </c>
      <c r="J38" s="33"/>
      <c r="L38" t="s">
        <v>836</v>
      </c>
      <c r="M38" s="35">
        <v>0.77</v>
      </c>
      <c r="N38" s="35">
        <v>0.21</v>
      </c>
      <c r="O38" s="32">
        <v>0.98</v>
      </c>
      <c r="AH38" s="5">
        <v>45</v>
      </c>
      <c r="AN38" s="13"/>
    </row>
    <row r="39" spans="1:40" x14ac:dyDescent="0.2">
      <c r="A39" t="s">
        <v>415</v>
      </c>
      <c r="C39" s="5" t="s">
        <v>225</v>
      </c>
      <c r="D39" s="6" t="s">
        <v>226</v>
      </c>
      <c r="F39" s="29" t="s">
        <v>17</v>
      </c>
      <c r="G39" s="30"/>
      <c r="H39" s="31" t="s">
        <v>18</v>
      </c>
      <c r="J39" s="33"/>
      <c r="K39" t="s">
        <v>837</v>
      </c>
      <c r="L39" t="s">
        <v>415</v>
      </c>
      <c r="M39" s="35">
        <v>0.44</v>
      </c>
      <c r="N39" s="35">
        <v>0.8</v>
      </c>
      <c r="O39" s="32">
        <v>0.31</v>
      </c>
      <c r="P39" t="s">
        <v>833</v>
      </c>
      <c r="R39" t="s">
        <v>834</v>
      </c>
      <c r="S39" t="s">
        <v>835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 s="5">
        <v>66</v>
      </c>
      <c r="AL39">
        <v>2</v>
      </c>
      <c r="AM39" s="36">
        <f>AL39/AH39</f>
        <v>3.0303030303030304E-2</v>
      </c>
      <c r="AN39" s="13">
        <v>0.69</v>
      </c>
    </row>
    <row r="40" spans="1:40" x14ac:dyDescent="0.2">
      <c r="A40" t="s">
        <v>416</v>
      </c>
      <c r="B40" s="5" t="s">
        <v>838</v>
      </c>
      <c r="C40" s="5" t="s">
        <v>42</v>
      </c>
      <c r="D40" s="6" t="s">
        <v>153</v>
      </c>
      <c r="F40" s="29" t="s">
        <v>17</v>
      </c>
      <c r="G40" s="30" t="s">
        <v>25</v>
      </c>
      <c r="H40" s="34" t="s">
        <v>39</v>
      </c>
      <c r="J40" s="33"/>
      <c r="K40" t="s">
        <v>839</v>
      </c>
      <c r="L40" t="s">
        <v>840</v>
      </c>
      <c r="M40" s="35">
        <v>0.6</v>
      </c>
      <c r="N40" s="35">
        <v>0.03</v>
      </c>
      <c r="O40" s="32">
        <v>0.95</v>
      </c>
      <c r="P40" t="s">
        <v>833</v>
      </c>
      <c r="R40" t="s">
        <v>834</v>
      </c>
      <c r="S40" t="s">
        <v>835</v>
      </c>
      <c r="T40">
        <v>16</v>
      </c>
      <c r="U40">
        <v>5</v>
      </c>
      <c r="V40">
        <v>0</v>
      </c>
      <c r="W40">
        <v>0</v>
      </c>
      <c r="X40">
        <v>16</v>
      </c>
      <c r="Y40">
        <v>22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38</v>
      </c>
      <c r="AF40">
        <v>0</v>
      </c>
      <c r="AG40">
        <v>0</v>
      </c>
      <c r="AH40" s="5">
        <v>75</v>
      </c>
      <c r="AL40">
        <v>38</v>
      </c>
      <c r="AM40" s="36">
        <f>AL40/AH40</f>
        <v>0.50666666666666671</v>
      </c>
    </row>
    <row r="41" spans="1:40" x14ac:dyDescent="0.2">
      <c r="A41" t="s">
        <v>417</v>
      </c>
      <c r="C41" s="5" t="s">
        <v>418</v>
      </c>
      <c r="D41" s="5" t="s">
        <v>804</v>
      </c>
      <c r="E41" s="5"/>
      <c r="F41" s="29" t="s">
        <v>17</v>
      </c>
      <c r="G41" s="30"/>
      <c r="H41" s="31" t="s">
        <v>18</v>
      </c>
      <c r="J41" s="33"/>
      <c r="L41" t="s">
        <v>417</v>
      </c>
      <c r="M41" s="32"/>
      <c r="N41" s="32"/>
      <c r="O41" s="32"/>
      <c r="AH41" s="5">
        <v>189</v>
      </c>
    </row>
    <row r="42" spans="1:40" x14ac:dyDescent="0.2">
      <c r="A42" t="s">
        <v>420</v>
      </c>
      <c r="C42" s="5" t="s">
        <v>33</v>
      </c>
      <c r="D42" s="5" t="s">
        <v>421</v>
      </c>
      <c r="E42" s="5"/>
      <c r="F42" s="29" t="s">
        <v>17</v>
      </c>
      <c r="G42" s="30"/>
      <c r="H42" s="31" t="s">
        <v>18</v>
      </c>
      <c r="J42" s="33"/>
      <c r="L42" t="s">
        <v>420</v>
      </c>
      <c r="M42" s="32">
        <v>0.66800000000000004</v>
      </c>
      <c r="N42" s="32">
        <v>0.47499999999999998</v>
      </c>
      <c r="O42" s="32">
        <v>6.3E-2</v>
      </c>
      <c r="AH42" s="5">
        <v>156</v>
      </c>
    </row>
    <row r="43" spans="1:40" x14ac:dyDescent="0.2">
      <c r="A43" t="s">
        <v>422</v>
      </c>
      <c r="B43" s="5" t="s">
        <v>841</v>
      </c>
      <c r="C43" s="5" t="s">
        <v>58</v>
      </c>
      <c r="D43" s="6" t="s">
        <v>122</v>
      </c>
      <c r="F43" s="29" t="s">
        <v>17</v>
      </c>
      <c r="G43" s="30" t="s">
        <v>25</v>
      </c>
      <c r="H43" s="34" t="s">
        <v>39</v>
      </c>
      <c r="J43" s="33"/>
      <c r="K43" t="s">
        <v>842</v>
      </c>
      <c r="L43" t="s">
        <v>422</v>
      </c>
      <c r="M43" s="35">
        <v>0.33</v>
      </c>
      <c r="N43" s="35">
        <v>0.5</v>
      </c>
      <c r="O43" s="32">
        <v>0.75</v>
      </c>
      <c r="P43" t="s">
        <v>833</v>
      </c>
      <c r="R43" t="s">
        <v>834</v>
      </c>
      <c r="S43" t="s">
        <v>835</v>
      </c>
      <c r="T43">
        <v>0</v>
      </c>
      <c r="U43">
        <v>0</v>
      </c>
      <c r="V43">
        <v>0</v>
      </c>
      <c r="W43">
        <v>0</v>
      </c>
      <c r="X43">
        <v>0</v>
      </c>
      <c r="Y43">
        <v>57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57</v>
      </c>
      <c r="AF43">
        <v>0</v>
      </c>
      <c r="AG43">
        <v>0</v>
      </c>
      <c r="AH43" s="5">
        <v>57</v>
      </c>
      <c r="AL43">
        <v>56</v>
      </c>
      <c r="AM43" s="36">
        <f>AL43/AH43</f>
        <v>0.98245614035087714</v>
      </c>
    </row>
    <row r="44" spans="1:40" x14ac:dyDescent="0.2">
      <c r="A44" t="s">
        <v>423</v>
      </c>
      <c r="C44" s="5" t="s">
        <v>23</v>
      </c>
      <c r="D44" s="5" t="s">
        <v>424</v>
      </c>
      <c r="E44" s="5"/>
      <c r="F44" s="29" t="s">
        <v>17</v>
      </c>
      <c r="G44" s="30"/>
      <c r="H44" s="31" t="s">
        <v>18</v>
      </c>
      <c r="J44" s="33"/>
      <c r="L44" t="s">
        <v>423</v>
      </c>
      <c r="M44" s="32">
        <v>0.497</v>
      </c>
      <c r="N44" s="32">
        <v>0.23499999999999999</v>
      </c>
      <c r="O44" s="32">
        <v>0.81200000000000006</v>
      </c>
      <c r="AH44" s="5">
        <v>10</v>
      </c>
    </row>
    <row r="45" spans="1:40" x14ac:dyDescent="0.2">
      <c r="A45" t="s">
        <v>348</v>
      </c>
      <c r="B45" s="5" t="s">
        <v>843</v>
      </c>
      <c r="C45" s="5" t="s">
        <v>139</v>
      </c>
      <c r="D45" s="6" t="s">
        <v>349</v>
      </c>
      <c r="F45" s="29" t="s">
        <v>17</v>
      </c>
      <c r="G45" s="30" t="s">
        <v>25</v>
      </c>
      <c r="H45" s="34" t="s">
        <v>39</v>
      </c>
      <c r="I45" s="7" t="s">
        <v>236</v>
      </c>
      <c r="J45" s="37" t="s">
        <v>18</v>
      </c>
      <c r="K45" t="s">
        <v>842</v>
      </c>
      <c r="L45" t="s">
        <v>844</v>
      </c>
      <c r="M45" s="35">
        <v>0.56000000000000005</v>
      </c>
      <c r="N45" s="35">
        <v>0.18</v>
      </c>
      <c r="O45" s="32">
        <v>0.89</v>
      </c>
      <c r="P45" t="s">
        <v>833</v>
      </c>
      <c r="R45" t="s">
        <v>834</v>
      </c>
      <c r="S45" t="s">
        <v>835</v>
      </c>
      <c r="T45">
        <v>0</v>
      </c>
      <c r="U45">
        <v>0</v>
      </c>
      <c r="V45">
        <v>0</v>
      </c>
      <c r="W45">
        <v>0</v>
      </c>
      <c r="X45">
        <v>0</v>
      </c>
      <c r="Y45">
        <v>10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</v>
      </c>
      <c r="AF45">
        <v>0</v>
      </c>
      <c r="AG45">
        <v>0</v>
      </c>
      <c r="AH45" s="5">
        <v>20</v>
      </c>
      <c r="AI45" s="5">
        <v>20</v>
      </c>
      <c r="AJ45" s="5">
        <v>20</v>
      </c>
      <c r="AL45">
        <v>7</v>
      </c>
      <c r="AM45" s="36">
        <f>AL45/AH45</f>
        <v>0.35</v>
      </c>
    </row>
    <row r="46" spans="1:40" x14ac:dyDescent="0.2">
      <c r="A46" t="s">
        <v>425</v>
      </c>
      <c r="C46" s="5" t="s">
        <v>33</v>
      </c>
      <c r="D46" s="5" t="s">
        <v>426</v>
      </c>
      <c r="E46" s="5"/>
      <c r="F46" s="29" t="s">
        <v>17</v>
      </c>
      <c r="G46" s="30"/>
      <c r="H46" s="31" t="s">
        <v>18</v>
      </c>
      <c r="J46" s="33"/>
      <c r="L46" t="s">
        <v>425</v>
      </c>
      <c r="M46" s="32">
        <v>0.90200000000000002</v>
      </c>
      <c r="N46" s="32">
        <v>0.85599999999999998</v>
      </c>
      <c r="O46" s="32">
        <v>0.17899999999999999</v>
      </c>
      <c r="AH46" s="5">
        <v>32</v>
      </c>
      <c r="AN46" s="13">
        <v>0.9</v>
      </c>
    </row>
    <row r="47" spans="1:40" x14ac:dyDescent="0.2">
      <c r="A47" t="s">
        <v>427</v>
      </c>
      <c r="C47" s="5" t="s">
        <v>30</v>
      </c>
      <c r="D47" s="5" t="s">
        <v>120</v>
      </c>
      <c r="E47" s="5"/>
      <c r="F47" s="29" t="s">
        <v>17</v>
      </c>
      <c r="G47" s="30"/>
      <c r="H47" s="31" t="s">
        <v>18</v>
      </c>
      <c r="J47" s="33"/>
      <c r="L47" t="s">
        <v>427</v>
      </c>
      <c r="M47" s="32">
        <v>0.221</v>
      </c>
      <c r="N47" s="32">
        <v>0.59899999999999998</v>
      </c>
      <c r="O47" s="32">
        <v>0.98799999999999999</v>
      </c>
      <c r="AH47" s="5">
        <v>23</v>
      </c>
    </row>
    <row r="48" spans="1:40" x14ac:dyDescent="0.2">
      <c r="A48" t="s">
        <v>428</v>
      </c>
      <c r="B48" s="5" t="s">
        <v>845</v>
      </c>
      <c r="C48" s="5" t="s">
        <v>15</v>
      </c>
      <c r="D48" s="6" t="s">
        <v>76</v>
      </c>
      <c r="F48" s="29" t="s">
        <v>17</v>
      </c>
      <c r="G48" s="30" t="s">
        <v>25</v>
      </c>
      <c r="H48" s="34" t="s">
        <v>39</v>
      </c>
      <c r="J48" s="33"/>
      <c r="K48" t="s">
        <v>842</v>
      </c>
      <c r="L48" t="s">
        <v>846</v>
      </c>
      <c r="M48" s="35">
        <v>0.64</v>
      </c>
      <c r="N48" s="35">
        <v>0.42</v>
      </c>
      <c r="O48" s="32">
        <v>0.36</v>
      </c>
      <c r="P48" t="s">
        <v>833</v>
      </c>
      <c r="R48" t="s">
        <v>834</v>
      </c>
      <c r="S48" t="s">
        <v>835</v>
      </c>
      <c r="T48">
        <v>12</v>
      </c>
      <c r="U48">
        <v>4</v>
      </c>
      <c r="V48">
        <v>0</v>
      </c>
      <c r="W48">
        <v>0</v>
      </c>
      <c r="X48">
        <v>0</v>
      </c>
      <c r="Y48">
        <v>24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36</v>
      </c>
      <c r="AF48">
        <v>0</v>
      </c>
      <c r="AG48">
        <v>0</v>
      </c>
      <c r="AH48" s="5">
        <v>36</v>
      </c>
      <c r="AI48" s="5">
        <v>36</v>
      </c>
      <c r="AJ48" s="5">
        <v>28</v>
      </c>
      <c r="AL48">
        <v>28</v>
      </c>
      <c r="AM48" s="36">
        <f>AL48/AH48</f>
        <v>0.77777777777777779</v>
      </c>
    </row>
    <row r="49" spans="1:40" x14ac:dyDescent="0.2">
      <c r="A49" t="s">
        <v>332</v>
      </c>
      <c r="C49" s="5" t="s">
        <v>15</v>
      </c>
      <c r="D49" s="6" t="s">
        <v>333</v>
      </c>
      <c r="F49" s="29" t="s">
        <v>17</v>
      </c>
      <c r="G49" s="30"/>
      <c r="H49" s="31" t="s">
        <v>18</v>
      </c>
      <c r="J49" s="33"/>
      <c r="L49" t="s">
        <v>332</v>
      </c>
      <c r="M49" s="35">
        <v>0.79</v>
      </c>
      <c r="N49" s="35">
        <v>7.0000000000000007E-2</v>
      </c>
      <c r="O49" s="32">
        <v>0.76</v>
      </c>
      <c r="AH49" s="5">
        <v>16</v>
      </c>
      <c r="AI49" s="5">
        <v>15</v>
      </c>
    </row>
    <row r="50" spans="1:40" x14ac:dyDescent="0.2">
      <c r="A50" t="s">
        <v>429</v>
      </c>
      <c r="C50" s="5" t="s">
        <v>15</v>
      </c>
      <c r="D50" s="6" t="s">
        <v>333</v>
      </c>
      <c r="F50" s="29" t="s">
        <v>17</v>
      </c>
      <c r="G50" s="30"/>
      <c r="H50" s="31" t="s">
        <v>18</v>
      </c>
      <c r="J50" s="33"/>
      <c r="L50" t="s">
        <v>429</v>
      </c>
      <c r="M50" s="35">
        <v>0.79</v>
      </c>
      <c r="N50" s="35">
        <v>7.0000000000000007E-2</v>
      </c>
      <c r="O50" s="32">
        <v>0.76</v>
      </c>
      <c r="AH50" s="5">
        <v>21</v>
      </c>
      <c r="AI50" s="5">
        <v>21</v>
      </c>
      <c r="AN50" s="13">
        <v>0.83</v>
      </c>
    </row>
    <row r="51" spans="1:40" x14ac:dyDescent="0.2">
      <c r="A51" t="s">
        <v>430</v>
      </c>
      <c r="C51" s="5" t="s">
        <v>30</v>
      </c>
      <c r="D51" s="5" t="s">
        <v>221</v>
      </c>
      <c r="E51" s="5"/>
      <c r="F51" s="29" t="s">
        <v>17</v>
      </c>
      <c r="G51" s="30"/>
      <c r="H51" s="31" t="s">
        <v>18</v>
      </c>
      <c r="J51" s="33"/>
      <c r="L51" t="s">
        <v>430</v>
      </c>
      <c r="M51" s="32">
        <v>0.54200000000000004</v>
      </c>
      <c r="N51" s="32">
        <v>0.52600000000000002</v>
      </c>
      <c r="O51" s="32">
        <v>0.97099999999999997</v>
      </c>
      <c r="AH51" s="14"/>
      <c r="AI51" s="5">
        <v>18</v>
      </c>
    </row>
    <row r="52" spans="1:40" x14ac:dyDescent="0.2">
      <c r="A52" t="s">
        <v>431</v>
      </c>
      <c r="C52" s="5" t="s">
        <v>418</v>
      </c>
      <c r="D52" s="6" t="s">
        <v>432</v>
      </c>
      <c r="F52" s="29" t="s">
        <v>17</v>
      </c>
      <c r="G52" s="30"/>
      <c r="H52" s="31" t="s">
        <v>18</v>
      </c>
      <c r="J52" s="33"/>
      <c r="L52" t="s">
        <v>431</v>
      </c>
      <c r="M52" s="35">
        <v>0.34</v>
      </c>
      <c r="N52" s="35">
        <v>0.85</v>
      </c>
      <c r="O52" s="32">
        <v>7.0000000000000007E-2</v>
      </c>
      <c r="AH52" s="5">
        <v>189</v>
      </c>
      <c r="AI52" s="5">
        <v>187</v>
      </c>
    </row>
    <row r="53" spans="1:40" x14ac:dyDescent="0.2">
      <c r="A53" t="s">
        <v>360</v>
      </c>
      <c r="C53" s="5" t="s">
        <v>273</v>
      </c>
      <c r="D53" s="6" t="s">
        <v>361</v>
      </c>
      <c r="F53" s="29" t="s">
        <v>17</v>
      </c>
      <c r="G53" s="38" t="s">
        <v>25</v>
      </c>
      <c r="H53" s="31" t="s">
        <v>18</v>
      </c>
      <c r="J53" s="33"/>
      <c r="L53" t="s">
        <v>360</v>
      </c>
      <c r="M53" s="35">
        <v>0.71</v>
      </c>
      <c r="N53" s="35">
        <v>0.71</v>
      </c>
      <c r="O53" s="32">
        <v>0.28000000000000003</v>
      </c>
      <c r="AH53" s="5">
        <v>119</v>
      </c>
    </row>
    <row r="54" spans="1:40" x14ac:dyDescent="0.2">
      <c r="A54" t="s">
        <v>433</v>
      </c>
      <c r="C54" s="5" t="s">
        <v>273</v>
      </c>
      <c r="D54" s="5" t="s">
        <v>434</v>
      </c>
      <c r="E54" s="5"/>
      <c r="F54" s="29" t="s">
        <v>17</v>
      </c>
      <c r="G54" s="30"/>
      <c r="H54" s="31" t="s">
        <v>18</v>
      </c>
      <c r="J54" s="33"/>
      <c r="L54" t="s">
        <v>433</v>
      </c>
      <c r="M54" s="32">
        <v>0.66700000000000004</v>
      </c>
      <c r="N54" s="32">
        <v>0.79700000000000004</v>
      </c>
      <c r="O54" s="32">
        <v>0.497</v>
      </c>
      <c r="AH54" s="5">
        <v>105</v>
      </c>
      <c r="AN54" s="13">
        <v>0.93</v>
      </c>
    </row>
    <row r="55" spans="1:40" x14ac:dyDescent="0.2">
      <c r="A55" t="s">
        <v>331</v>
      </c>
      <c r="C55" s="5" t="s">
        <v>45</v>
      </c>
      <c r="D55" s="6" t="s">
        <v>128</v>
      </c>
      <c r="F55" s="29" t="s">
        <v>17</v>
      </c>
      <c r="G55" s="30" t="s">
        <v>25</v>
      </c>
      <c r="H55" s="31" t="s">
        <v>18</v>
      </c>
      <c r="J55" s="33"/>
      <c r="L55" t="s">
        <v>331</v>
      </c>
      <c r="M55" s="35">
        <v>0.25</v>
      </c>
      <c r="N55" s="35">
        <v>0.6</v>
      </c>
      <c r="O55" s="32">
        <v>0.55000000000000004</v>
      </c>
      <c r="AH55" s="5">
        <v>106</v>
      </c>
    </row>
    <row r="56" spans="1:40" x14ac:dyDescent="0.2">
      <c r="A56" t="s">
        <v>435</v>
      </c>
      <c r="C56" s="5" t="s">
        <v>45</v>
      </c>
      <c r="D56" s="5" t="s">
        <v>128</v>
      </c>
      <c r="E56" s="5"/>
      <c r="F56" s="29" t="s">
        <v>17</v>
      </c>
      <c r="G56" s="30"/>
      <c r="H56" s="31" t="s">
        <v>18</v>
      </c>
      <c r="J56" s="33"/>
      <c r="L56" t="s">
        <v>435</v>
      </c>
      <c r="M56" s="32">
        <v>0.25</v>
      </c>
      <c r="N56" s="32">
        <v>0.59799999999999998</v>
      </c>
      <c r="O56" s="32">
        <v>0.54900000000000004</v>
      </c>
      <c r="AH56" s="5">
        <v>106</v>
      </c>
      <c r="AN56" s="13">
        <v>0.82</v>
      </c>
    </row>
    <row r="57" spans="1:40" x14ac:dyDescent="0.2">
      <c r="A57" t="s">
        <v>436</v>
      </c>
      <c r="C57" s="5" t="s">
        <v>15</v>
      </c>
      <c r="D57" s="5" t="s">
        <v>437</v>
      </c>
      <c r="E57" s="5"/>
      <c r="F57" s="29" t="s">
        <v>17</v>
      </c>
      <c r="G57" s="38" t="s">
        <v>25</v>
      </c>
      <c r="H57" s="34" t="s">
        <v>26</v>
      </c>
      <c r="J57" s="33"/>
      <c r="L57" t="s">
        <v>436</v>
      </c>
      <c r="M57" s="32">
        <v>0.308</v>
      </c>
      <c r="N57" s="32">
        <v>0.54600000000000004</v>
      </c>
      <c r="O57" s="32">
        <v>0.26200000000000001</v>
      </c>
      <c r="AH57" s="5">
        <v>178</v>
      </c>
    </row>
    <row r="58" spans="1:40" x14ac:dyDescent="0.2">
      <c r="A58" t="s">
        <v>802</v>
      </c>
      <c r="C58" s="5" t="s">
        <v>30</v>
      </c>
      <c r="D58" s="5" t="s">
        <v>31</v>
      </c>
      <c r="E58" s="5"/>
      <c r="F58" s="29" t="s">
        <v>17</v>
      </c>
      <c r="G58" s="30"/>
      <c r="H58" s="31" t="s">
        <v>18</v>
      </c>
      <c r="J58" s="33"/>
      <c r="L58" t="s">
        <v>802</v>
      </c>
      <c r="M58" s="32">
        <v>0.76100000000000001</v>
      </c>
      <c r="N58" s="32">
        <v>4.9000000000000002E-2</v>
      </c>
      <c r="O58" s="32">
        <v>0.997</v>
      </c>
      <c r="AH58" s="5">
        <v>12</v>
      </c>
    </row>
    <row r="59" spans="1:40" x14ac:dyDescent="0.2">
      <c r="A59" t="s">
        <v>439</v>
      </c>
      <c r="C59" s="5" t="s">
        <v>64</v>
      </c>
      <c r="D59" s="6" t="s">
        <v>440</v>
      </c>
      <c r="F59" s="29" t="s">
        <v>17</v>
      </c>
      <c r="G59" s="38" t="s">
        <v>25</v>
      </c>
      <c r="H59" s="31" t="s">
        <v>18</v>
      </c>
      <c r="J59" s="33"/>
      <c r="K59" t="s">
        <v>847</v>
      </c>
      <c r="L59" t="s">
        <v>439</v>
      </c>
      <c r="M59" s="35">
        <v>0.22</v>
      </c>
      <c r="N59" s="35">
        <v>0.65</v>
      </c>
      <c r="O59" s="32">
        <v>0.45</v>
      </c>
      <c r="AH59" s="5">
        <v>114</v>
      </c>
    </row>
    <row r="60" spans="1:40" x14ac:dyDescent="0.2">
      <c r="A60" t="s">
        <v>441</v>
      </c>
      <c r="C60" s="5" t="s">
        <v>64</v>
      </c>
      <c r="D60" s="5" t="s">
        <v>440</v>
      </c>
      <c r="E60" s="5"/>
      <c r="F60" s="29" t="s">
        <v>17</v>
      </c>
      <c r="G60" s="30"/>
      <c r="H60" s="31" t="s">
        <v>18</v>
      </c>
      <c r="J60" s="33"/>
      <c r="L60" t="s">
        <v>441</v>
      </c>
      <c r="M60" s="32">
        <v>0.215</v>
      </c>
      <c r="N60" s="32">
        <v>0.65400000000000003</v>
      </c>
      <c r="O60" s="32">
        <v>0.44700000000000001</v>
      </c>
      <c r="AH60" s="5">
        <v>114</v>
      </c>
    </row>
    <row r="61" spans="1:40" x14ac:dyDescent="0.2">
      <c r="A61" t="s">
        <v>258</v>
      </c>
      <c r="C61" s="5" t="s">
        <v>64</v>
      </c>
      <c r="D61" s="5" t="s">
        <v>65</v>
      </c>
      <c r="E61" s="5"/>
      <c r="F61" s="29" t="s">
        <v>17</v>
      </c>
      <c r="G61" s="30"/>
      <c r="H61" s="31" t="s">
        <v>18</v>
      </c>
      <c r="J61" s="33"/>
      <c r="L61" t="s">
        <v>258</v>
      </c>
      <c r="M61" s="32">
        <v>0.86499999999999999</v>
      </c>
      <c r="N61" s="32">
        <v>0.32800000000000001</v>
      </c>
      <c r="O61" s="32">
        <v>0.88300000000000001</v>
      </c>
      <c r="AH61" s="14" t="s">
        <v>259</v>
      </c>
    </row>
    <row r="62" spans="1:40" x14ac:dyDescent="0.2">
      <c r="A62" t="s">
        <v>442</v>
      </c>
      <c r="C62" s="5" t="s">
        <v>169</v>
      </c>
      <c r="D62" s="5" t="s">
        <v>170</v>
      </c>
      <c r="E62" s="5"/>
      <c r="F62" s="29" t="s">
        <v>17</v>
      </c>
      <c r="G62" s="30"/>
      <c r="H62" s="31" t="s">
        <v>18</v>
      </c>
      <c r="J62" s="33"/>
      <c r="L62" t="s">
        <v>442</v>
      </c>
      <c r="M62" s="32">
        <v>0.68600000000000005</v>
      </c>
      <c r="N62" s="32">
        <v>8.2000000000000003E-2</v>
      </c>
      <c r="O62" s="32">
        <v>1</v>
      </c>
      <c r="AH62" s="5">
        <v>9</v>
      </c>
      <c r="AN62" s="13">
        <v>0.7</v>
      </c>
    </row>
    <row r="63" spans="1:40" x14ac:dyDescent="0.2">
      <c r="A63" t="s">
        <v>443</v>
      </c>
      <c r="C63" s="5" t="s">
        <v>64</v>
      </c>
      <c r="D63" s="6" t="s">
        <v>226</v>
      </c>
      <c r="F63" s="29" t="s">
        <v>17</v>
      </c>
      <c r="G63" s="38" t="s">
        <v>25</v>
      </c>
      <c r="H63" s="31" t="s">
        <v>18</v>
      </c>
      <c r="J63" s="33"/>
      <c r="K63" t="s">
        <v>847</v>
      </c>
      <c r="L63" t="s">
        <v>443</v>
      </c>
      <c r="M63" s="35">
        <v>0.44</v>
      </c>
      <c r="N63" s="35">
        <v>0.8</v>
      </c>
      <c r="O63" s="32">
        <v>0.31</v>
      </c>
      <c r="P63" t="s">
        <v>833</v>
      </c>
      <c r="R63" t="s">
        <v>834</v>
      </c>
      <c r="S63" t="s">
        <v>835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 s="5">
        <v>93</v>
      </c>
      <c r="AL63">
        <v>2</v>
      </c>
      <c r="AM63" s="36">
        <f>AL63/AH63</f>
        <v>2.1505376344086023E-2</v>
      </c>
    </row>
    <row r="64" spans="1:40" x14ac:dyDescent="0.2">
      <c r="A64" t="s">
        <v>444</v>
      </c>
      <c r="C64" s="5" t="s">
        <v>64</v>
      </c>
      <c r="D64" s="5" t="s">
        <v>445</v>
      </c>
      <c r="E64" s="5"/>
      <c r="F64" s="29" t="s">
        <v>17</v>
      </c>
      <c r="G64" s="30"/>
      <c r="H64" s="31" t="s">
        <v>18</v>
      </c>
      <c r="J64" s="33"/>
      <c r="L64" t="s">
        <v>444</v>
      </c>
      <c r="M64" s="32">
        <v>0.31</v>
      </c>
      <c r="N64" s="32">
        <v>0.95499999999999996</v>
      </c>
      <c r="O64" s="32">
        <v>8.0000000000000002E-3</v>
      </c>
      <c r="AH64" s="5">
        <v>93</v>
      </c>
    </row>
    <row r="65" spans="1:40" x14ac:dyDescent="0.2">
      <c r="A65" t="s">
        <v>446</v>
      </c>
      <c r="C65" s="5" t="s">
        <v>45</v>
      </c>
      <c r="D65" s="6" t="s">
        <v>447</v>
      </c>
      <c r="F65" s="29" t="s">
        <v>17</v>
      </c>
      <c r="G65" s="38" t="s">
        <v>25</v>
      </c>
      <c r="H65" s="34" t="s">
        <v>26</v>
      </c>
      <c r="J65" s="33"/>
      <c r="L65" t="s">
        <v>446</v>
      </c>
      <c r="M65" s="35">
        <v>0.48</v>
      </c>
      <c r="N65" s="35">
        <v>0.37</v>
      </c>
      <c r="O65" s="32">
        <v>0.66</v>
      </c>
      <c r="AH65" s="5">
        <v>20</v>
      </c>
    </row>
    <row r="66" spans="1:40" x14ac:dyDescent="0.2">
      <c r="A66" t="s">
        <v>448</v>
      </c>
      <c r="C66" s="5" t="s">
        <v>64</v>
      </c>
      <c r="D66" s="5" t="s">
        <v>449</v>
      </c>
      <c r="E66" s="5"/>
      <c r="F66" s="29" t="s">
        <v>17</v>
      </c>
      <c r="G66" s="30"/>
      <c r="H66" s="34" t="s">
        <v>26</v>
      </c>
      <c r="J66" s="33"/>
      <c r="L66" t="s">
        <v>448</v>
      </c>
      <c r="M66" s="32">
        <v>0.47899999999999998</v>
      </c>
      <c r="N66" s="32">
        <v>0.29499999999999998</v>
      </c>
      <c r="O66" s="32">
        <v>0.50900000000000001</v>
      </c>
      <c r="AH66" s="5">
        <v>30</v>
      </c>
    </row>
    <row r="67" spans="1:40" x14ac:dyDescent="0.2">
      <c r="A67" t="s">
        <v>450</v>
      </c>
      <c r="C67" s="5" t="s">
        <v>23</v>
      </c>
      <c r="D67" s="6" t="s">
        <v>451</v>
      </c>
      <c r="F67" s="29" t="s">
        <v>17</v>
      </c>
      <c r="G67" s="38" t="s">
        <v>25</v>
      </c>
      <c r="H67" s="31" t="s">
        <v>18</v>
      </c>
      <c r="J67" s="33"/>
      <c r="K67" t="s">
        <v>847</v>
      </c>
      <c r="L67" t="s">
        <v>450</v>
      </c>
      <c r="M67" s="35">
        <v>0.25</v>
      </c>
      <c r="N67" s="35">
        <v>0.35</v>
      </c>
      <c r="O67" s="32">
        <v>0.71</v>
      </c>
      <c r="P67" t="s">
        <v>833</v>
      </c>
      <c r="R67" t="s">
        <v>834</v>
      </c>
      <c r="S67" t="s">
        <v>835</v>
      </c>
      <c r="T67">
        <v>21</v>
      </c>
      <c r="U67">
        <v>7</v>
      </c>
      <c r="V67">
        <v>0</v>
      </c>
      <c r="W67">
        <v>0</v>
      </c>
      <c r="X67">
        <v>21</v>
      </c>
      <c r="Y67">
        <v>3</v>
      </c>
      <c r="Z67">
        <v>0</v>
      </c>
      <c r="AA67">
        <v>0</v>
      </c>
      <c r="AB67">
        <v>3</v>
      </c>
      <c r="AC67">
        <v>0</v>
      </c>
      <c r="AD67">
        <v>0</v>
      </c>
      <c r="AE67">
        <v>24</v>
      </c>
      <c r="AF67">
        <v>0</v>
      </c>
      <c r="AG67">
        <v>0</v>
      </c>
      <c r="AH67" s="5">
        <v>32</v>
      </c>
      <c r="AL67">
        <v>12</v>
      </c>
      <c r="AM67" s="36">
        <f>AL67/AH67</f>
        <v>0.375</v>
      </c>
    </row>
    <row r="68" spans="1:40" x14ac:dyDescent="0.2">
      <c r="A68" t="s">
        <v>452</v>
      </c>
      <c r="C68" s="5" t="s">
        <v>45</v>
      </c>
      <c r="D68" s="5" t="s">
        <v>453</v>
      </c>
      <c r="E68" s="5"/>
      <c r="F68" s="29" t="s">
        <v>17</v>
      </c>
      <c r="G68" s="30"/>
      <c r="H68" s="31" t="s">
        <v>18</v>
      </c>
      <c r="J68" s="33"/>
      <c r="L68" t="s">
        <v>452</v>
      </c>
      <c r="M68" s="32">
        <v>0.68899999999999995</v>
      </c>
      <c r="N68" s="32">
        <v>0.13900000000000001</v>
      </c>
      <c r="O68" s="32">
        <v>0.90300000000000002</v>
      </c>
      <c r="AH68" s="5">
        <v>80</v>
      </c>
    </row>
    <row r="69" spans="1:40" x14ac:dyDescent="0.2">
      <c r="A69" t="s">
        <v>454</v>
      </c>
      <c r="C69" s="5" t="s">
        <v>15</v>
      </c>
      <c r="D69" s="6" t="s">
        <v>72</v>
      </c>
      <c r="F69" s="29" t="s">
        <v>17</v>
      </c>
      <c r="G69" s="38" t="s">
        <v>25</v>
      </c>
      <c r="H69" s="31" t="s">
        <v>18</v>
      </c>
      <c r="J69" s="33"/>
      <c r="L69" t="s">
        <v>454</v>
      </c>
      <c r="M69" s="35">
        <v>0.09</v>
      </c>
      <c r="N69" s="35">
        <v>0.34</v>
      </c>
      <c r="O69" s="32">
        <v>0.59</v>
      </c>
      <c r="P69" t="s">
        <v>833</v>
      </c>
      <c r="R69" t="s">
        <v>834</v>
      </c>
      <c r="S69" t="s">
        <v>835</v>
      </c>
      <c r="T69">
        <v>0</v>
      </c>
      <c r="U69">
        <v>0</v>
      </c>
      <c r="V69">
        <v>0</v>
      </c>
      <c r="W69">
        <v>0</v>
      </c>
      <c r="X69">
        <v>0</v>
      </c>
      <c r="Y69">
        <v>14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14</v>
      </c>
      <c r="AF69">
        <v>0</v>
      </c>
      <c r="AG69">
        <v>0</v>
      </c>
      <c r="AH69" s="5">
        <v>45</v>
      </c>
      <c r="AL69">
        <v>13</v>
      </c>
      <c r="AM69" s="36">
        <f>AL69/AH69</f>
        <v>0.28888888888888886</v>
      </c>
    </row>
    <row r="70" spans="1:40" x14ac:dyDescent="0.2">
      <c r="A70" t="s">
        <v>455</v>
      </c>
      <c r="B70" s="5" t="s">
        <v>845</v>
      </c>
      <c r="C70" s="5" t="s">
        <v>15</v>
      </c>
      <c r="D70" s="6" t="s">
        <v>264</v>
      </c>
      <c r="F70" s="29" t="s">
        <v>17</v>
      </c>
      <c r="G70" s="30" t="s">
        <v>25</v>
      </c>
      <c r="H70" s="34" t="s">
        <v>283</v>
      </c>
      <c r="I70" s="7" t="s">
        <v>236</v>
      </c>
      <c r="J70" s="31" t="s">
        <v>18</v>
      </c>
      <c r="K70" t="s">
        <v>848</v>
      </c>
      <c r="L70" t="s">
        <v>455</v>
      </c>
      <c r="M70" s="35">
        <v>0.16</v>
      </c>
      <c r="N70" s="35">
        <v>0.68</v>
      </c>
      <c r="O70" s="32">
        <v>0.76</v>
      </c>
      <c r="P70" t="s">
        <v>833</v>
      </c>
      <c r="R70" t="s">
        <v>834</v>
      </c>
      <c r="S70" t="s">
        <v>835</v>
      </c>
      <c r="T70">
        <v>0</v>
      </c>
      <c r="U70">
        <v>0</v>
      </c>
      <c r="V70">
        <v>0</v>
      </c>
      <c r="W70">
        <v>0</v>
      </c>
      <c r="X70">
        <v>0</v>
      </c>
      <c r="Y70">
        <v>49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49</v>
      </c>
      <c r="AF70">
        <v>0</v>
      </c>
      <c r="AG70">
        <v>0</v>
      </c>
      <c r="AH70" s="5">
        <v>49</v>
      </c>
      <c r="AL70">
        <v>48</v>
      </c>
      <c r="AM70" s="36">
        <f>AL70/AH70</f>
        <v>0.97959183673469385</v>
      </c>
    </row>
    <row r="71" spans="1:40" x14ac:dyDescent="0.2">
      <c r="A71" t="s">
        <v>456</v>
      </c>
      <c r="C71" s="5" t="s">
        <v>95</v>
      </c>
      <c r="D71" s="6" t="s">
        <v>457</v>
      </c>
      <c r="F71" s="29" t="s">
        <v>17</v>
      </c>
      <c r="G71" s="38" t="s">
        <v>25</v>
      </c>
      <c r="H71" s="31" t="s">
        <v>18</v>
      </c>
      <c r="J71" s="33"/>
      <c r="L71" t="s">
        <v>456</v>
      </c>
      <c r="M71" s="35">
        <v>0.45</v>
      </c>
      <c r="N71" s="35">
        <v>0.7</v>
      </c>
      <c r="O71" s="32">
        <v>0.51</v>
      </c>
      <c r="AH71" s="5">
        <v>17</v>
      </c>
    </row>
    <row r="72" spans="1:40" x14ac:dyDescent="0.2">
      <c r="A72" t="s">
        <v>458</v>
      </c>
      <c r="C72" s="5" t="s">
        <v>30</v>
      </c>
      <c r="D72" s="6" t="s">
        <v>84</v>
      </c>
      <c r="F72" s="29" t="s">
        <v>17</v>
      </c>
      <c r="G72" s="38" t="s">
        <v>25</v>
      </c>
      <c r="H72" s="31" t="s">
        <v>18</v>
      </c>
      <c r="J72" s="33"/>
      <c r="L72" t="s">
        <v>458</v>
      </c>
      <c r="M72" s="35">
        <v>0.25</v>
      </c>
      <c r="N72" s="35">
        <v>0.93</v>
      </c>
      <c r="O72" s="32">
        <v>0.67</v>
      </c>
      <c r="AH72" s="5">
        <v>81</v>
      </c>
    </row>
    <row r="73" spans="1:40" x14ac:dyDescent="0.2">
      <c r="A73" t="s">
        <v>459</v>
      </c>
      <c r="C73" s="5" t="s">
        <v>15</v>
      </c>
      <c r="D73" s="5" t="s">
        <v>50</v>
      </c>
      <c r="E73" s="5"/>
      <c r="F73" s="29" t="s">
        <v>17</v>
      </c>
      <c r="G73" s="38" t="s">
        <v>25</v>
      </c>
      <c r="H73" s="31" t="s">
        <v>18</v>
      </c>
      <c r="J73" s="33"/>
      <c r="L73" t="s">
        <v>459</v>
      </c>
      <c r="M73" s="32">
        <v>0.76700000000000002</v>
      </c>
      <c r="N73" s="32">
        <v>0.214</v>
      </c>
      <c r="O73" s="32">
        <v>0.98399999999999999</v>
      </c>
      <c r="AH73" s="14">
        <v>31</v>
      </c>
      <c r="AI73" s="14">
        <v>7</v>
      </c>
    </row>
    <row r="74" spans="1:40" x14ac:dyDescent="0.2">
      <c r="A74" t="s">
        <v>460</v>
      </c>
      <c r="C74" s="5" t="s">
        <v>15</v>
      </c>
      <c r="D74" s="6" t="s">
        <v>50</v>
      </c>
      <c r="F74" s="29" t="s">
        <v>17</v>
      </c>
      <c r="G74" s="38" t="s">
        <v>25</v>
      </c>
      <c r="H74" s="31" t="s">
        <v>18</v>
      </c>
      <c r="J74" s="33"/>
      <c r="L74" t="s">
        <v>460</v>
      </c>
      <c r="M74" s="35">
        <v>0.77</v>
      </c>
      <c r="N74" s="35">
        <v>0.21</v>
      </c>
      <c r="O74" s="32">
        <v>0.98</v>
      </c>
      <c r="AH74" s="5">
        <v>33</v>
      </c>
    </row>
    <row r="75" spans="1:40" x14ac:dyDescent="0.2">
      <c r="A75" t="s">
        <v>461</v>
      </c>
      <c r="C75" s="5" t="s">
        <v>64</v>
      </c>
      <c r="D75" s="5" t="s">
        <v>462</v>
      </c>
      <c r="E75" s="5"/>
      <c r="F75" s="29" t="s">
        <v>17</v>
      </c>
      <c r="G75" s="30"/>
      <c r="H75" s="31" t="s">
        <v>18</v>
      </c>
      <c r="J75" s="33"/>
      <c r="L75" t="s">
        <v>461</v>
      </c>
      <c r="M75" s="32">
        <v>0.21099999999999999</v>
      </c>
      <c r="N75" s="32">
        <v>0.379</v>
      </c>
      <c r="O75" s="32">
        <v>0.17799999999999999</v>
      </c>
      <c r="AH75" s="5">
        <v>21</v>
      </c>
    </row>
    <row r="76" spans="1:40" x14ac:dyDescent="0.2">
      <c r="A76" t="s">
        <v>277</v>
      </c>
      <c r="C76" s="5" t="s">
        <v>183</v>
      </c>
      <c r="D76" s="5" t="s">
        <v>278</v>
      </c>
      <c r="E76" s="5"/>
      <c r="F76" s="29" t="s">
        <v>17</v>
      </c>
      <c r="G76" s="38" t="s">
        <v>25</v>
      </c>
      <c r="H76" s="34" t="s">
        <v>26</v>
      </c>
      <c r="J76" s="33"/>
      <c r="L76" t="s">
        <v>277</v>
      </c>
      <c r="M76" s="32">
        <v>0.77100000000000002</v>
      </c>
      <c r="N76" s="32">
        <v>0</v>
      </c>
      <c r="O76" s="32">
        <v>0.97799999999999998</v>
      </c>
      <c r="AH76" s="5">
        <v>21</v>
      </c>
    </row>
    <row r="77" spans="1:40" x14ac:dyDescent="0.2">
      <c r="A77" t="s">
        <v>463</v>
      </c>
      <c r="C77" s="5" t="s">
        <v>30</v>
      </c>
      <c r="D77" s="6" t="s">
        <v>120</v>
      </c>
      <c r="F77" s="29" t="s">
        <v>17</v>
      </c>
      <c r="G77" s="38" t="s">
        <v>25</v>
      </c>
      <c r="H77" s="31" t="s">
        <v>18</v>
      </c>
      <c r="J77" s="33"/>
      <c r="K77" t="s">
        <v>832</v>
      </c>
      <c r="L77" t="s">
        <v>463</v>
      </c>
      <c r="M77" s="35">
        <v>0.22</v>
      </c>
      <c r="N77" s="35">
        <v>0.6</v>
      </c>
      <c r="O77" s="32">
        <v>0.99</v>
      </c>
      <c r="P77" t="s">
        <v>833</v>
      </c>
      <c r="Q77" t="s">
        <v>849</v>
      </c>
      <c r="R77" t="s">
        <v>834</v>
      </c>
      <c r="S77" t="s">
        <v>835</v>
      </c>
      <c r="T77">
        <v>51</v>
      </c>
      <c r="U77">
        <v>15</v>
      </c>
      <c r="V77">
        <v>0</v>
      </c>
      <c r="W77">
        <v>0</v>
      </c>
      <c r="X77">
        <v>0</v>
      </c>
      <c r="Y77">
        <v>155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206</v>
      </c>
      <c r="AF77">
        <v>0</v>
      </c>
      <c r="AG77">
        <v>0</v>
      </c>
      <c r="AH77" s="5">
        <v>58</v>
      </c>
      <c r="AL77">
        <v>192</v>
      </c>
      <c r="AM77" s="36">
        <f>AL77/AH77</f>
        <v>3.3103448275862069</v>
      </c>
      <c r="AN77" s="13">
        <v>0.72</v>
      </c>
    </row>
    <row r="78" spans="1:40" x14ac:dyDescent="0.2">
      <c r="A78" t="s">
        <v>464</v>
      </c>
      <c r="C78" s="5" t="s">
        <v>465</v>
      </c>
      <c r="D78" s="6" t="s">
        <v>466</v>
      </c>
      <c r="F78" s="29" t="s">
        <v>17</v>
      </c>
      <c r="G78" s="38" t="s">
        <v>25</v>
      </c>
      <c r="H78" s="34" t="s">
        <v>26</v>
      </c>
      <c r="J78" s="33"/>
      <c r="K78" t="s">
        <v>847</v>
      </c>
      <c r="L78" t="s">
        <v>464</v>
      </c>
      <c r="M78" s="35">
        <v>0.9</v>
      </c>
      <c r="N78" s="35">
        <v>0.41</v>
      </c>
      <c r="O78" s="32">
        <v>0.28999999999999998</v>
      </c>
      <c r="AH78" s="5">
        <v>35</v>
      </c>
    </row>
    <row r="79" spans="1:40" x14ac:dyDescent="0.2">
      <c r="A79" t="s">
        <v>467</v>
      </c>
      <c r="B79" s="5" t="s">
        <v>845</v>
      </c>
      <c r="C79" s="5" t="s">
        <v>15</v>
      </c>
      <c r="D79" s="6" t="s">
        <v>76</v>
      </c>
      <c r="F79" s="29" t="s">
        <v>17</v>
      </c>
      <c r="G79" s="38" t="s">
        <v>25</v>
      </c>
      <c r="H79" s="31" t="s">
        <v>18</v>
      </c>
      <c r="J79" s="33"/>
      <c r="K79" t="s">
        <v>842</v>
      </c>
      <c r="L79" t="s">
        <v>467</v>
      </c>
      <c r="M79" s="35">
        <v>0.64</v>
      </c>
      <c r="N79" s="35">
        <v>0.42</v>
      </c>
      <c r="O79" s="32">
        <v>0.36</v>
      </c>
      <c r="P79" s="13">
        <v>0.66</v>
      </c>
      <c r="R79" t="s">
        <v>834</v>
      </c>
      <c r="S79" t="s">
        <v>835</v>
      </c>
      <c r="T79">
        <v>0</v>
      </c>
      <c r="U79">
        <v>0</v>
      </c>
      <c r="V79">
        <v>0</v>
      </c>
      <c r="W79">
        <v>0</v>
      </c>
      <c r="X79">
        <v>0</v>
      </c>
      <c r="Y79">
        <v>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0</v>
      </c>
      <c r="AH79" s="5">
        <v>9</v>
      </c>
      <c r="AL79">
        <v>3</v>
      </c>
      <c r="AM79" s="36">
        <f>AL79/AH79</f>
        <v>0.33333333333333331</v>
      </c>
    </row>
    <row r="80" spans="1:40" x14ac:dyDescent="0.2">
      <c r="A80" t="s">
        <v>468</v>
      </c>
      <c r="C80" s="5" t="s">
        <v>15</v>
      </c>
      <c r="D80" s="5" t="s">
        <v>469</v>
      </c>
      <c r="E80" s="5"/>
      <c r="F80" s="29" t="s">
        <v>17</v>
      </c>
      <c r="G80" s="30"/>
      <c r="H80" s="31" t="s">
        <v>18</v>
      </c>
      <c r="J80" s="33"/>
      <c r="L80" t="s">
        <v>468</v>
      </c>
      <c r="M80" s="32">
        <v>0.86199999999999999</v>
      </c>
      <c r="N80" s="32">
        <v>0.38300000000000001</v>
      </c>
      <c r="O80" s="32">
        <v>0.48799999999999999</v>
      </c>
      <c r="AH80" s="5">
        <v>40</v>
      </c>
    </row>
    <row r="81" spans="1:44" x14ac:dyDescent="0.2">
      <c r="A81" t="s">
        <v>470</v>
      </c>
      <c r="C81" s="5" t="s">
        <v>15</v>
      </c>
      <c r="D81" s="6" t="s">
        <v>471</v>
      </c>
      <c r="F81" s="29" t="s">
        <v>17</v>
      </c>
      <c r="G81" s="38" t="s">
        <v>25</v>
      </c>
      <c r="H81" s="34" t="s">
        <v>39</v>
      </c>
      <c r="I81" s="31" t="s">
        <v>18</v>
      </c>
      <c r="J81" s="33"/>
      <c r="L81" t="s">
        <v>470</v>
      </c>
      <c r="M81" s="35">
        <v>0.94</v>
      </c>
      <c r="N81" s="35">
        <v>0.05</v>
      </c>
      <c r="O81" s="32">
        <v>0.99</v>
      </c>
      <c r="AH81" s="5">
        <v>22</v>
      </c>
    </row>
    <row r="82" spans="1:44" x14ac:dyDescent="0.2">
      <c r="A82" t="s">
        <v>472</v>
      </c>
      <c r="C82" s="5" t="s">
        <v>20</v>
      </c>
      <c r="D82" s="5" t="s">
        <v>155</v>
      </c>
      <c r="E82" s="5"/>
      <c r="F82" s="29" t="s">
        <v>17</v>
      </c>
      <c r="G82" s="30"/>
      <c r="H82" s="34" t="s">
        <v>26</v>
      </c>
      <c r="J82" s="33"/>
      <c r="L82" t="s">
        <v>472</v>
      </c>
      <c r="M82" s="32">
        <v>0.55700000000000005</v>
      </c>
      <c r="N82" s="32">
        <v>0.25800000000000001</v>
      </c>
      <c r="O82" s="32">
        <v>0.43</v>
      </c>
      <c r="AH82" s="5">
        <v>74</v>
      </c>
    </row>
    <row r="83" spans="1:44" x14ac:dyDescent="0.2">
      <c r="A83" t="s">
        <v>473</v>
      </c>
      <c r="C83" s="5" t="s">
        <v>139</v>
      </c>
      <c r="D83" s="5" t="s">
        <v>140</v>
      </c>
      <c r="E83" s="5"/>
      <c r="F83" s="29" t="s">
        <v>17</v>
      </c>
      <c r="G83" s="30"/>
      <c r="H83" s="31" t="s">
        <v>18</v>
      </c>
      <c r="J83" s="33"/>
      <c r="L83" t="s">
        <v>473</v>
      </c>
      <c r="M83" s="32">
        <v>0.89300000000000002</v>
      </c>
      <c r="N83" s="32">
        <v>0.307</v>
      </c>
      <c r="O83" s="32">
        <v>0.61399999999999999</v>
      </c>
      <c r="AH83" s="5">
        <v>9</v>
      </c>
    </row>
    <row r="84" spans="1:44" x14ac:dyDescent="0.2">
      <c r="A84" t="s">
        <v>474</v>
      </c>
      <c r="C84" s="5" t="s">
        <v>90</v>
      </c>
      <c r="D84" s="5" t="s">
        <v>298</v>
      </c>
      <c r="E84" s="5"/>
      <c r="F84" s="29" t="s">
        <v>17</v>
      </c>
      <c r="G84" s="30"/>
      <c r="H84" s="34" t="s">
        <v>26</v>
      </c>
      <c r="J84" s="33"/>
      <c r="L84" t="s">
        <v>474</v>
      </c>
      <c r="M84" s="32">
        <v>0.64100000000000001</v>
      </c>
      <c r="N84" s="32">
        <v>0.52700000000000002</v>
      </c>
      <c r="O84" s="32">
        <v>0.36899999999999999</v>
      </c>
      <c r="AH84" s="5">
        <v>72</v>
      </c>
    </row>
    <row r="85" spans="1:44" x14ac:dyDescent="0.2">
      <c r="A85" t="s">
        <v>475</v>
      </c>
      <c r="C85" s="5" t="s">
        <v>15</v>
      </c>
      <c r="D85" s="5" t="s">
        <v>118</v>
      </c>
      <c r="E85" s="5"/>
      <c r="F85" s="29" t="s">
        <v>17</v>
      </c>
      <c r="G85" s="30"/>
      <c r="H85" s="34" t="s">
        <v>39</v>
      </c>
      <c r="I85" s="31" t="s">
        <v>18</v>
      </c>
      <c r="J85" s="33"/>
      <c r="L85" t="s">
        <v>475</v>
      </c>
      <c r="M85" s="32">
        <v>0.79700000000000004</v>
      </c>
      <c r="N85" s="32">
        <v>8.2000000000000003E-2</v>
      </c>
      <c r="O85" s="32">
        <v>0.73799999999999999</v>
      </c>
      <c r="AH85" s="5">
        <v>4</v>
      </c>
    </row>
    <row r="86" spans="1:44" x14ac:dyDescent="0.2">
      <c r="A86" t="s">
        <v>476</v>
      </c>
      <c r="C86" s="5" t="s">
        <v>15</v>
      </c>
      <c r="D86" s="5" t="s">
        <v>477</v>
      </c>
      <c r="E86" s="5"/>
      <c r="F86" s="29" t="s">
        <v>17</v>
      </c>
      <c r="G86" s="30"/>
      <c r="H86" s="31" t="s">
        <v>18</v>
      </c>
      <c r="J86" s="33"/>
      <c r="L86" t="s">
        <v>476</v>
      </c>
      <c r="M86" s="32">
        <v>0.16900000000000001</v>
      </c>
      <c r="N86" s="32">
        <v>0.29699999999999999</v>
      </c>
      <c r="O86" s="32">
        <v>0.93700000000000006</v>
      </c>
      <c r="AH86" s="5">
        <v>12</v>
      </c>
    </row>
    <row r="87" spans="1:44" x14ac:dyDescent="0.2">
      <c r="A87" t="s">
        <v>478</v>
      </c>
      <c r="C87" s="5" t="s">
        <v>52</v>
      </c>
      <c r="D87" s="5" t="s">
        <v>479</v>
      </c>
      <c r="E87" s="5"/>
      <c r="F87" s="29" t="s">
        <v>17</v>
      </c>
      <c r="G87" s="30"/>
      <c r="H87" s="34" t="s">
        <v>26</v>
      </c>
      <c r="J87" s="33"/>
      <c r="L87" t="s">
        <v>478</v>
      </c>
      <c r="M87" s="32">
        <v>0.82899999999999996</v>
      </c>
      <c r="N87" s="32">
        <v>0.34399999999999997</v>
      </c>
      <c r="O87" s="32">
        <v>0.68200000000000005</v>
      </c>
      <c r="AH87" s="5">
        <v>55</v>
      </c>
    </row>
    <row r="88" spans="1:44" x14ac:dyDescent="0.2">
      <c r="A88" t="s">
        <v>480</v>
      </c>
      <c r="C88" s="5" t="s">
        <v>465</v>
      </c>
      <c r="D88" s="5" t="s">
        <v>466</v>
      </c>
      <c r="E88" s="5"/>
      <c r="F88" s="29" t="s">
        <v>17</v>
      </c>
      <c r="G88" s="38" t="s">
        <v>25</v>
      </c>
      <c r="H88" s="31" t="s">
        <v>18</v>
      </c>
      <c r="J88" s="33"/>
      <c r="L88" t="s">
        <v>480</v>
      </c>
      <c r="M88" s="32">
        <v>0.89500000000000002</v>
      </c>
      <c r="N88" s="32">
        <v>0.41199999999999998</v>
      </c>
      <c r="O88" s="32">
        <v>0.29399999999999998</v>
      </c>
      <c r="AH88" s="5" t="s">
        <v>481</v>
      </c>
    </row>
    <row r="89" spans="1:44" x14ac:dyDescent="0.2">
      <c r="A89" t="s">
        <v>482</v>
      </c>
      <c r="C89" s="5" t="s">
        <v>103</v>
      </c>
      <c r="D89" s="5" t="s">
        <v>132</v>
      </c>
      <c r="E89" s="5"/>
      <c r="F89" s="29" t="s">
        <v>17</v>
      </c>
      <c r="G89" s="30"/>
      <c r="H89" s="31" t="s">
        <v>18</v>
      </c>
      <c r="J89" s="33"/>
      <c r="L89" t="s">
        <v>482</v>
      </c>
      <c r="M89" s="32">
        <v>0.63500000000000001</v>
      </c>
      <c r="N89" s="32">
        <v>0.26800000000000002</v>
      </c>
      <c r="O89" s="32">
        <v>0.86</v>
      </c>
      <c r="AH89" s="5">
        <v>24</v>
      </c>
      <c r="AR89" s="18"/>
    </row>
    <row r="90" spans="1:44" x14ac:dyDescent="0.2">
      <c r="A90" t="s">
        <v>483</v>
      </c>
      <c r="C90" s="5" t="s">
        <v>52</v>
      </c>
      <c r="D90" s="5" t="s">
        <v>484</v>
      </c>
      <c r="E90" s="5"/>
      <c r="F90" s="29" t="s">
        <v>17</v>
      </c>
      <c r="G90" s="30"/>
      <c r="H90" s="31" t="s">
        <v>18</v>
      </c>
      <c r="J90" s="33"/>
      <c r="L90" t="s">
        <v>483</v>
      </c>
      <c r="M90" s="32">
        <v>0.191</v>
      </c>
      <c r="N90" s="32">
        <v>0.30499999999999999</v>
      </c>
      <c r="O90" s="32">
        <v>0.66700000000000004</v>
      </c>
      <c r="AH90" s="5">
        <v>22</v>
      </c>
    </row>
    <row r="91" spans="1:44" x14ac:dyDescent="0.2">
      <c r="A91" t="s">
        <v>485</v>
      </c>
      <c r="B91" s="5" t="s">
        <v>843</v>
      </c>
      <c r="C91" s="5" t="s">
        <v>169</v>
      </c>
      <c r="D91" s="6" t="s">
        <v>486</v>
      </c>
      <c r="F91" s="29" t="s">
        <v>17</v>
      </c>
      <c r="G91" s="30" t="s">
        <v>25</v>
      </c>
      <c r="H91" s="34" t="s">
        <v>283</v>
      </c>
      <c r="I91" s="7" t="s">
        <v>236</v>
      </c>
      <c r="J91" s="31" t="s">
        <v>18</v>
      </c>
      <c r="K91" t="s">
        <v>842</v>
      </c>
      <c r="L91" t="s">
        <v>485</v>
      </c>
      <c r="M91" s="35">
        <v>0.69</v>
      </c>
      <c r="N91" s="35">
        <v>0.08</v>
      </c>
      <c r="O91" s="32">
        <v>1</v>
      </c>
      <c r="P91" t="s">
        <v>833</v>
      </c>
      <c r="R91" t="s">
        <v>834</v>
      </c>
      <c r="S91" t="s">
        <v>835</v>
      </c>
      <c r="T91">
        <v>0</v>
      </c>
      <c r="U91">
        <v>0</v>
      </c>
      <c r="V91">
        <v>0</v>
      </c>
      <c r="W91">
        <v>0</v>
      </c>
      <c r="X91">
        <v>0</v>
      </c>
      <c r="Y91">
        <v>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8</v>
      </c>
      <c r="AF91">
        <v>0</v>
      </c>
      <c r="AG91">
        <v>0</v>
      </c>
      <c r="AH91" s="5">
        <v>69</v>
      </c>
      <c r="AL91">
        <v>7</v>
      </c>
      <c r="AM91" s="36">
        <f>AL91/AH91</f>
        <v>0.10144927536231885</v>
      </c>
    </row>
    <row r="92" spans="1:44" x14ac:dyDescent="0.2">
      <c r="A92" t="s">
        <v>487</v>
      </c>
      <c r="C92" s="5" t="s">
        <v>42</v>
      </c>
      <c r="D92" s="6" t="s">
        <v>290</v>
      </c>
      <c r="F92" s="29" t="s">
        <v>17</v>
      </c>
      <c r="G92" s="30" t="s">
        <v>25</v>
      </c>
      <c r="H92" s="34" t="s">
        <v>39</v>
      </c>
      <c r="I92" s="31" t="s">
        <v>18</v>
      </c>
      <c r="J92" s="33"/>
      <c r="L92" t="s">
        <v>487</v>
      </c>
      <c r="M92" s="35">
        <v>0.66</v>
      </c>
      <c r="N92" s="35">
        <v>0.03</v>
      </c>
      <c r="O92" s="32">
        <v>0.36</v>
      </c>
      <c r="AH92" s="5">
        <v>56</v>
      </c>
    </row>
    <row r="93" spans="1:44" x14ac:dyDescent="0.2">
      <c r="A93" t="s">
        <v>488</v>
      </c>
      <c r="C93" s="5" t="s">
        <v>95</v>
      </c>
      <c r="D93" s="6" t="s">
        <v>96</v>
      </c>
      <c r="F93" s="29" t="s">
        <v>17</v>
      </c>
      <c r="G93" s="38" t="s">
        <v>25</v>
      </c>
      <c r="H93" s="31" t="s">
        <v>18</v>
      </c>
      <c r="J93" s="33"/>
      <c r="L93" t="s">
        <v>488</v>
      </c>
      <c r="M93" s="35">
        <v>0.28999999999999998</v>
      </c>
      <c r="N93" s="35">
        <v>0.44</v>
      </c>
      <c r="O93" s="32">
        <v>0.87</v>
      </c>
      <c r="AH93" s="5">
        <v>74</v>
      </c>
    </row>
    <row r="94" spans="1:44" x14ac:dyDescent="0.2">
      <c r="A94" t="s">
        <v>301</v>
      </c>
      <c r="C94" s="5" t="s">
        <v>58</v>
      </c>
      <c r="D94" s="5" t="s">
        <v>151</v>
      </c>
      <c r="E94" s="5"/>
      <c r="F94" s="29" t="s">
        <v>17</v>
      </c>
      <c r="G94" s="30"/>
      <c r="H94" s="34" t="s">
        <v>26</v>
      </c>
      <c r="J94" s="33"/>
      <c r="L94" t="s">
        <v>301</v>
      </c>
      <c r="M94" s="32">
        <v>0.57099999999999995</v>
      </c>
      <c r="N94" s="32">
        <v>0.2</v>
      </c>
      <c r="O94" s="32">
        <v>0.4</v>
      </c>
      <c r="AH94" s="5">
        <v>98</v>
      </c>
    </row>
    <row r="95" spans="1:44" x14ac:dyDescent="0.2">
      <c r="A95" t="s">
        <v>489</v>
      </c>
      <c r="C95" s="5" t="s">
        <v>95</v>
      </c>
      <c r="D95" s="5" t="s">
        <v>304</v>
      </c>
      <c r="E95" s="5"/>
      <c r="F95" s="29" t="s">
        <v>17</v>
      </c>
      <c r="G95" s="30"/>
      <c r="H95" s="31" t="s">
        <v>18</v>
      </c>
      <c r="J95" s="33"/>
      <c r="L95" t="s">
        <v>489</v>
      </c>
      <c r="M95" s="32">
        <v>0.70499999999999996</v>
      </c>
      <c r="N95" s="32">
        <v>0.28100000000000003</v>
      </c>
      <c r="O95" s="32">
        <v>0.35699999999999998</v>
      </c>
      <c r="AH95" s="5">
        <v>40</v>
      </c>
      <c r="AN95" s="13">
        <v>0.75</v>
      </c>
    </row>
    <row r="96" spans="1:44" x14ac:dyDescent="0.2">
      <c r="A96" t="s">
        <v>490</v>
      </c>
      <c r="C96" s="5" t="s">
        <v>30</v>
      </c>
      <c r="D96" s="5" t="s">
        <v>491</v>
      </c>
      <c r="E96" s="5"/>
      <c r="F96" s="29" t="s">
        <v>17</v>
      </c>
      <c r="G96" s="38" t="s">
        <v>25</v>
      </c>
      <c r="H96" s="31" t="s">
        <v>18</v>
      </c>
      <c r="J96" s="33"/>
      <c r="L96" t="s">
        <v>490</v>
      </c>
      <c r="M96" s="32">
        <v>0.41099999999999998</v>
      </c>
      <c r="N96" s="32">
        <v>0.59899999999999998</v>
      </c>
      <c r="O96" s="32">
        <v>0.65</v>
      </c>
      <c r="AH96" s="5">
        <v>8</v>
      </c>
      <c r="AN96" s="13"/>
    </row>
    <row r="97" spans="1:40" x14ac:dyDescent="0.2">
      <c r="A97" t="s">
        <v>321</v>
      </c>
      <c r="B97" s="5" t="s">
        <v>845</v>
      </c>
      <c r="C97" s="5" t="s">
        <v>15</v>
      </c>
      <c r="D97" s="6" t="s">
        <v>322</v>
      </c>
      <c r="F97" s="29" t="s">
        <v>17</v>
      </c>
      <c r="G97" s="30" t="s">
        <v>25</v>
      </c>
      <c r="H97" s="31" t="s">
        <v>18</v>
      </c>
      <c r="J97" s="33"/>
      <c r="K97" t="s">
        <v>848</v>
      </c>
      <c r="L97" t="s">
        <v>321</v>
      </c>
      <c r="M97" s="5"/>
      <c r="N97" s="5"/>
      <c r="O97" s="5"/>
      <c r="P97" t="s">
        <v>833</v>
      </c>
      <c r="R97" t="s">
        <v>834</v>
      </c>
      <c r="S97" t="s">
        <v>835</v>
      </c>
      <c r="T97">
        <v>0</v>
      </c>
      <c r="U97">
        <v>0</v>
      </c>
      <c r="V97">
        <v>0</v>
      </c>
      <c r="W97">
        <v>0</v>
      </c>
      <c r="X97">
        <v>0</v>
      </c>
      <c r="Y97">
        <v>14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14</v>
      </c>
      <c r="AF97">
        <v>0</v>
      </c>
      <c r="AG97">
        <v>0</v>
      </c>
      <c r="AH97" s="14" t="s">
        <v>323</v>
      </c>
      <c r="AL97">
        <v>14</v>
      </c>
      <c r="AM97" s="36" t="e">
        <f>AL97/AH97</f>
        <v>#VALUE!</v>
      </c>
    </row>
    <row r="98" spans="1:40" x14ac:dyDescent="0.2">
      <c r="A98" t="s">
        <v>75</v>
      </c>
      <c r="C98" s="5" t="s">
        <v>15</v>
      </c>
      <c r="D98" s="6" t="s">
        <v>76</v>
      </c>
      <c r="F98" s="29" t="s">
        <v>17</v>
      </c>
      <c r="G98" s="38" t="s">
        <v>25</v>
      </c>
      <c r="H98" s="34" t="s">
        <v>39</v>
      </c>
      <c r="I98" s="31" t="s">
        <v>18</v>
      </c>
      <c r="J98" s="33"/>
      <c r="L98" t="s">
        <v>75</v>
      </c>
      <c r="M98" s="35">
        <v>0.64</v>
      </c>
      <c r="N98" s="35">
        <v>0.42</v>
      </c>
      <c r="O98" s="32">
        <v>0.36</v>
      </c>
      <c r="P98" t="s">
        <v>833</v>
      </c>
      <c r="R98" t="s">
        <v>834</v>
      </c>
      <c r="S98" t="s">
        <v>835</v>
      </c>
      <c r="T98">
        <v>12</v>
      </c>
      <c r="U98">
        <v>4</v>
      </c>
      <c r="V98">
        <v>0</v>
      </c>
      <c r="W98">
        <v>0</v>
      </c>
      <c r="X98">
        <v>0</v>
      </c>
      <c r="Y98">
        <v>24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36</v>
      </c>
      <c r="AF98">
        <v>0</v>
      </c>
      <c r="AG98">
        <v>0</v>
      </c>
      <c r="AH98" s="5">
        <v>59</v>
      </c>
      <c r="AL98">
        <v>28</v>
      </c>
      <c r="AM98" s="36">
        <f>AL98/AH98</f>
        <v>0.47457627118644069</v>
      </c>
      <c r="AN98" s="13">
        <v>0.81</v>
      </c>
    </row>
    <row r="99" spans="1:40" x14ac:dyDescent="0.2">
      <c r="A99" t="s">
        <v>302</v>
      </c>
      <c r="C99" s="5" t="s">
        <v>136</v>
      </c>
      <c r="D99" s="5" t="s">
        <v>164</v>
      </c>
      <c r="E99" s="5"/>
      <c r="F99" s="29" t="s">
        <v>17</v>
      </c>
      <c r="G99" s="30"/>
      <c r="H99" s="31" t="s">
        <v>18</v>
      </c>
      <c r="J99" s="33"/>
      <c r="L99" t="s">
        <v>302</v>
      </c>
      <c r="M99" s="32">
        <v>0.77500000000000002</v>
      </c>
      <c r="N99" s="32">
        <v>4.5999999999999999E-2</v>
      </c>
      <c r="O99" s="32">
        <v>0.879</v>
      </c>
      <c r="AH99" s="5">
        <v>210</v>
      </c>
      <c r="AN99" s="13">
        <v>0.28000000000000003</v>
      </c>
    </row>
    <row r="100" spans="1:40" x14ac:dyDescent="0.2">
      <c r="A100" t="s">
        <v>303</v>
      </c>
      <c r="C100" s="5" t="s">
        <v>95</v>
      </c>
      <c r="D100" s="6" t="s">
        <v>304</v>
      </c>
      <c r="F100" s="29" t="s">
        <v>17</v>
      </c>
      <c r="G100" s="38" t="s">
        <v>25</v>
      </c>
      <c r="H100" s="34" t="s">
        <v>26</v>
      </c>
      <c r="J100" s="33"/>
      <c r="L100" t="s">
        <v>303</v>
      </c>
      <c r="M100" s="35">
        <v>0.71</v>
      </c>
      <c r="N100" s="35">
        <v>0.28000000000000003</v>
      </c>
      <c r="O100" s="32">
        <v>0.36</v>
      </c>
      <c r="AH100" s="5">
        <v>49</v>
      </c>
      <c r="AN100" s="13">
        <v>0.75</v>
      </c>
    </row>
    <row r="101" spans="1:40" x14ac:dyDescent="0.2">
      <c r="A101" t="s">
        <v>492</v>
      </c>
      <c r="C101" s="5" t="s">
        <v>103</v>
      </c>
      <c r="D101" s="5" t="s">
        <v>162</v>
      </c>
      <c r="E101" s="5"/>
      <c r="F101" s="29" t="s">
        <v>17</v>
      </c>
      <c r="G101" s="38" t="s">
        <v>25</v>
      </c>
      <c r="H101" s="31" t="s">
        <v>18</v>
      </c>
      <c r="J101" s="33"/>
      <c r="L101" t="s">
        <v>492</v>
      </c>
      <c r="M101" s="32">
        <v>0.69799999999999995</v>
      </c>
      <c r="N101" s="32">
        <v>0.28999999999999998</v>
      </c>
      <c r="O101" s="32">
        <v>0.60299999999999998</v>
      </c>
      <c r="AH101" s="5">
        <v>55</v>
      </c>
      <c r="AN101" s="13">
        <v>0.75</v>
      </c>
    </row>
    <row r="102" spans="1:40" x14ac:dyDescent="0.2">
      <c r="A102" t="s">
        <v>493</v>
      </c>
      <c r="C102" s="5" t="s">
        <v>95</v>
      </c>
      <c r="D102" s="6" t="s">
        <v>313</v>
      </c>
      <c r="F102" s="29" t="s">
        <v>17</v>
      </c>
      <c r="G102" s="38" t="s">
        <v>25</v>
      </c>
      <c r="H102" s="31" t="s">
        <v>18</v>
      </c>
      <c r="J102" s="33"/>
      <c r="L102" t="s">
        <v>493</v>
      </c>
      <c r="M102" s="35">
        <v>0.53</v>
      </c>
      <c r="N102" s="35">
        <v>0.26</v>
      </c>
      <c r="O102" s="32">
        <v>0.93</v>
      </c>
      <c r="AH102" s="5">
        <v>56</v>
      </c>
    </row>
    <row r="103" spans="1:40" x14ac:dyDescent="0.2">
      <c r="A103" t="s">
        <v>249</v>
      </c>
      <c r="C103" s="5" t="s">
        <v>95</v>
      </c>
      <c r="D103" s="5" t="s">
        <v>250</v>
      </c>
      <c r="E103" s="5"/>
      <c r="F103" s="29" t="s">
        <v>17</v>
      </c>
      <c r="G103" s="30"/>
      <c r="H103" s="31" t="s">
        <v>18</v>
      </c>
      <c r="J103" s="33"/>
      <c r="L103" t="s">
        <v>249</v>
      </c>
      <c r="M103" s="32">
        <v>0.58399999999999996</v>
      </c>
      <c r="N103" s="32">
        <v>0.84299999999999997</v>
      </c>
      <c r="O103" s="32">
        <v>0.55300000000000005</v>
      </c>
      <c r="AH103" s="5">
        <v>22</v>
      </c>
    </row>
    <row r="104" spans="1:40" x14ac:dyDescent="0.2">
      <c r="A104" t="s">
        <v>279</v>
      </c>
      <c r="C104" s="5" t="s">
        <v>42</v>
      </c>
      <c r="D104" s="6" t="s">
        <v>280</v>
      </c>
      <c r="F104" s="29" t="s">
        <v>17</v>
      </c>
      <c r="G104" s="38" t="s">
        <v>25</v>
      </c>
      <c r="H104" s="31" t="s">
        <v>18</v>
      </c>
      <c r="J104" s="33"/>
      <c r="L104" t="s">
        <v>279</v>
      </c>
      <c r="M104" s="35">
        <v>0.61</v>
      </c>
      <c r="N104" s="35">
        <v>0.49</v>
      </c>
      <c r="O104" s="32">
        <v>0.7</v>
      </c>
      <c r="AH104" s="14">
        <v>274</v>
      </c>
      <c r="AI104" s="14">
        <v>55</v>
      </c>
      <c r="AN104" s="13">
        <v>0.69</v>
      </c>
    </row>
    <row r="105" spans="1:40" x14ac:dyDescent="0.2">
      <c r="A105" t="s">
        <v>362</v>
      </c>
      <c r="C105" s="5" t="s">
        <v>20</v>
      </c>
      <c r="D105" s="5" t="s">
        <v>363</v>
      </c>
      <c r="E105" s="5"/>
      <c r="F105" s="29" t="s">
        <v>17</v>
      </c>
      <c r="G105" s="30"/>
      <c r="H105" s="31" t="s">
        <v>18</v>
      </c>
      <c r="J105" s="33"/>
      <c r="L105" t="s">
        <v>362</v>
      </c>
      <c r="M105" s="32">
        <v>0.47199999999999998</v>
      </c>
      <c r="N105" s="32">
        <v>0.51600000000000001</v>
      </c>
      <c r="O105" s="32">
        <v>0.73699999999999999</v>
      </c>
      <c r="AH105" s="5">
        <v>250</v>
      </c>
      <c r="AN105" s="13">
        <v>0.72</v>
      </c>
    </row>
    <row r="106" spans="1:40" x14ac:dyDescent="0.2">
      <c r="A106" t="s">
        <v>353</v>
      </c>
      <c r="C106" s="5" t="s">
        <v>139</v>
      </c>
      <c r="D106" s="6" t="s">
        <v>349</v>
      </c>
      <c r="F106" s="29" t="s">
        <v>17</v>
      </c>
      <c r="G106" s="30" t="s">
        <v>25</v>
      </c>
      <c r="H106" s="34" t="s">
        <v>39</v>
      </c>
      <c r="I106" s="31" t="s">
        <v>18</v>
      </c>
      <c r="J106" s="33"/>
      <c r="K106" t="s">
        <v>847</v>
      </c>
      <c r="L106" t="s">
        <v>353</v>
      </c>
      <c r="M106" s="35">
        <v>0.56000000000000005</v>
      </c>
      <c r="N106" s="35">
        <v>0.18</v>
      </c>
      <c r="O106" s="32">
        <v>0.89</v>
      </c>
      <c r="P106" t="s">
        <v>833</v>
      </c>
      <c r="R106" t="s">
        <v>834</v>
      </c>
      <c r="S106" t="s">
        <v>835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10</v>
      </c>
      <c r="AF106">
        <v>0</v>
      </c>
      <c r="AG106">
        <v>0</v>
      </c>
      <c r="AH106" s="14"/>
      <c r="AL106">
        <v>7</v>
      </c>
      <c r="AM106" s="36" t="e">
        <f>AL106/AH106</f>
        <v>#DIV/0!</v>
      </c>
      <c r="AN106" s="13">
        <v>0.94</v>
      </c>
    </row>
    <row r="107" spans="1:40" x14ac:dyDescent="0.2">
      <c r="A107" t="s">
        <v>142</v>
      </c>
      <c r="C107" s="5" t="s">
        <v>58</v>
      </c>
      <c r="D107" s="6" t="s">
        <v>143</v>
      </c>
      <c r="F107" s="29" t="s">
        <v>17</v>
      </c>
      <c r="G107" s="38" t="s">
        <v>25</v>
      </c>
      <c r="H107" s="31" t="s">
        <v>18</v>
      </c>
      <c r="J107" s="33"/>
      <c r="K107" t="s">
        <v>847</v>
      </c>
      <c r="L107" t="s">
        <v>142</v>
      </c>
      <c r="M107" s="35">
        <v>0.78</v>
      </c>
      <c r="N107" s="35">
        <v>0.86</v>
      </c>
      <c r="O107" s="32">
        <v>0.14000000000000001</v>
      </c>
      <c r="AH107" s="5">
        <v>70</v>
      </c>
      <c r="AN107" s="13">
        <v>0.91</v>
      </c>
    </row>
    <row r="108" spans="1:40" x14ac:dyDescent="0.2">
      <c r="A108" t="s">
        <v>251</v>
      </c>
      <c r="C108" s="5" t="s">
        <v>145</v>
      </c>
      <c r="D108" s="5" t="s">
        <v>804</v>
      </c>
      <c r="E108" s="5"/>
      <c r="F108" s="29" t="s">
        <v>17</v>
      </c>
      <c r="G108" s="30"/>
      <c r="H108" s="31" t="s">
        <v>18</v>
      </c>
      <c r="J108" s="33"/>
      <c r="L108" t="s">
        <v>251</v>
      </c>
      <c r="M108" s="32"/>
      <c r="N108" s="32"/>
      <c r="O108" s="32"/>
      <c r="AH108" s="5">
        <v>7</v>
      </c>
      <c r="AN108" s="13">
        <v>0.43</v>
      </c>
    </row>
    <row r="109" spans="1:40" x14ac:dyDescent="0.2">
      <c r="A109" t="s">
        <v>305</v>
      </c>
      <c r="C109" s="5" t="s">
        <v>15</v>
      </c>
      <c r="D109" s="16" t="s">
        <v>850</v>
      </c>
      <c r="E109" s="6" t="s">
        <v>307</v>
      </c>
      <c r="F109" s="29" t="s">
        <v>17</v>
      </c>
      <c r="G109" s="38" t="s">
        <v>25</v>
      </c>
      <c r="H109" s="31" t="s">
        <v>18</v>
      </c>
      <c r="J109" s="33"/>
      <c r="L109" t="s">
        <v>305</v>
      </c>
      <c r="M109" s="35">
        <v>0.17</v>
      </c>
      <c r="N109" s="35">
        <v>0.34</v>
      </c>
      <c r="O109" s="32">
        <v>0.66</v>
      </c>
      <c r="AH109" s="5">
        <v>63</v>
      </c>
      <c r="AN109" s="13">
        <v>0.69</v>
      </c>
    </row>
    <row r="110" spans="1:40" x14ac:dyDescent="0.2">
      <c r="A110" t="s">
        <v>364</v>
      </c>
      <c r="C110" s="5" t="s">
        <v>95</v>
      </c>
      <c r="D110" s="6" t="s">
        <v>365</v>
      </c>
      <c r="F110" s="29" t="s">
        <v>17</v>
      </c>
      <c r="G110" s="38" t="s">
        <v>25</v>
      </c>
      <c r="H110" s="34" t="s">
        <v>26</v>
      </c>
      <c r="J110" s="33"/>
      <c r="L110" t="s">
        <v>364</v>
      </c>
      <c r="M110" s="35">
        <v>0.45</v>
      </c>
      <c r="N110" s="35">
        <v>0.15</v>
      </c>
      <c r="O110" s="32">
        <v>0.64</v>
      </c>
      <c r="AH110" s="5">
        <v>332</v>
      </c>
      <c r="AN110" s="13">
        <v>0.75</v>
      </c>
    </row>
    <row r="111" spans="1:40" x14ac:dyDescent="0.2">
      <c r="A111" t="s">
        <v>194</v>
      </c>
      <c r="C111" s="5" t="s">
        <v>103</v>
      </c>
      <c r="D111" s="6" t="s">
        <v>195</v>
      </c>
      <c r="F111" s="29" t="s">
        <v>17</v>
      </c>
      <c r="G111" s="38" t="s">
        <v>25</v>
      </c>
      <c r="H111" s="31" t="s">
        <v>18</v>
      </c>
      <c r="J111" s="33"/>
      <c r="K111" t="s">
        <v>847</v>
      </c>
      <c r="L111" t="s">
        <v>194</v>
      </c>
      <c r="M111" s="35">
        <v>0.72</v>
      </c>
      <c r="N111" s="35">
        <v>0.17</v>
      </c>
      <c r="O111" s="32">
        <v>0.98</v>
      </c>
      <c r="AH111" s="5">
        <v>45</v>
      </c>
      <c r="AN111" s="13">
        <v>0.95</v>
      </c>
    </row>
    <row r="112" spans="1:40" x14ac:dyDescent="0.2">
      <c r="A112" t="s">
        <v>341</v>
      </c>
      <c r="C112" s="5" t="s">
        <v>139</v>
      </c>
      <c r="D112" s="6" t="s">
        <v>342</v>
      </c>
      <c r="F112" s="29" t="s">
        <v>17</v>
      </c>
      <c r="G112" s="38" t="s">
        <v>25</v>
      </c>
      <c r="H112" s="31" t="s">
        <v>18</v>
      </c>
      <c r="J112" s="33"/>
      <c r="L112" t="s">
        <v>851</v>
      </c>
      <c r="M112" s="35">
        <v>0.56999999999999995</v>
      </c>
      <c r="N112" s="35">
        <v>0.11</v>
      </c>
      <c r="O112" s="32">
        <v>0.68</v>
      </c>
      <c r="AH112" s="5">
        <v>298</v>
      </c>
      <c r="AN112" s="13">
        <v>0.57999999999999996</v>
      </c>
    </row>
    <row r="113" spans="1:40" x14ac:dyDescent="0.2">
      <c r="A113" t="s">
        <v>267</v>
      </c>
      <c r="C113" s="5" t="s">
        <v>42</v>
      </c>
      <c r="D113" s="6" t="s">
        <v>268</v>
      </c>
      <c r="F113" s="29" t="s">
        <v>17</v>
      </c>
      <c r="G113" s="38" t="s">
        <v>25</v>
      </c>
      <c r="H113" s="31" t="s">
        <v>18</v>
      </c>
      <c r="J113" s="33"/>
      <c r="K113" t="s">
        <v>847</v>
      </c>
      <c r="L113" t="s">
        <v>852</v>
      </c>
      <c r="M113" s="35">
        <v>0.63</v>
      </c>
      <c r="N113" s="35">
        <v>0.01</v>
      </c>
      <c r="O113" s="32">
        <v>0.93</v>
      </c>
      <c r="AH113" s="5">
        <v>125</v>
      </c>
      <c r="AN113" s="13">
        <v>0.87</v>
      </c>
    </row>
    <row r="114" spans="1:40" x14ac:dyDescent="0.2">
      <c r="A114" t="s">
        <v>218</v>
      </c>
      <c r="C114" s="5" t="s">
        <v>15</v>
      </c>
      <c r="D114" s="6" t="s">
        <v>219</v>
      </c>
      <c r="F114" s="29" t="s">
        <v>17</v>
      </c>
      <c r="G114" s="38" t="s">
        <v>25</v>
      </c>
      <c r="H114" s="31" t="s">
        <v>18</v>
      </c>
      <c r="J114" s="33"/>
      <c r="L114" t="s">
        <v>218</v>
      </c>
      <c r="M114" s="35">
        <v>0.97</v>
      </c>
      <c r="N114" s="35">
        <v>0.08</v>
      </c>
      <c r="O114" s="32">
        <v>0.99</v>
      </c>
      <c r="AH114" s="5">
        <v>48</v>
      </c>
      <c r="AN114" s="13">
        <v>0.64</v>
      </c>
    </row>
    <row r="115" spans="1:40" x14ac:dyDescent="0.2">
      <c r="A115" t="s">
        <v>77</v>
      </c>
      <c r="C115" s="5" t="s">
        <v>20</v>
      </c>
      <c r="D115" s="5" t="s">
        <v>78</v>
      </c>
      <c r="E115" s="5"/>
      <c r="F115" s="29" t="s">
        <v>17</v>
      </c>
      <c r="G115" s="30"/>
      <c r="H115" s="31" t="s">
        <v>18</v>
      </c>
      <c r="J115" s="33"/>
      <c r="L115" t="s">
        <v>77</v>
      </c>
      <c r="M115" s="32">
        <v>0.495</v>
      </c>
      <c r="N115" s="32">
        <v>3.2000000000000001E-2</v>
      </c>
      <c r="O115" s="32">
        <v>0.88900000000000001</v>
      </c>
      <c r="AH115" s="5">
        <v>14</v>
      </c>
      <c r="AN115" s="13">
        <v>0.71</v>
      </c>
    </row>
    <row r="116" spans="1:40" x14ac:dyDescent="0.2">
      <c r="A116" t="s">
        <v>19</v>
      </c>
      <c r="C116" s="5" t="s">
        <v>20</v>
      </c>
      <c r="D116" s="5" t="s">
        <v>21</v>
      </c>
      <c r="E116" s="5"/>
      <c r="F116" s="29" t="s">
        <v>17</v>
      </c>
      <c r="G116" s="30"/>
      <c r="H116" s="31" t="s">
        <v>18</v>
      </c>
      <c r="J116" s="33"/>
      <c r="L116" t="s">
        <v>19</v>
      </c>
      <c r="M116" s="32">
        <v>0.371</v>
      </c>
      <c r="N116" s="32">
        <v>0.71899999999999997</v>
      </c>
      <c r="O116" s="32">
        <v>0.3</v>
      </c>
      <c r="AH116" s="5">
        <v>96</v>
      </c>
      <c r="AN116" s="13">
        <v>0.28000000000000003</v>
      </c>
    </row>
    <row r="117" spans="1:40" x14ac:dyDescent="0.2">
      <c r="A117" t="s">
        <v>297</v>
      </c>
      <c r="C117" s="5" t="s">
        <v>90</v>
      </c>
      <c r="D117" s="5" t="s">
        <v>298</v>
      </c>
      <c r="E117" s="5"/>
      <c r="F117" s="29" t="s">
        <v>17</v>
      </c>
      <c r="G117" s="30" t="s">
        <v>25</v>
      </c>
      <c r="H117" s="34" t="s">
        <v>26</v>
      </c>
      <c r="J117" s="33"/>
      <c r="L117" t="s">
        <v>297</v>
      </c>
      <c r="M117" s="32">
        <v>0.64100000000000001</v>
      </c>
      <c r="N117" s="32">
        <v>0.52700000000000002</v>
      </c>
      <c r="O117" s="32">
        <v>0.36899999999999999</v>
      </c>
      <c r="AH117" s="14">
        <v>27</v>
      </c>
      <c r="AI117" s="14">
        <v>8</v>
      </c>
      <c r="AN117" s="13">
        <v>0.06</v>
      </c>
    </row>
    <row r="118" spans="1:40" x14ac:dyDescent="0.2">
      <c r="A118" t="s">
        <v>293</v>
      </c>
      <c r="C118" s="5" t="s">
        <v>103</v>
      </c>
      <c r="D118" s="5" t="s">
        <v>294</v>
      </c>
      <c r="E118" s="5"/>
      <c r="F118" s="29" t="s">
        <v>17</v>
      </c>
      <c r="G118" s="38" t="s">
        <v>25</v>
      </c>
      <c r="H118" s="31" t="s">
        <v>18</v>
      </c>
      <c r="J118" s="33"/>
      <c r="L118" t="s">
        <v>293</v>
      </c>
      <c r="M118" s="32">
        <v>0.746</v>
      </c>
      <c r="N118" s="32">
        <v>0.152</v>
      </c>
      <c r="O118" s="32">
        <v>0.88200000000000001</v>
      </c>
      <c r="AH118" s="5">
        <v>108</v>
      </c>
      <c r="AN118" s="13">
        <v>0.74</v>
      </c>
    </row>
    <row r="119" spans="1:40" x14ac:dyDescent="0.2">
      <c r="A119" t="s">
        <v>203</v>
      </c>
      <c r="C119" s="5" t="s">
        <v>136</v>
      </c>
      <c r="D119" s="6" t="s">
        <v>204</v>
      </c>
      <c r="F119" s="29" t="s">
        <v>17</v>
      </c>
      <c r="G119" s="38" t="s">
        <v>25</v>
      </c>
      <c r="H119" s="31" t="s">
        <v>18</v>
      </c>
      <c r="J119" s="33"/>
      <c r="L119" t="s">
        <v>203</v>
      </c>
      <c r="M119" s="35">
        <v>0.85</v>
      </c>
      <c r="N119" s="35">
        <v>0.85</v>
      </c>
      <c r="O119" s="32">
        <v>0.68</v>
      </c>
      <c r="AH119" s="5">
        <v>97</v>
      </c>
      <c r="AN119" s="13">
        <v>0.73</v>
      </c>
    </row>
    <row r="120" spans="1:40" x14ac:dyDescent="0.2">
      <c r="A120" t="s">
        <v>319</v>
      </c>
      <c r="C120" s="5" t="s">
        <v>183</v>
      </c>
      <c r="D120" s="6" t="s">
        <v>278</v>
      </c>
      <c r="F120" s="29" t="s">
        <v>17</v>
      </c>
      <c r="G120" s="38" t="s">
        <v>25</v>
      </c>
      <c r="H120" s="34" t="s">
        <v>26</v>
      </c>
      <c r="J120" s="33"/>
      <c r="L120" t="s">
        <v>319</v>
      </c>
      <c r="M120" s="35">
        <v>0.77</v>
      </c>
      <c r="N120" s="35">
        <v>0</v>
      </c>
      <c r="O120" s="32">
        <v>0.98</v>
      </c>
      <c r="AH120" s="5">
        <v>75</v>
      </c>
      <c r="AN120" s="13">
        <v>0.61</v>
      </c>
    </row>
    <row r="121" spans="1:40" x14ac:dyDescent="0.2">
      <c r="A121" t="s">
        <v>125</v>
      </c>
      <c r="C121" s="5" t="s">
        <v>30</v>
      </c>
      <c r="D121" s="5" t="s">
        <v>126</v>
      </c>
      <c r="E121" s="5"/>
      <c r="F121" s="29" t="s">
        <v>17</v>
      </c>
      <c r="G121" s="38" t="s">
        <v>25</v>
      </c>
      <c r="H121" s="31" t="s">
        <v>18</v>
      </c>
      <c r="J121" s="33"/>
      <c r="L121" t="s">
        <v>125</v>
      </c>
      <c r="M121" s="32">
        <v>0.64100000000000001</v>
      </c>
      <c r="N121" s="32">
        <v>0.52800000000000002</v>
      </c>
      <c r="O121" s="32">
        <v>0.34799999999999998</v>
      </c>
      <c r="AH121" s="5">
        <v>17</v>
      </c>
      <c r="AN121" s="13">
        <v>0.79</v>
      </c>
    </row>
    <row r="122" spans="1:40" x14ac:dyDescent="0.2">
      <c r="A122" t="s">
        <v>281</v>
      </c>
      <c r="B122" s="5" t="s">
        <v>838</v>
      </c>
      <c r="C122" s="5" t="s">
        <v>42</v>
      </c>
      <c r="D122" s="6" t="s">
        <v>282</v>
      </c>
      <c r="F122" s="29" t="s">
        <v>17</v>
      </c>
      <c r="G122" s="30" t="s">
        <v>25</v>
      </c>
      <c r="H122" s="34" t="s">
        <v>283</v>
      </c>
      <c r="I122" s="31" t="s">
        <v>18</v>
      </c>
      <c r="J122" s="33"/>
      <c r="K122" t="s">
        <v>842</v>
      </c>
      <c r="L122" t="s">
        <v>281</v>
      </c>
      <c r="M122" s="35">
        <v>0.25</v>
      </c>
      <c r="N122" s="35">
        <v>0.33</v>
      </c>
      <c r="O122" s="32">
        <v>0.66</v>
      </c>
      <c r="P122" t="s">
        <v>833</v>
      </c>
      <c r="R122" t="s">
        <v>834</v>
      </c>
      <c r="S122" t="s">
        <v>835</v>
      </c>
      <c r="T122">
        <v>2</v>
      </c>
      <c r="U122">
        <v>1</v>
      </c>
      <c r="V122">
        <v>0</v>
      </c>
      <c r="W122">
        <v>0</v>
      </c>
      <c r="X122">
        <v>0</v>
      </c>
      <c r="Y122">
        <v>41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43</v>
      </c>
      <c r="AF122">
        <v>0</v>
      </c>
      <c r="AG122">
        <v>0</v>
      </c>
      <c r="AH122" s="5">
        <v>43</v>
      </c>
      <c r="AL122">
        <v>45</v>
      </c>
      <c r="AM122" s="36">
        <f>AL122/AH122</f>
        <v>1.0465116279069768</v>
      </c>
      <c r="AN122" s="13">
        <v>0.4</v>
      </c>
    </row>
    <row r="123" spans="1:40" x14ac:dyDescent="0.2">
      <c r="A123" t="s">
        <v>114</v>
      </c>
      <c r="C123" s="5" t="s">
        <v>23</v>
      </c>
      <c r="D123" s="5" t="s">
        <v>115</v>
      </c>
      <c r="E123" s="5"/>
      <c r="F123" s="29" t="s">
        <v>17</v>
      </c>
      <c r="G123" s="30"/>
      <c r="H123" s="31" t="s">
        <v>18</v>
      </c>
      <c r="J123" s="33"/>
      <c r="L123" t="s">
        <v>114</v>
      </c>
      <c r="M123" s="32">
        <v>0.68300000000000005</v>
      </c>
      <c r="N123" s="32">
        <v>0.151</v>
      </c>
      <c r="O123" s="32">
        <v>0.38400000000000001</v>
      </c>
      <c r="AH123" s="5">
        <v>80</v>
      </c>
      <c r="AN123" s="13">
        <v>0.72</v>
      </c>
    </row>
    <row r="124" spans="1:40" x14ac:dyDescent="0.2">
      <c r="A124" t="s">
        <v>260</v>
      </c>
      <c r="C124" s="5" t="s">
        <v>55</v>
      </c>
      <c r="D124" s="5" t="s">
        <v>56</v>
      </c>
      <c r="E124" s="5"/>
      <c r="F124" s="29" t="s">
        <v>17</v>
      </c>
      <c r="G124" s="30"/>
      <c r="H124" s="34" t="s">
        <v>26</v>
      </c>
      <c r="J124" s="33"/>
      <c r="L124" t="s">
        <v>260</v>
      </c>
      <c r="M124" s="32">
        <v>0.82099999999999995</v>
      </c>
      <c r="N124" s="32">
        <v>0.34599999999999997</v>
      </c>
      <c r="O124" s="32">
        <v>0.115</v>
      </c>
      <c r="AH124" s="5">
        <v>31</v>
      </c>
      <c r="AN124" s="13">
        <v>0.38</v>
      </c>
    </row>
    <row r="125" spans="1:40" x14ac:dyDescent="0.2">
      <c r="A125" t="s">
        <v>54</v>
      </c>
      <c r="C125" s="5" t="s">
        <v>55</v>
      </c>
      <c r="D125" s="5" t="s">
        <v>56</v>
      </c>
      <c r="E125" s="5"/>
      <c r="F125" s="29" t="s">
        <v>17</v>
      </c>
      <c r="G125" s="30"/>
      <c r="H125" s="34" t="s">
        <v>26</v>
      </c>
      <c r="J125" s="33"/>
      <c r="L125" t="s">
        <v>54</v>
      </c>
      <c r="M125" s="32">
        <v>0.82099999999999995</v>
      </c>
      <c r="N125" s="32">
        <v>0.34599999999999997</v>
      </c>
      <c r="O125" s="32">
        <v>0.115</v>
      </c>
      <c r="AH125" s="5">
        <v>11</v>
      </c>
      <c r="AN125" s="13">
        <v>0.7</v>
      </c>
    </row>
    <row r="126" spans="1:40" x14ac:dyDescent="0.2">
      <c r="A126" t="s">
        <v>116</v>
      </c>
      <c r="C126" s="5" t="s">
        <v>55</v>
      </c>
      <c r="D126" s="6" t="s">
        <v>56</v>
      </c>
      <c r="F126" s="29" t="s">
        <v>17</v>
      </c>
      <c r="G126" s="38" t="s">
        <v>25</v>
      </c>
      <c r="H126" s="34" t="s">
        <v>26</v>
      </c>
      <c r="J126" s="33"/>
      <c r="L126" t="s">
        <v>853</v>
      </c>
      <c r="M126" s="35">
        <v>0.82</v>
      </c>
      <c r="N126" s="35">
        <v>0.35</v>
      </c>
      <c r="O126" s="32">
        <v>0.12</v>
      </c>
      <c r="AH126" s="5">
        <v>74</v>
      </c>
      <c r="AN126" s="13">
        <v>0.23</v>
      </c>
    </row>
    <row r="127" spans="1:40" x14ac:dyDescent="0.2">
      <c r="A127" t="s">
        <v>51</v>
      </c>
      <c r="C127" s="5" t="s">
        <v>52</v>
      </c>
      <c r="D127" s="6" t="s">
        <v>53</v>
      </c>
      <c r="F127" s="29" t="s">
        <v>17</v>
      </c>
      <c r="G127" s="38" t="s">
        <v>25</v>
      </c>
      <c r="H127" s="31" t="s">
        <v>18</v>
      </c>
      <c r="J127" s="33"/>
      <c r="L127" t="s">
        <v>51</v>
      </c>
      <c r="M127" s="35">
        <v>0.46</v>
      </c>
      <c r="N127" s="35">
        <v>0.17</v>
      </c>
      <c r="O127" s="32">
        <v>0.86</v>
      </c>
      <c r="AH127" s="5">
        <v>71</v>
      </c>
      <c r="AN127" s="13">
        <v>0.38</v>
      </c>
    </row>
    <row r="128" spans="1:40" x14ac:dyDescent="0.2">
      <c r="A128" t="s">
        <v>29</v>
      </c>
      <c r="C128" s="5" t="s">
        <v>30</v>
      </c>
      <c r="D128" s="5" t="s">
        <v>31</v>
      </c>
      <c r="E128" s="5"/>
      <c r="F128" s="29" t="s">
        <v>17</v>
      </c>
      <c r="G128" s="30"/>
      <c r="H128" s="31" t="s">
        <v>18</v>
      </c>
      <c r="J128" s="33"/>
      <c r="L128" t="s">
        <v>29</v>
      </c>
      <c r="M128" s="32">
        <v>0.76100000000000001</v>
      </c>
      <c r="N128" s="32">
        <v>4.9000000000000002E-2</v>
      </c>
      <c r="O128" s="32">
        <v>0.997</v>
      </c>
      <c r="AH128" s="5">
        <v>28</v>
      </c>
      <c r="AN128" s="13">
        <v>0.22</v>
      </c>
    </row>
    <row r="129" spans="1:40" x14ac:dyDescent="0.2">
      <c r="A129" t="s">
        <v>73</v>
      </c>
      <c r="C129" s="5" t="s">
        <v>30</v>
      </c>
      <c r="D129" s="5" t="s">
        <v>74</v>
      </c>
      <c r="E129" s="5"/>
      <c r="F129" s="29" t="s">
        <v>17</v>
      </c>
      <c r="G129" s="38" t="s">
        <v>25</v>
      </c>
      <c r="H129" s="31" t="s">
        <v>18</v>
      </c>
      <c r="J129" s="33"/>
      <c r="L129" t="s">
        <v>73</v>
      </c>
      <c r="M129" s="32">
        <v>0.64</v>
      </c>
      <c r="N129" s="32">
        <v>0.95099999999999996</v>
      </c>
      <c r="O129" s="32">
        <v>0.186</v>
      </c>
      <c r="AH129" s="5">
        <v>2</v>
      </c>
      <c r="AN129" s="13">
        <v>0.14000000000000001</v>
      </c>
    </row>
    <row r="130" spans="1:40" x14ac:dyDescent="0.2">
      <c r="A130" t="s">
        <v>182</v>
      </c>
      <c r="C130" s="5" t="s">
        <v>183</v>
      </c>
      <c r="D130" s="5" t="s">
        <v>184</v>
      </c>
      <c r="E130" s="5"/>
      <c r="F130" s="29" t="s">
        <v>17</v>
      </c>
      <c r="G130" s="30" t="s">
        <v>25</v>
      </c>
      <c r="H130" s="31" t="s">
        <v>18</v>
      </c>
      <c r="J130" s="33"/>
      <c r="L130" t="s">
        <v>182</v>
      </c>
      <c r="M130" s="32">
        <v>0.32700000000000001</v>
      </c>
      <c r="N130" s="32">
        <v>0.08</v>
      </c>
      <c r="O130" s="32">
        <v>0.88</v>
      </c>
      <c r="AH130" s="14">
        <v>49</v>
      </c>
      <c r="AI130" s="14">
        <v>25</v>
      </c>
      <c r="AN130" s="13">
        <v>0.27</v>
      </c>
    </row>
    <row r="131" spans="1:40" x14ac:dyDescent="0.2">
      <c r="A131" t="s">
        <v>97</v>
      </c>
      <c r="C131" s="5" t="s">
        <v>42</v>
      </c>
      <c r="D131" s="5" t="s">
        <v>98</v>
      </c>
      <c r="E131" s="5"/>
      <c r="F131" s="29" t="s">
        <v>17</v>
      </c>
      <c r="G131" s="30" t="s">
        <v>25</v>
      </c>
      <c r="H131" s="34" t="s">
        <v>39</v>
      </c>
      <c r="I131" s="31" t="s">
        <v>18</v>
      </c>
      <c r="J131" s="33"/>
      <c r="L131" t="s">
        <v>97</v>
      </c>
      <c r="M131" s="32">
        <v>0.38500000000000001</v>
      </c>
      <c r="N131" s="32">
        <v>6.7000000000000004E-2</v>
      </c>
      <c r="O131" s="32">
        <v>0.88700000000000001</v>
      </c>
      <c r="AH131" s="5">
        <v>69</v>
      </c>
      <c r="AN131" s="13">
        <v>0.53</v>
      </c>
    </row>
    <row r="132" spans="1:40" x14ac:dyDescent="0.2">
      <c r="A132" t="s">
        <v>99</v>
      </c>
      <c r="C132" s="5" t="s">
        <v>15</v>
      </c>
      <c r="D132" s="6" t="s">
        <v>100</v>
      </c>
      <c r="F132" s="29" t="s">
        <v>17</v>
      </c>
      <c r="G132" s="30" t="s">
        <v>25</v>
      </c>
      <c r="H132" s="34" t="s">
        <v>39</v>
      </c>
      <c r="I132" s="31" t="s">
        <v>18</v>
      </c>
      <c r="J132" s="33"/>
      <c r="L132" t="s">
        <v>99</v>
      </c>
      <c r="M132" s="35">
        <v>0.53</v>
      </c>
      <c r="N132" s="35">
        <v>0.2</v>
      </c>
      <c r="O132" s="32">
        <v>0.89</v>
      </c>
      <c r="AH132" s="5">
        <v>24</v>
      </c>
      <c r="AN132" s="13">
        <v>0.37</v>
      </c>
    </row>
    <row r="133" spans="1:40" x14ac:dyDescent="0.2">
      <c r="A133" t="s">
        <v>101</v>
      </c>
      <c r="B133" s="5" t="s">
        <v>845</v>
      </c>
      <c r="C133" s="5" t="s">
        <v>15</v>
      </c>
      <c r="D133" s="6" t="s">
        <v>100</v>
      </c>
      <c r="F133" s="29" t="s">
        <v>17</v>
      </c>
      <c r="G133" s="38" t="s">
        <v>25</v>
      </c>
      <c r="H133" s="31" t="s">
        <v>18</v>
      </c>
      <c r="J133" s="33"/>
      <c r="K133" t="s">
        <v>847</v>
      </c>
      <c r="L133" t="s">
        <v>101</v>
      </c>
      <c r="M133" s="35">
        <v>0.53</v>
      </c>
      <c r="N133" s="35">
        <v>0.2</v>
      </c>
      <c r="O133" s="32">
        <v>0.89</v>
      </c>
      <c r="P133" t="s">
        <v>833</v>
      </c>
      <c r="Q133" t="s">
        <v>854</v>
      </c>
      <c r="R133" t="s">
        <v>834</v>
      </c>
      <c r="S133" t="s">
        <v>855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50</v>
      </c>
      <c r="AF133">
        <v>0</v>
      </c>
      <c r="AG133">
        <v>0</v>
      </c>
      <c r="AH133" s="5">
        <v>50</v>
      </c>
      <c r="AL133">
        <v>46</v>
      </c>
      <c r="AM133" s="36">
        <f>AL133/AH133</f>
        <v>0.92</v>
      </c>
      <c r="AN133" s="13">
        <v>0.37</v>
      </c>
    </row>
    <row r="134" spans="1:40" x14ac:dyDescent="0.2">
      <c r="A134" t="s">
        <v>57</v>
      </c>
      <c r="C134" s="5" t="s">
        <v>58</v>
      </c>
      <c r="D134" s="6" t="s">
        <v>59</v>
      </c>
      <c r="F134" s="29" t="s">
        <v>17</v>
      </c>
      <c r="G134" s="38" t="s">
        <v>25</v>
      </c>
      <c r="H134" s="34" t="s">
        <v>26</v>
      </c>
      <c r="J134" s="33"/>
      <c r="L134" t="s">
        <v>57</v>
      </c>
      <c r="M134" s="35">
        <v>0.44</v>
      </c>
      <c r="N134" s="35">
        <v>0.45</v>
      </c>
      <c r="O134" s="32">
        <v>0.57999999999999996</v>
      </c>
      <c r="AH134" s="5">
        <v>150</v>
      </c>
      <c r="AN134" s="13">
        <v>0.37</v>
      </c>
    </row>
    <row r="135" spans="1:40" x14ac:dyDescent="0.2">
      <c r="A135" t="s">
        <v>37</v>
      </c>
      <c r="C135" s="5" t="s">
        <v>30</v>
      </c>
      <c r="D135" s="5" t="s">
        <v>38</v>
      </c>
      <c r="E135" s="5"/>
      <c r="F135" s="29" t="s">
        <v>17</v>
      </c>
      <c r="G135" s="30" t="s">
        <v>25</v>
      </c>
      <c r="H135" s="34" t="s">
        <v>39</v>
      </c>
      <c r="I135" s="31" t="s">
        <v>18</v>
      </c>
      <c r="J135" s="33"/>
      <c r="L135" t="s">
        <v>37</v>
      </c>
      <c r="M135" s="32">
        <v>3.5999999999999997E-2</v>
      </c>
      <c r="N135" s="32">
        <v>0.84699999999999998</v>
      </c>
      <c r="O135" s="32">
        <v>0.55900000000000005</v>
      </c>
      <c r="AH135" s="5">
        <v>134</v>
      </c>
      <c r="AI135" s="5">
        <v>133</v>
      </c>
      <c r="AK135" s="5" t="s">
        <v>40</v>
      </c>
      <c r="AN135" s="13">
        <v>0.23</v>
      </c>
    </row>
    <row r="136" spans="1:40" x14ac:dyDescent="0.2">
      <c r="A136" t="s">
        <v>131</v>
      </c>
      <c r="C136" s="5" t="s">
        <v>103</v>
      </c>
      <c r="D136" s="6" t="s">
        <v>132</v>
      </c>
      <c r="F136" s="29" t="s">
        <v>17</v>
      </c>
      <c r="G136" s="38" t="s">
        <v>25</v>
      </c>
      <c r="H136" s="31" t="s">
        <v>18</v>
      </c>
      <c r="J136" s="33"/>
      <c r="L136" t="s">
        <v>131</v>
      </c>
      <c r="M136" s="35">
        <v>0.64</v>
      </c>
      <c r="N136" s="35">
        <v>0.27</v>
      </c>
      <c r="O136" s="32">
        <v>0.86</v>
      </c>
      <c r="AH136" s="5">
        <v>27</v>
      </c>
      <c r="AN136" s="13">
        <v>0.18</v>
      </c>
    </row>
    <row r="137" spans="1:40" x14ac:dyDescent="0.2">
      <c r="A137" t="s">
        <v>71</v>
      </c>
      <c r="C137" s="5" t="s">
        <v>15</v>
      </c>
      <c r="D137" s="6" t="s">
        <v>72</v>
      </c>
      <c r="F137" s="29" t="s">
        <v>17</v>
      </c>
      <c r="G137" s="38" t="s">
        <v>25</v>
      </c>
      <c r="H137" s="31" t="s">
        <v>18</v>
      </c>
      <c r="J137" s="33"/>
      <c r="L137" t="s">
        <v>71</v>
      </c>
      <c r="M137" s="35">
        <v>0.09</v>
      </c>
      <c r="N137" s="35">
        <v>0.34</v>
      </c>
      <c r="O137" s="32">
        <v>0.59</v>
      </c>
      <c r="P137" t="s">
        <v>833</v>
      </c>
      <c r="R137" t="s">
        <v>834</v>
      </c>
      <c r="S137" t="s">
        <v>835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14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14</v>
      </c>
      <c r="AF137">
        <v>0</v>
      </c>
      <c r="AG137">
        <v>0</v>
      </c>
      <c r="AH137" s="5">
        <v>53</v>
      </c>
      <c r="AL137">
        <v>13</v>
      </c>
      <c r="AM137" s="36">
        <f>AL137/AH137</f>
        <v>0.24528301886792453</v>
      </c>
      <c r="AN137" s="13">
        <v>0.41</v>
      </c>
    </row>
    <row r="138" spans="1:40" x14ac:dyDescent="0.2">
      <c r="A138" t="s">
        <v>127</v>
      </c>
      <c r="C138" s="5" t="s">
        <v>45</v>
      </c>
      <c r="D138" s="5" t="s">
        <v>128</v>
      </c>
      <c r="E138" s="5"/>
      <c r="F138" s="29" t="s">
        <v>17</v>
      </c>
      <c r="G138" s="30"/>
      <c r="H138" s="31" t="s">
        <v>18</v>
      </c>
      <c r="J138" s="33"/>
      <c r="L138" t="s">
        <v>127</v>
      </c>
      <c r="M138" s="32">
        <v>0.25</v>
      </c>
      <c r="N138" s="32">
        <v>0.59799999999999998</v>
      </c>
      <c r="O138" s="32">
        <v>0.54900000000000004</v>
      </c>
      <c r="AH138" s="5">
        <v>274</v>
      </c>
      <c r="AN138" s="13">
        <v>0.24</v>
      </c>
    </row>
    <row r="139" spans="1:40" x14ac:dyDescent="0.2">
      <c r="A139" s="39" t="s">
        <v>220</v>
      </c>
      <c r="C139" s="5" t="s">
        <v>30</v>
      </c>
      <c r="D139" s="16" t="s">
        <v>221</v>
      </c>
      <c r="E139" s="6" t="s">
        <v>222</v>
      </c>
      <c r="F139" s="29" t="s">
        <v>17</v>
      </c>
      <c r="G139" s="38" t="s">
        <v>25</v>
      </c>
      <c r="H139" s="31" t="s">
        <v>18</v>
      </c>
      <c r="J139" s="33"/>
      <c r="K139" t="s">
        <v>832</v>
      </c>
      <c r="L139" t="s">
        <v>220</v>
      </c>
      <c r="M139" s="35">
        <v>0.54</v>
      </c>
      <c r="N139" s="35">
        <v>0.53</v>
      </c>
      <c r="O139" s="32">
        <v>0.97</v>
      </c>
      <c r="AH139" s="14"/>
      <c r="AN139" s="13">
        <v>0.4</v>
      </c>
    </row>
    <row r="140" spans="1:40" x14ac:dyDescent="0.2">
      <c r="A140" t="s">
        <v>133</v>
      </c>
      <c r="C140" s="5" t="s">
        <v>15</v>
      </c>
      <c r="D140" s="6" t="s">
        <v>134</v>
      </c>
      <c r="F140" s="29" t="s">
        <v>17</v>
      </c>
      <c r="G140" s="38" t="s">
        <v>25</v>
      </c>
      <c r="H140" s="31" t="s">
        <v>18</v>
      </c>
      <c r="J140" s="33"/>
      <c r="L140" t="s">
        <v>133</v>
      </c>
      <c r="M140" s="35">
        <v>0.4</v>
      </c>
      <c r="N140" s="35">
        <v>0.18</v>
      </c>
      <c r="O140" s="32">
        <v>0.2</v>
      </c>
      <c r="AH140" s="5">
        <v>51</v>
      </c>
      <c r="AN140" s="13">
        <v>0.64</v>
      </c>
    </row>
    <row r="141" spans="1:40" x14ac:dyDescent="0.2">
      <c r="A141" t="s">
        <v>81</v>
      </c>
      <c r="C141" s="5" t="s">
        <v>45</v>
      </c>
      <c r="D141" s="6" t="s">
        <v>82</v>
      </c>
      <c r="F141" s="29" t="s">
        <v>17</v>
      </c>
      <c r="G141" s="38" t="s">
        <v>25</v>
      </c>
      <c r="H141" s="34" t="s">
        <v>26</v>
      </c>
      <c r="J141" s="33"/>
      <c r="K141" t="s">
        <v>847</v>
      </c>
      <c r="L141" t="s">
        <v>81</v>
      </c>
      <c r="M141" s="35">
        <v>0.27</v>
      </c>
      <c r="N141" s="35">
        <v>0.77</v>
      </c>
      <c r="O141" s="32">
        <v>0.11</v>
      </c>
      <c r="AH141" s="5">
        <v>164</v>
      </c>
      <c r="AN141" s="13">
        <v>0.42</v>
      </c>
    </row>
    <row r="142" spans="1:40" x14ac:dyDescent="0.2">
      <c r="A142" t="s">
        <v>159</v>
      </c>
      <c r="C142" s="5" t="s">
        <v>58</v>
      </c>
      <c r="D142" s="6" t="s">
        <v>160</v>
      </c>
      <c r="F142" s="29" t="s">
        <v>17</v>
      </c>
      <c r="G142" s="38" t="s">
        <v>25</v>
      </c>
      <c r="H142" s="31" t="s">
        <v>18</v>
      </c>
      <c r="J142" s="33"/>
      <c r="L142" t="s">
        <v>856</v>
      </c>
      <c r="M142" s="35">
        <v>1</v>
      </c>
      <c r="N142" s="35">
        <v>0.21</v>
      </c>
      <c r="O142" s="32">
        <v>0.93</v>
      </c>
      <c r="AH142" s="5">
        <v>108</v>
      </c>
      <c r="AN142" s="13">
        <v>0.32</v>
      </c>
    </row>
    <row r="143" spans="1:40" x14ac:dyDescent="0.2">
      <c r="A143" t="s">
        <v>223</v>
      </c>
      <c r="C143" s="5" t="s">
        <v>90</v>
      </c>
      <c r="D143" s="5" t="s">
        <v>198</v>
      </c>
      <c r="E143" s="5"/>
      <c r="F143" s="29" t="s">
        <v>17</v>
      </c>
      <c r="G143" s="30"/>
      <c r="H143" s="31" t="s">
        <v>18</v>
      </c>
      <c r="J143" s="33"/>
      <c r="L143" t="s">
        <v>223</v>
      </c>
      <c r="M143" s="32">
        <v>0.75700000000000001</v>
      </c>
      <c r="N143" s="32">
        <v>2.8000000000000001E-2</v>
      </c>
      <c r="O143" s="32">
        <v>0.93200000000000005</v>
      </c>
      <c r="AH143" s="5">
        <v>6</v>
      </c>
      <c r="AN143" s="13">
        <v>0.45</v>
      </c>
    </row>
    <row r="144" spans="1:40" x14ac:dyDescent="0.2">
      <c r="A144" t="s">
        <v>32</v>
      </c>
      <c r="C144" s="5" t="s">
        <v>33</v>
      </c>
      <c r="D144" s="5" t="s">
        <v>34</v>
      </c>
      <c r="E144" s="5"/>
      <c r="F144" s="29" t="s">
        <v>17</v>
      </c>
      <c r="G144" s="30"/>
      <c r="H144" s="31" t="s">
        <v>18</v>
      </c>
      <c r="J144" s="33"/>
      <c r="L144" t="s">
        <v>32</v>
      </c>
      <c r="M144" s="32">
        <v>0.98499999999999999</v>
      </c>
      <c r="N144" s="32">
        <v>0.92300000000000004</v>
      </c>
      <c r="O144" s="32">
        <v>4.4999999999999998E-2</v>
      </c>
      <c r="AH144" s="5">
        <v>111</v>
      </c>
      <c r="AN144" s="13">
        <v>0.64</v>
      </c>
    </row>
    <row r="145" spans="1:40" x14ac:dyDescent="0.2">
      <c r="A145" s="39" t="s">
        <v>83</v>
      </c>
      <c r="C145" s="5" t="s">
        <v>30</v>
      </c>
      <c r="D145" s="6" t="s">
        <v>84</v>
      </c>
      <c r="F145" s="29" t="s">
        <v>17</v>
      </c>
      <c r="G145" s="30" t="s">
        <v>25</v>
      </c>
      <c r="H145" s="31" t="s">
        <v>18</v>
      </c>
      <c r="J145" s="33"/>
      <c r="K145" t="s">
        <v>832</v>
      </c>
      <c r="L145" t="s">
        <v>83</v>
      </c>
      <c r="M145" s="35">
        <v>0.25</v>
      </c>
      <c r="N145" s="35">
        <v>0.93</v>
      </c>
      <c r="O145" s="32">
        <v>0.67</v>
      </c>
      <c r="AH145" s="14"/>
      <c r="AN145" s="13">
        <v>0.16</v>
      </c>
    </row>
    <row r="146" spans="1:40" x14ac:dyDescent="0.2">
      <c r="A146" t="s">
        <v>205</v>
      </c>
      <c r="C146" s="5" t="s">
        <v>95</v>
      </c>
      <c r="D146" s="5" t="s">
        <v>206</v>
      </c>
      <c r="E146" s="5"/>
      <c r="F146" s="29" t="s">
        <v>17</v>
      </c>
      <c r="G146" s="30"/>
      <c r="H146" s="31" t="s">
        <v>18</v>
      </c>
      <c r="J146" s="33"/>
      <c r="L146" t="s">
        <v>205</v>
      </c>
      <c r="M146" s="32">
        <v>0.29199999999999998</v>
      </c>
      <c r="N146" s="32">
        <v>0.91900000000000004</v>
      </c>
      <c r="O146" s="32">
        <v>0.20499999999999999</v>
      </c>
      <c r="AH146" s="5">
        <v>27</v>
      </c>
      <c r="AN146" s="13">
        <v>0.32</v>
      </c>
    </row>
    <row r="147" spans="1:40" x14ac:dyDescent="0.2">
      <c r="A147" t="s">
        <v>85</v>
      </c>
      <c r="B147" s="5" t="s">
        <v>838</v>
      </c>
      <c r="C147" s="5" t="s">
        <v>42</v>
      </c>
      <c r="D147" s="6" t="s">
        <v>86</v>
      </c>
      <c r="F147" s="29" t="s">
        <v>17</v>
      </c>
      <c r="G147" s="30" t="s">
        <v>25</v>
      </c>
      <c r="H147" s="34" t="s">
        <v>39</v>
      </c>
      <c r="I147" s="7" t="s">
        <v>18</v>
      </c>
      <c r="J147" s="33"/>
      <c r="K147" t="s">
        <v>847</v>
      </c>
      <c r="L147" t="s">
        <v>857</v>
      </c>
      <c r="M147" s="35">
        <v>0.43</v>
      </c>
      <c r="N147" s="35">
        <v>0.09</v>
      </c>
      <c r="O147" s="32">
        <v>0.74</v>
      </c>
      <c r="P147" t="s">
        <v>833</v>
      </c>
      <c r="R147" t="s">
        <v>834</v>
      </c>
      <c r="S147" t="s">
        <v>835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37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37</v>
      </c>
      <c r="AF147">
        <v>0</v>
      </c>
      <c r="AG147">
        <v>0</v>
      </c>
      <c r="AH147" s="5">
        <v>37</v>
      </c>
      <c r="AL147">
        <v>41</v>
      </c>
      <c r="AM147" s="36">
        <f>AL147/AH147</f>
        <v>1.1081081081081081</v>
      </c>
      <c r="AN147" s="13">
        <v>0.61</v>
      </c>
    </row>
    <row r="148" spans="1:40" x14ac:dyDescent="0.2">
      <c r="A148" t="s">
        <v>224</v>
      </c>
      <c r="C148" s="5" t="s">
        <v>225</v>
      </c>
      <c r="D148" s="5" t="s">
        <v>226</v>
      </c>
      <c r="E148" s="5"/>
      <c r="F148" s="29" t="s">
        <v>17</v>
      </c>
      <c r="G148" s="30"/>
      <c r="H148" s="34" t="s">
        <v>26</v>
      </c>
      <c r="J148" s="33"/>
      <c r="L148" t="s">
        <v>224</v>
      </c>
      <c r="M148" s="32">
        <v>0.442</v>
      </c>
      <c r="N148" s="32">
        <v>0.79900000000000004</v>
      </c>
      <c r="O148" s="32">
        <v>0.308</v>
      </c>
      <c r="AH148" s="5">
        <v>28</v>
      </c>
      <c r="AN148" s="13">
        <v>0.32</v>
      </c>
    </row>
    <row r="149" spans="1:40" x14ac:dyDescent="0.2">
      <c r="A149" t="s">
        <v>117</v>
      </c>
      <c r="C149" s="5" t="s">
        <v>15</v>
      </c>
      <c r="D149" s="5" t="s">
        <v>118</v>
      </c>
      <c r="E149" s="5"/>
      <c r="F149" s="29" t="s">
        <v>17</v>
      </c>
      <c r="G149" s="30"/>
      <c r="H149" s="34" t="s">
        <v>26</v>
      </c>
      <c r="J149" s="33"/>
      <c r="L149" t="s">
        <v>117</v>
      </c>
      <c r="M149" s="32">
        <v>0.79700000000000004</v>
      </c>
      <c r="N149" s="32">
        <v>8.2000000000000003E-2</v>
      </c>
      <c r="O149" s="32">
        <v>0.73799999999999999</v>
      </c>
      <c r="AH149" s="5">
        <v>6</v>
      </c>
      <c r="AN149" s="13">
        <v>0.64</v>
      </c>
    </row>
    <row r="150" spans="1:40" x14ac:dyDescent="0.2">
      <c r="A150" s="39" t="s">
        <v>227</v>
      </c>
      <c r="C150" s="5" t="s">
        <v>15</v>
      </c>
      <c r="D150" s="6" t="s">
        <v>228</v>
      </c>
      <c r="F150" s="29" t="s">
        <v>17</v>
      </c>
      <c r="G150" s="38" t="s">
        <v>25</v>
      </c>
      <c r="H150" s="31" t="s">
        <v>18</v>
      </c>
      <c r="J150" s="33"/>
      <c r="K150" t="s">
        <v>847</v>
      </c>
      <c r="L150" t="s">
        <v>227</v>
      </c>
      <c r="M150" s="35">
        <v>0.45</v>
      </c>
      <c r="N150" s="35">
        <v>0.25</v>
      </c>
      <c r="O150" s="32">
        <v>0.91</v>
      </c>
      <c r="AH150" s="14"/>
      <c r="AN150" s="13">
        <v>0.38</v>
      </c>
    </row>
    <row r="151" spans="1:40" x14ac:dyDescent="0.2">
      <c r="A151" t="s">
        <v>87</v>
      </c>
      <c r="C151" s="5" t="s">
        <v>42</v>
      </c>
      <c r="D151" s="6" t="s">
        <v>88</v>
      </c>
      <c r="F151" s="29" t="s">
        <v>17</v>
      </c>
      <c r="G151" s="38" t="s">
        <v>25</v>
      </c>
      <c r="H151" s="31" t="s">
        <v>18</v>
      </c>
      <c r="J151" s="33"/>
      <c r="L151" t="s">
        <v>87</v>
      </c>
      <c r="M151" s="35">
        <v>0.77</v>
      </c>
      <c r="N151" s="35">
        <v>0.38</v>
      </c>
      <c r="O151" s="32">
        <v>0.32</v>
      </c>
      <c r="AH151" s="5">
        <v>343</v>
      </c>
      <c r="AN151" s="13">
        <v>0.64</v>
      </c>
    </row>
    <row r="152" spans="1:40" x14ac:dyDescent="0.2">
      <c r="A152" t="s">
        <v>229</v>
      </c>
      <c r="C152" s="5" t="s">
        <v>42</v>
      </c>
      <c r="D152" s="6" t="s">
        <v>88</v>
      </c>
      <c r="F152" s="29" t="s">
        <v>17</v>
      </c>
      <c r="G152" s="38" t="s">
        <v>25</v>
      </c>
      <c r="H152" s="31" t="s">
        <v>18</v>
      </c>
      <c r="J152" s="33"/>
      <c r="L152" t="s">
        <v>229</v>
      </c>
      <c r="M152" s="35">
        <v>0.77</v>
      </c>
      <c r="N152" s="35">
        <v>0.38</v>
      </c>
      <c r="O152" s="32">
        <v>0.32</v>
      </c>
      <c r="AH152" s="5">
        <v>204</v>
      </c>
      <c r="AN152" s="13">
        <v>0.32</v>
      </c>
    </row>
    <row r="153" spans="1:40" x14ac:dyDescent="0.2">
      <c r="A153" t="s">
        <v>230</v>
      </c>
      <c r="C153" s="5" t="s">
        <v>42</v>
      </c>
      <c r="D153" s="6" t="s">
        <v>231</v>
      </c>
      <c r="F153" s="29" t="s">
        <v>17</v>
      </c>
      <c r="G153" s="38" t="s">
        <v>25</v>
      </c>
      <c r="H153" s="31" t="s">
        <v>18</v>
      </c>
      <c r="J153" s="33"/>
      <c r="L153" t="s">
        <v>230</v>
      </c>
      <c r="M153" s="35">
        <v>0.5</v>
      </c>
      <c r="N153" s="35">
        <v>0.56999999999999995</v>
      </c>
      <c r="O153" s="32">
        <v>0.18</v>
      </c>
      <c r="AH153" s="5">
        <v>68</v>
      </c>
      <c r="AN153" s="13">
        <v>0.64</v>
      </c>
    </row>
    <row r="154" spans="1:40" x14ac:dyDescent="0.2">
      <c r="A154" t="s">
        <v>232</v>
      </c>
      <c r="C154" s="5" t="s">
        <v>45</v>
      </c>
      <c r="D154" s="5" t="s">
        <v>172</v>
      </c>
      <c r="E154" s="5"/>
      <c r="F154" s="29" t="s">
        <v>17</v>
      </c>
      <c r="G154" s="30"/>
      <c r="H154" s="34" t="s">
        <v>26</v>
      </c>
      <c r="J154" s="33"/>
      <c r="L154" t="s">
        <v>232</v>
      </c>
      <c r="M154" s="32">
        <v>0.50700000000000001</v>
      </c>
      <c r="N154" s="32">
        <v>0.13400000000000001</v>
      </c>
      <c r="O154" s="32">
        <v>0.80600000000000005</v>
      </c>
      <c r="AH154" s="5">
        <v>50</v>
      </c>
      <c r="AN154" s="13">
        <v>0.64</v>
      </c>
    </row>
    <row r="155" spans="1:40" x14ac:dyDescent="0.2">
      <c r="A155" t="s">
        <v>135</v>
      </c>
      <c r="C155" s="5" t="s">
        <v>136</v>
      </c>
      <c r="D155" s="5" t="s">
        <v>137</v>
      </c>
      <c r="E155" s="5"/>
      <c r="F155" s="29" t="s">
        <v>17</v>
      </c>
      <c r="G155" s="30"/>
      <c r="H155" s="31" t="s">
        <v>18</v>
      </c>
      <c r="J155" s="33"/>
      <c r="L155" t="s">
        <v>135</v>
      </c>
      <c r="M155" s="32">
        <v>0.53</v>
      </c>
      <c r="N155" s="32">
        <v>0.121</v>
      </c>
      <c r="O155" s="32">
        <v>0.47299999999999998</v>
      </c>
      <c r="AH155" s="5">
        <v>57</v>
      </c>
      <c r="AN155" s="13">
        <v>0.64</v>
      </c>
    </row>
    <row r="156" spans="1:40" x14ac:dyDescent="0.2">
      <c r="A156" t="s">
        <v>41</v>
      </c>
      <c r="C156" s="5" t="s">
        <v>42</v>
      </c>
      <c r="D156" s="5" t="s">
        <v>43</v>
      </c>
      <c r="E156" s="5"/>
      <c r="F156" s="29" t="s">
        <v>17</v>
      </c>
      <c r="G156" s="38" t="s">
        <v>25</v>
      </c>
      <c r="H156" s="34" t="s">
        <v>26</v>
      </c>
      <c r="J156" s="33"/>
      <c r="L156" t="s">
        <v>41</v>
      </c>
      <c r="M156" s="32">
        <v>0.27300000000000002</v>
      </c>
      <c r="N156" s="32">
        <v>0.16700000000000001</v>
      </c>
      <c r="O156" s="32">
        <v>0.82199999999999995</v>
      </c>
      <c r="AH156" s="5">
        <v>199</v>
      </c>
      <c r="AN156" s="13">
        <v>0.42</v>
      </c>
    </row>
    <row r="157" spans="1:40" x14ac:dyDescent="0.2">
      <c r="A157" t="s">
        <v>60</v>
      </c>
      <c r="C157" s="5" t="s">
        <v>42</v>
      </c>
      <c r="D157" s="6" t="s">
        <v>61</v>
      </c>
      <c r="F157" s="29" t="s">
        <v>17</v>
      </c>
      <c r="G157" s="38" t="s">
        <v>25</v>
      </c>
      <c r="H157" s="34" t="s">
        <v>26</v>
      </c>
      <c r="J157" s="33"/>
      <c r="L157" t="s">
        <v>60</v>
      </c>
      <c r="M157" s="35">
        <v>0.09</v>
      </c>
      <c r="N157" s="35">
        <v>0.3</v>
      </c>
      <c r="O157" s="32">
        <v>0.62</v>
      </c>
      <c r="AH157" s="14" t="s">
        <v>62</v>
      </c>
      <c r="AN157" s="13">
        <v>0.18</v>
      </c>
    </row>
    <row r="158" spans="1:40" x14ac:dyDescent="0.2">
      <c r="A158" t="s">
        <v>129</v>
      </c>
      <c r="C158" s="5" t="s">
        <v>15</v>
      </c>
      <c r="D158" s="5" t="s">
        <v>130</v>
      </c>
      <c r="E158" s="5"/>
      <c r="F158" s="29" t="s">
        <v>17</v>
      </c>
      <c r="G158" s="30"/>
      <c r="H158" s="34" t="s">
        <v>26</v>
      </c>
      <c r="J158" s="33"/>
      <c r="L158" t="s">
        <v>129</v>
      </c>
      <c r="M158" s="32">
        <v>0.52900000000000003</v>
      </c>
      <c r="N158" s="32">
        <v>0.625</v>
      </c>
      <c r="O158" s="32">
        <v>0.106</v>
      </c>
      <c r="AH158" s="5">
        <v>130</v>
      </c>
      <c r="AN158" s="13">
        <v>0.23</v>
      </c>
    </row>
    <row r="159" spans="1:40" x14ac:dyDescent="0.2">
      <c r="A159" s="39" t="s">
        <v>367</v>
      </c>
      <c r="C159" s="5" t="s">
        <v>145</v>
      </c>
      <c r="D159" s="6" t="s">
        <v>368</v>
      </c>
      <c r="F159" s="29" t="s">
        <v>17</v>
      </c>
      <c r="G159" s="30" t="s">
        <v>25</v>
      </c>
      <c r="H159" s="34" t="s">
        <v>26</v>
      </c>
      <c r="J159" s="33"/>
      <c r="L159" t="s">
        <v>367</v>
      </c>
      <c r="M159" s="35">
        <v>0.99</v>
      </c>
      <c r="N159" s="35">
        <v>0.43</v>
      </c>
      <c r="O159" s="32">
        <v>0.36</v>
      </c>
      <c r="AH159" s="5">
        <v>154</v>
      </c>
      <c r="AN159" s="13">
        <v>0.4</v>
      </c>
    </row>
    <row r="160" spans="1:40" x14ac:dyDescent="0.2">
      <c r="A160" t="s">
        <v>339</v>
      </c>
      <c r="C160" s="5" t="s">
        <v>103</v>
      </c>
      <c r="D160" s="5" t="s">
        <v>294</v>
      </c>
      <c r="E160" s="5"/>
      <c r="F160" s="29" t="s">
        <v>17</v>
      </c>
      <c r="G160" s="30"/>
      <c r="H160" s="31" t="s">
        <v>18</v>
      </c>
      <c r="J160" s="33"/>
      <c r="L160" t="s">
        <v>339</v>
      </c>
      <c r="M160" s="32">
        <v>0.746</v>
      </c>
      <c r="N160" s="32">
        <v>0.152</v>
      </c>
      <c r="O160" s="32">
        <v>0.88200000000000001</v>
      </c>
      <c r="AH160" s="5">
        <v>11</v>
      </c>
      <c r="AN160" s="13">
        <v>0.96</v>
      </c>
    </row>
    <row r="161" spans="1:44" x14ac:dyDescent="0.2">
      <c r="A161" t="s">
        <v>94</v>
      </c>
      <c r="C161" s="5" t="s">
        <v>95</v>
      </c>
      <c r="D161" s="5" t="s">
        <v>96</v>
      </c>
      <c r="E161" s="5"/>
      <c r="F161" s="29" t="s">
        <v>17</v>
      </c>
      <c r="G161" s="30"/>
      <c r="H161" s="31" t="s">
        <v>18</v>
      </c>
      <c r="J161" s="33"/>
      <c r="L161" t="s">
        <v>94</v>
      </c>
      <c r="M161" s="32">
        <v>0.28799999999999998</v>
      </c>
      <c r="N161" s="32">
        <v>0.438</v>
      </c>
      <c r="O161" s="32">
        <v>0.86599999999999999</v>
      </c>
      <c r="AH161" s="5">
        <v>8</v>
      </c>
      <c r="AN161" s="13">
        <v>0.86</v>
      </c>
    </row>
    <row r="162" spans="1:44" x14ac:dyDescent="0.2">
      <c r="A162" t="s">
        <v>161</v>
      </c>
      <c r="C162" s="5" t="s">
        <v>103</v>
      </c>
      <c r="D162" s="6" t="s">
        <v>162</v>
      </c>
      <c r="F162" s="29" t="s">
        <v>17</v>
      </c>
      <c r="G162" s="38" t="s">
        <v>25</v>
      </c>
      <c r="H162" s="31" t="s">
        <v>18</v>
      </c>
      <c r="J162" s="33"/>
      <c r="L162" t="s">
        <v>858</v>
      </c>
      <c r="M162" s="35">
        <v>0.7</v>
      </c>
      <c r="N162" s="35">
        <v>0.28999999999999998</v>
      </c>
      <c r="O162" s="32">
        <v>0.6</v>
      </c>
      <c r="AH162" s="5">
        <v>136</v>
      </c>
      <c r="AN162" s="13">
        <v>0.35</v>
      </c>
    </row>
    <row r="163" spans="1:44" x14ac:dyDescent="0.2">
      <c r="A163" t="s">
        <v>102</v>
      </c>
      <c r="C163" s="5" t="s">
        <v>103</v>
      </c>
      <c r="D163" s="5" t="s">
        <v>104</v>
      </c>
      <c r="E163" s="5"/>
      <c r="F163" s="29" t="s">
        <v>17</v>
      </c>
      <c r="G163" s="30" t="s">
        <v>25</v>
      </c>
      <c r="H163" s="34" t="s">
        <v>105</v>
      </c>
      <c r="J163" s="33"/>
      <c r="L163" t="s">
        <v>102</v>
      </c>
      <c r="M163" s="32">
        <v>0.69899999999999995</v>
      </c>
      <c r="N163" s="32">
        <v>7.0999999999999994E-2</v>
      </c>
      <c r="O163" s="32">
        <v>0.94699999999999995</v>
      </c>
      <c r="AH163" s="5">
        <v>36</v>
      </c>
      <c r="AN163" s="13">
        <v>0.45</v>
      </c>
    </row>
    <row r="164" spans="1:44" x14ac:dyDescent="0.2">
      <c r="A164" s="39" t="s">
        <v>233</v>
      </c>
      <c r="C164" s="5" t="s">
        <v>30</v>
      </c>
      <c r="D164" s="6" t="s">
        <v>120</v>
      </c>
      <c r="F164" s="29" t="s">
        <v>17</v>
      </c>
      <c r="G164" s="38" t="s">
        <v>25</v>
      </c>
      <c r="H164" s="31" t="s">
        <v>18</v>
      </c>
      <c r="J164" s="33"/>
      <c r="K164" t="s">
        <v>832</v>
      </c>
      <c r="L164" t="s">
        <v>233</v>
      </c>
      <c r="M164" s="35">
        <v>0.22</v>
      </c>
      <c r="N164" s="35">
        <v>0.6</v>
      </c>
      <c r="O164" s="32">
        <v>0.99</v>
      </c>
      <c r="P164" t="s">
        <v>833</v>
      </c>
      <c r="Q164" t="s">
        <v>849</v>
      </c>
      <c r="R164" t="s">
        <v>834</v>
      </c>
      <c r="S164" t="s">
        <v>835</v>
      </c>
      <c r="T164">
        <v>51</v>
      </c>
      <c r="U164">
        <v>15</v>
      </c>
      <c r="V164">
        <v>0</v>
      </c>
      <c r="W164">
        <v>0</v>
      </c>
      <c r="X164">
        <v>0</v>
      </c>
      <c r="Y164">
        <v>155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206</v>
      </c>
      <c r="AF164">
        <v>0</v>
      </c>
      <c r="AG164">
        <v>0</v>
      </c>
      <c r="AH164" s="14"/>
      <c r="AL164">
        <v>192</v>
      </c>
      <c r="AM164" s="36" t="e">
        <f>AL164/AH164</f>
        <v>#DIV/0!</v>
      </c>
      <c r="AN164" s="13">
        <v>0.37</v>
      </c>
    </row>
    <row r="165" spans="1:44" x14ac:dyDescent="0.2">
      <c r="A165" t="s">
        <v>269</v>
      </c>
      <c r="B165" s="5" t="s">
        <v>838</v>
      </c>
      <c r="C165" s="5" t="s">
        <v>42</v>
      </c>
      <c r="D165" s="6" t="s">
        <v>98</v>
      </c>
      <c r="F165" s="29" t="s">
        <v>17</v>
      </c>
      <c r="G165" s="30" t="s">
        <v>25</v>
      </c>
      <c r="H165" s="34" t="s">
        <v>39</v>
      </c>
      <c r="J165" s="33"/>
      <c r="K165" t="s">
        <v>859</v>
      </c>
      <c r="L165" t="s">
        <v>269</v>
      </c>
      <c r="M165" s="35">
        <v>0.39</v>
      </c>
      <c r="N165" s="35">
        <v>7.0000000000000007E-2</v>
      </c>
      <c r="O165" s="32">
        <v>0.89</v>
      </c>
      <c r="AH165" s="5">
        <v>16</v>
      </c>
      <c r="AN165" s="13">
        <v>0.64</v>
      </c>
    </row>
    <row r="166" spans="1:44" x14ac:dyDescent="0.2">
      <c r="A166" t="s">
        <v>22</v>
      </c>
      <c r="C166" s="5" t="s">
        <v>23</v>
      </c>
      <c r="D166" s="6" t="s">
        <v>24</v>
      </c>
      <c r="F166" s="29" t="s">
        <v>17</v>
      </c>
      <c r="G166" s="38" t="s">
        <v>25</v>
      </c>
      <c r="H166" s="34" t="s">
        <v>26</v>
      </c>
      <c r="J166" s="33"/>
      <c r="L166" t="s">
        <v>22</v>
      </c>
      <c r="M166" s="35">
        <v>0.65</v>
      </c>
      <c r="N166" s="35">
        <v>0.06</v>
      </c>
      <c r="O166" s="32">
        <v>0.77</v>
      </c>
      <c r="AH166" s="5">
        <v>391</v>
      </c>
      <c r="AN166" s="13">
        <v>0.71</v>
      </c>
    </row>
    <row r="167" spans="1:44" x14ac:dyDescent="0.2">
      <c r="A167" t="s">
        <v>180</v>
      </c>
      <c r="C167" s="5" t="s">
        <v>23</v>
      </c>
      <c r="D167" s="5" t="s">
        <v>181</v>
      </c>
      <c r="E167" s="5"/>
      <c r="F167" s="29" t="s">
        <v>17</v>
      </c>
      <c r="G167" s="30"/>
      <c r="H167" s="31" t="s">
        <v>18</v>
      </c>
      <c r="J167" s="33"/>
      <c r="L167" t="s">
        <v>180</v>
      </c>
      <c r="M167" s="32">
        <v>0.26600000000000001</v>
      </c>
      <c r="N167" s="32">
        <v>0.26200000000000001</v>
      </c>
      <c r="O167" s="32">
        <v>0.45100000000000001</v>
      </c>
      <c r="AH167" s="5">
        <v>31</v>
      </c>
      <c r="AN167" s="13">
        <v>0.1</v>
      </c>
    </row>
    <row r="168" spans="1:44" x14ac:dyDescent="0.2">
      <c r="A168" t="s">
        <v>324</v>
      </c>
      <c r="C168" s="5" t="s">
        <v>23</v>
      </c>
      <c r="D168" s="6" t="s">
        <v>325</v>
      </c>
      <c r="F168" s="29" t="s">
        <v>17</v>
      </c>
      <c r="G168" s="38" t="s">
        <v>25</v>
      </c>
      <c r="H168" s="34" t="s">
        <v>26</v>
      </c>
      <c r="J168" s="33"/>
      <c r="L168" t="s">
        <v>324</v>
      </c>
      <c r="M168" s="35">
        <v>0.77</v>
      </c>
      <c r="N168" s="35">
        <v>0.32</v>
      </c>
      <c r="O168" s="32">
        <v>0.77</v>
      </c>
      <c r="AH168" s="5">
        <v>85</v>
      </c>
      <c r="AN168" s="13">
        <v>0.51</v>
      </c>
    </row>
    <row r="169" spans="1:44" x14ac:dyDescent="0.2">
      <c r="A169" t="s">
        <v>174</v>
      </c>
      <c r="C169" s="5" t="s">
        <v>103</v>
      </c>
      <c r="D169" s="6" t="s">
        <v>175</v>
      </c>
      <c r="F169" s="29" t="s">
        <v>17</v>
      </c>
      <c r="G169" s="38" t="s">
        <v>25</v>
      </c>
      <c r="H169" s="31" t="s">
        <v>18</v>
      </c>
      <c r="J169" s="33"/>
      <c r="L169" t="s">
        <v>174</v>
      </c>
      <c r="M169" s="35">
        <v>0.86</v>
      </c>
      <c r="N169" s="35">
        <v>0.02</v>
      </c>
      <c r="O169" s="32">
        <v>1</v>
      </c>
      <c r="AH169" s="5">
        <v>17</v>
      </c>
      <c r="AN169" s="13">
        <v>0.81</v>
      </c>
    </row>
    <row r="170" spans="1:44" x14ac:dyDescent="0.2">
      <c r="A170" t="s">
        <v>261</v>
      </c>
      <c r="C170" s="5" t="s">
        <v>103</v>
      </c>
      <c r="D170" s="5" t="s">
        <v>175</v>
      </c>
      <c r="E170" s="5"/>
      <c r="F170" s="29" t="s">
        <v>17</v>
      </c>
      <c r="G170" s="30"/>
      <c r="H170" s="31" t="s">
        <v>18</v>
      </c>
      <c r="J170" s="33"/>
      <c r="L170" t="s">
        <v>261</v>
      </c>
      <c r="M170" s="32">
        <v>0.85599999999999998</v>
      </c>
      <c r="N170" s="32">
        <v>2.1000000000000001E-2</v>
      </c>
      <c r="O170" s="32">
        <v>0.995</v>
      </c>
      <c r="AH170" s="5">
        <v>20</v>
      </c>
      <c r="AN170" s="13">
        <v>0.5</v>
      </c>
      <c r="AR170" s="21"/>
    </row>
    <row r="171" spans="1:44" x14ac:dyDescent="0.2">
      <c r="A171" t="s">
        <v>369</v>
      </c>
      <c r="C171" s="5" t="s">
        <v>103</v>
      </c>
      <c r="D171" s="5" t="s">
        <v>175</v>
      </c>
      <c r="E171" s="5"/>
      <c r="F171" s="29" t="s">
        <v>17</v>
      </c>
      <c r="G171" s="30"/>
      <c r="H171" s="31" t="s">
        <v>18</v>
      </c>
      <c r="J171" s="33"/>
      <c r="L171" t="s">
        <v>369</v>
      </c>
      <c r="M171" s="32">
        <v>0.85599999999999998</v>
      </c>
      <c r="N171" s="32">
        <v>2.1000000000000001E-2</v>
      </c>
      <c r="O171" s="32">
        <v>0.995</v>
      </c>
      <c r="AH171" s="5">
        <v>20</v>
      </c>
      <c r="AN171" s="13">
        <v>0.7</v>
      </c>
    </row>
    <row r="172" spans="1:44" x14ac:dyDescent="0.2">
      <c r="A172" t="s">
        <v>284</v>
      </c>
      <c r="C172" s="5" t="s">
        <v>15</v>
      </c>
      <c r="D172" s="5" t="s">
        <v>50</v>
      </c>
      <c r="E172" s="5"/>
      <c r="F172" s="29" t="s">
        <v>17</v>
      </c>
      <c r="G172" s="30"/>
      <c r="H172" s="34" t="s">
        <v>26</v>
      </c>
      <c r="J172" s="33"/>
      <c r="L172" t="s">
        <v>284</v>
      </c>
      <c r="M172" s="32">
        <v>0.76700000000000002</v>
      </c>
      <c r="N172" s="32">
        <v>0.214</v>
      </c>
      <c r="O172" s="32">
        <v>0.98399999999999999</v>
      </c>
      <c r="AH172" s="5">
        <v>8</v>
      </c>
      <c r="AN172" s="13">
        <v>0.96</v>
      </c>
    </row>
    <row r="173" spans="1:44" x14ac:dyDescent="0.2">
      <c r="A173" t="s">
        <v>359</v>
      </c>
      <c r="C173" s="5" t="s">
        <v>148</v>
      </c>
      <c r="D173" s="6" t="s">
        <v>149</v>
      </c>
      <c r="F173" s="29" t="s">
        <v>17</v>
      </c>
      <c r="G173" s="38" t="s">
        <v>25</v>
      </c>
      <c r="H173" s="31" t="s">
        <v>18</v>
      </c>
      <c r="J173" s="33"/>
      <c r="L173" t="s">
        <v>359</v>
      </c>
      <c r="M173" s="35">
        <v>0.56999999999999995</v>
      </c>
      <c r="N173" s="35">
        <v>0.4</v>
      </c>
      <c r="O173" s="32">
        <v>0.65</v>
      </c>
      <c r="AH173" s="5">
        <v>26</v>
      </c>
      <c r="AN173" s="13">
        <v>0.72</v>
      </c>
    </row>
    <row r="174" spans="1:44" x14ac:dyDescent="0.2">
      <c r="A174" t="s">
        <v>190</v>
      </c>
      <c r="C174" s="5" t="s">
        <v>52</v>
      </c>
      <c r="D174" s="5" t="s">
        <v>191</v>
      </c>
      <c r="E174" s="5"/>
      <c r="F174" s="29" t="s">
        <v>17</v>
      </c>
      <c r="G174" s="30"/>
      <c r="H174" s="31" t="s">
        <v>18</v>
      </c>
      <c r="J174" s="33"/>
      <c r="L174" t="s">
        <v>190</v>
      </c>
      <c r="M174" s="32">
        <v>0.315</v>
      </c>
      <c r="N174" s="32">
        <v>0.27400000000000002</v>
      </c>
      <c r="O174" s="32">
        <v>0.53100000000000003</v>
      </c>
      <c r="AH174" s="5">
        <v>4</v>
      </c>
      <c r="AN174" s="13">
        <v>0.92</v>
      </c>
    </row>
    <row r="175" spans="1:44" x14ac:dyDescent="0.2">
      <c r="A175" t="s">
        <v>176</v>
      </c>
      <c r="C175" s="5" t="s">
        <v>30</v>
      </c>
      <c r="D175" s="5" t="s">
        <v>120</v>
      </c>
      <c r="E175" s="5"/>
      <c r="F175" s="29" t="s">
        <v>17</v>
      </c>
      <c r="G175" s="38" t="s">
        <v>25</v>
      </c>
      <c r="H175" s="31" t="s">
        <v>18</v>
      </c>
      <c r="J175" s="33"/>
      <c r="L175" t="s">
        <v>176</v>
      </c>
      <c r="M175" s="32">
        <v>0.221</v>
      </c>
      <c r="N175" s="32">
        <v>0.59899999999999998</v>
      </c>
      <c r="O175" s="32">
        <v>0.98799999999999999</v>
      </c>
      <c r="AH175" s="5">
        <v>71</v>
      </c>
      <c r="AN175" s="13">
        <v>0.56999999999999995</v>
      </c>
    </row>
    <row r="176" spans="1:44" x14ac:dyDescent="0.2">
      <c r="A176" t="s">
        <v>253</v>
      </c>
      <c r="C176" s="5" t="s">
        <v>15</v>
      </c>
      <c r="D176" s="6" t="s">
        <v>118</v>
      </c>
      <c r="F176" s="29" t="s">
        <v>17</v>
      </c>
      <c r="G176" s="38" t="s">
        <v>25</v>
      </c>
      <c r="H176" s="31" t="s">
        <v>18</v>
      </c>
      <c r="J176" s="33"/>
      <c r="K176" t="s">
        <v>847</v>
      </c>
      <c r="L176" t="s">
        <v>253</v>
      </c>
      <c r="M176" s="35">
        <v>0.8</v>
      </c>
      <c r="N176" s="35">
        <v>0.08</v>
      </c>
      <c r="O176" s="32">
        <v>0.74</v>
      </c>
      <c r="AH176" s="5">
        <v>19</v>
      </c>
      <c r="AN176" s="13">
        <v>0.5</v>
      </c>
    </row>
    <row r="177" spans="1:40" x14ac:dyDescent="0.2">
      <c r="A177" t="s">
        <v>152</v>
      </c>
      <c r="C177" s="5" t="s">
        <v>23</v>
      </c>
      <c r="D177" s="6" t="s">
        <v>153</v>
      </c>
      <c r="F177" s="29" t="s">
        <v>17</v>
      </c>
      <c r="G177" s="38" t="s">
        <v>25</v>
      </c>
      <c r="H177" s="31" t="s">
        <v>18</v>
      </c>
      <c r="J177" s="33"/>
      <c r="L177" t="s">
        <v>152</v>
      </c>
      <c r="M177" s="35">
        <v>0.6</v>
      </c>
      <c r="N177" s="35">
        <v>0.03</v>
      </c>
      <c r="O177" s="32">
        <v>0.95</v>
      </c>
      <c r="AH177" s="5">
        <v>103</v>
      </c>
      <c r="AN177" s="13">
        <v>0.69</v>
      </c>
    </row>
    <row r="178" spans="1:40" x14ac:dyDescent="0.2">
      <c r="A178" t="s">
        <v>144</v>
      </c>
      <c r="C178" s="5" t="s">
        <v>145</v>
      </c>
      <c r="D178" s="5" t="s">
        <v>146</v>
      </c>
      <c r="E178" s="5"/>
      <c r="F178" s="29" t="s">
        <v>17</v>
      </c>
      <c r="G178" s="30"/>
      <c r="H178" s="34" t="s">
        <v>26</v>
      </c>
      <c r="J178" s="33"/>
      <c r="L178" t="s">
        <v>144</v>
      </c>
      <c r="M178" s="32">
        <v>0.94299999999999995</v>
      </c>
      <c r="N178" s="32">
        <v>0.57699999999999996</v>
      </c>
      <c r="O178" s="32">
        <v>0.51900000000000002</v>
      </c>
      <c r="AH178" s="5">
        <v>69</v>
      </c>
      <c r="AN178" s="13">
        <v>0.44</v>
      </c>
    </row>
    <row r="179" spans="1:40" x14ac:dyDescent="0.2">
      <c r="A179" t="s">
        <v>147</v>
      </c>
      <c r="C179" s="5" t="s">
        <v>148</v>
      </c>
      <c r="D179" s="5" t="s">
        <v>149</v>
      </c>
      <c r="E179" s="5"/>
      <c r="F179" s="29" t="s">
        <v>17</v>
      </c>
      <c r="G179" s="30"/>
      <c r="H179" s="31" t="s">
        <v>18</v>
      </c>
      <c r="J179" s="33"/>
      <c r="L179" t="s">
        <v>147</v>
      </c>
      <c r="M179" s="32">
        <v>0.56999999999999995</v>
      </c>
      <c r="N179" s="32">
        <v>0.40100000000000002</v>
      </c>
      <c r="O179" s="32">
        <v>0.64900000000000002</v>
      </c>
      <c r="AH179" s="5">
        <v>24</v>
      </c>
      <c r="AN179" s="13">
        <v>0.43</v>
      </c>
    </row>
    <row r="180" spans="1:40" x14ac:dyDescent="0.2">
      <c r="A180" s="39" t="s">
        <v>343</v>
      </c>
      <c r="C180" s="5" t="s">
        <v>20</v>
      </c>
      <c r="D180" s="5" t="s">
        <v>155</v>
      </c>
      <c r="E180" s="5"/>
      <c r="F180" s="29" t="s">
        <v>17</v>
      </c>
      <c r="G180" s="30"/>
      <c r="H180" s="31" t="s">
        <v>18</v>
      </c>
      <c r="J180" s="33"/>
      <c r="L180" t="s">
        <v>343</v>
      </c>
      <c r="M180" s="32">
        <v>0.55700000000000005</v>
      </c>
      <c r="N180" s="32">
        <v>0.25800000000000001</v>
      </c>
      <c r="O180" s="32">
        <v>0.43</v>
      </c>
      <c r="AH180" s="5">
        <v>1</v>
      </c>
      <c r="AN180" s="13">
        <v>0.43</v>
      </c>
    </row>
    <row r="181" spans="1:40" x14ac:dyDescent="0.2">
      <c r="A181" s="39" t="s">
        <v>154</v>
      </c>
      <c r="C181" s="5" t="s">
        <v>20</v>
      </c>
      <c r="D181" s="5" t="s">
        <v>155</v>
      </c>
      <c r="E181" s="5"/>
      <c r="F181" s="29" t="s">
        <v>17</v>
      </c>
      <c r="G181" s="30"/>
      <c r="H181" s="31" t="s">
        <v>18</v>
      </c>
      <c r="J181" s="33"/>
      <c r="L181" t="s">
        <v>154</v>
      </c>
      <c r="M181" s="32">
        <v>0.55700000000000005</v>
      </c>
      <c r="N181" s="32">
        <v>0.25800000000000001</v>
      </c>
      <c r="O181" s="32">
        <v>0.43</v>
      </c>
      <c r="AH181" s="5">
        <v>9</v>
      </c>
      <c r="AN181" s="13">
        <v>0.88</v>
      </c>
    </row>
    <row r="182" spans="1:40" x14ac:dyDescent="0.2">
      <c r="A182" t="s">
        <v>163</v>
      </c>
      <c r="C182" s="5" t="s">
        <v>136</v>
      </c>
      <c r="D182" s="6" t="s">
        <v>164</v>
      </c>
      <c r="F182" s="29" t="s">
        <v>17</v>
      </c>
      <c r="G182" s="38" t="s">
        <v>25</v>
      </c>
      <c r="H182" s="31" t="s">
        <v>18</v>
      </c>
      <c r="J182" s="33"/>
      <c r="L182" t="s">
        <v>163</v>
      </c>
      <c r="M182" s="35">
        <v>0.78</v>
      </c>
      <c r="N182" s="35">
        <v>0.05</v>
      </c>
      <c r="O182" s="32">
        <v>0.88</v>
      </c>
      <c r="AH182" s="5">
        <v>212</v>
      </c>
      <c r="AN182" s="13">
        <v>0.44</v>
      </c>
    </row>
    <row r="183" spans="1:40" x14ac:dyDescent="0.2">
      <c r="A183" t="s">
        <v>366</v>
      </c>
      <c r="C183" s="5" t="s">
        <v>95</v>
      </c>
      <c r="D183" s="6" t="s">
        <v>304</v>
      </c>
      <c r="F183" s="29" t="s">
        <v>17</v>
      </c>
      <c r="G183" s="38" t="s">
        <v>25</v>
      </c>
      <c r="H183" s="34" t="s">
        <v>26</v>
      </c>
      <c r="J183" s="33"/>
      <c r="L183" t="s">
        <v>366</v>
      </c>
      <c r="M183" s="35">
        <v>0.71</v>
      </c>
      <c r="N183" s="35">
        <v>0.28000000000000003</v>
      </c>
      <c r="O183" s="32">
        <v>0.36</v>
      </c>
      <c r="AH183" s="5">
        <v>83</v>
      </c>
      <c r="AN183" s="13">
        <v>0.45</v>
      </c>
    </row>
    <row r="184" spans="1:40" x14ac:dyDescent="0.2">
      <c r="A184" t="s">
        <v>150</v>
      </c>
      <c r="C184" s="5" t="s">
        <v>58</v>
      </c>
      <c r="D184" s="6" t="s">
        <v>151</v>
      </c>
      <c r="F184" s="29" t="s">
        <v>17</v>
      </c>
      <c r="G184" s="38" t="s">
        <v>25</v>
      </c>
      <c r="H184" s="34" t="s">
        <v>26</v>
      </c>
      <c r="J184" s="33"/>
      <c r="L184" t="s">
        <v>150</v>
      </c>
      <c r="M184" s="35">
        <v>0.56999999999999995</v>
      </c>
      <c r="N184" s="35">
        <v>0.2</v>
      </c>
      <c r="O184" s="32">
        <v>0.4</v>
      </c>
      <c r="AH184" s="5">
        <v>58</v>
      </c>
      <c r="AN184" s="13">
        <v>0.95</v>
      </c>
    </row>
    <row r="185" spans="1:40" x14ac:dyDescent="0.2">
      <c r="A185" t="s">
        <v>344</v>
      </c>
      <c r="C185" s="5" t="s">
        <v>30</v>
      </c>
      <c r="D185" s="5" t="s">
        <v>345</v>
      </c>
      <c r="E185" s="5"/>
      <c r="F185" s="29" t="s">
        <v>17</v>
      </c>
      <c r="G185" s="38" t="s">
        <v>25</v>
      </c>
      <c r="H185" s="31" t="s">
        <v>18</v>
      </c>
      <c r="J185" s="33"/>
      <c r="L185" t="s">
        <v>344</v>
      </c>
      <c r="M185" s="32">
        <v>0.98099999999999998</v>
      </c>
      <c r="N185" s="32">
        <v>7.0000000000000007E-2</v>
      </c>
      <c r="O185" s="32">
        <v>1</v>
      </c>
      <c r="AH185" s="5">
        <v>35</v>
      </c>
      <c r="AN185" s="13">
        <v>0.43</v>
      </c>
    </row>
    <row r="186" spans="1:40" x14ac:dyDescent="0.2">
      <c r="A186" t="s">
        <v>308</v>
      </c>
      <c r="C186" s="5" t="s">
        <v>30</v>
      </c>
      <c r="D186" s="5" t="s">
        <v>31</v>
      </c>
      <c r="E186" s="5"/>
      <c r="F186" s="29" t="s">
        <v>17</v>
      </c>
      <c r="G186" s="30"/>
      <c r="H186" s="31" t="s">
        <v>18</v>
      </c>
      <c r="J186" s="33"/>
      <c r="L186" t="s">
        <v>308</v>
      </c>
      <c r="M186" s="32">
        <v>0.76100000000000001</v>
      </c>
      <c r="N186" s="32">
        <v>4.9000000000000002E-2</v>
      </c>
      <c r="O186" s="32">
        <v>0.997</v>
      </c>
      <c r="AH186" s="5">
        <v>17</v>
      </c>
      <c r="AN186" s="13">
        <v>0.88</v>
      </c>
    </row>
    <row r="187" spans="1:40" x14ac:dyDescent="0.2">
      <c r="A187" t="s">
        <v>370</v>
      </c>
      <c r="B187" s="5" t="s">
        <v>860</v>
      </c>
      <c r="C187" s="5" t="s">
        <v>90</v>
      </c>
      <c r="D187" s="16"/>
      <c r="E187" s="16"/>
      <c r="F187" s="29" t="s">
        <v>17</v>
      </c>
      <c r="G187" s="30" t="s">
        <v>25</v>
      </c>
      <c r="H187" s="31" t="s">
        <v>18</v>
      </c>
      <c r="J187" s="33"/>
      <c r="K187" t="s">
        <v>861</v>
      </c>
      <c r="L187" t="s">
        <v>370</v>
      </c>
      <c r="M187" s="5"/>
      <c r="N187" s="5"/>
      <c r="O187" s="5"/>
      <c r="P187" t="s">
        <v>833</v>
      </c>
      <c r="R187" t="s">
        <v>834</v>
      </c>
      <c r="S187" t="s">
        <v>855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35</v>
      </c>
      <c r="Z187">
        <v>0</v>
      </c>
      <c r="AA187">
        <v>14</v>
      </c>
      <c r="AB187">
        <v>35</v>
      </c>
      <c r="AC187">
        <v>0</v>
      </c>
      <c r="AD187">
        <v>0</v>
      </c>
      <c r="AE187">
        <v>35</v>
      </c>
      <c r="AF187">
        <v>0</v>
      </c>
      <c r="AG187">
        <v>0</v>
      </c>
      <c r="AH187" s="14">
        <v>35</v>
      </c>
      <c r="AI187" s="14">
        <v>6</v>
      </c>
      <c r="AL187">
        <v>33</v>
      </c>
      <c r="AM187" s="36">
        <f>AL187/AH187</f>
        <v>0.94285714285714284</v>
      </c>
      <c r="AN187" s="13">
        <v>0.75</v>
      </c>
    </row>
    <row r="188" spans="1:40" x14ac:dyDescent="0.2">
      <c r="A188" t="s">
        <v>262</v>
      </c>
      <c r="C188" s="5" t="s">
        <v>42</v>
      </c>
      <c r="D188" s="6" t="s">
        <v>238</v>
      </c>
      <c r="F188" s="29" t="s">
        <v>17</v>
      </c>
      <c r="G188" s="38" t="s">
        <v>25</v>
      </c>
      <c r="H188" s="34" t="s">
        <v>26</v>
      </c>
      <c r="J188" s="33"/>
      <c r="L188" t="s">
        <v>262</v>
      </c>
      <c r="M188" s="35">
        <v>0.3</v>
      </c>
      <c r="N188" s="35">
        <v>0.02</v>
      </c>
      <c r="O188" s="32">
        <v>0.94</v>
      </c>
      <c r="AH188" s="5">
        <v>58</v>
      </c>
      <c r="AN188" s="13">
        <v>0.96</v>
      </c>
    </row>
    <row r="189" spans="1:40" x14ac:dyDescent="0.2">
      <c r="A189" t="s">
        <v>350</v>
      </c>
      <c r="C189" s="5" t="s">
        <v>136</v>
      </c>
      <c r="D189" s="6" t="s">
        <v>351</v>
      </c>
      <c r="F189" s="29" t="s">
        <v>17</v>
      </c>
      <c r="G189" s="38" t="s">
        <v>25</v>
      </c>
      <c r="H189" s="34" t="s">
        <v>26</v>
      </c>
      <c r="J189" s="33"/>
      <c r="L189" t="s">
        <v>350</v>
      </c>
      <c r="M189" s="35">
        <v>0.33</v>
      </c>
      <c r="N189" s="35">
        <v>0.44</v>
      </c>
      <c r="O189" s="32">
        <v>0.99</v>
      </c>
      <c r="AH189" s="5">
        <v>53</v>
      </c>
      <c r="AN189" s="13">
        <v>0.7</v>
      </c>
    </row>
    <row r="190" spans="1:40" x14ac:dyDescent="0.2">
      <c r="A190" t="s">
        <v>352</v>
      </c>
      <c r="C190" s="5" t="s">
        <v>15</v>
      </c>
      <c r="D190" s="5" t="s">
        <v>100</v>
      </c>
      <c r="E190" s="5"/>
      <c r="F190" s="29" t="s">
        <v>17</v>
      </c>
      <c r="G190" s="30"/>
      <c r="H190" s="34" t="s">
        <v>26</v>
      </c>
      <c r="J190" s="33"/>
      <c r="L190" t="s">
        <v>352</v>
      </c>
      <c r="M190" s="32">
        <v>0.53</v>
      </c>
      <c r="N190" s="32">
        <v>0.19900000000000001</v>
      </c>
      <c r="O190" s="32">
        <v>0.89</v>
      </c>
      <c r="AH190" s="5">
        <v>49</v>
      </c>
      <c r="AN190" s="13">
        <v>0.9</v>
      </c>
    </row>
    <row r="191" spans="1:40" x14ac:dyDescent="0.2">
      <c r="A191" t="s">
        <v>106</v>
      </c>
      <c r="C191" s="5" t="s">
        <v>33</v>
      </c>
      <c r="D191" s="6" t="s">
        <v>107</v>
      </c>
      <c r="F191" s="29" t="s">
        <v>17</v>
      </c>
      <c r="G191" s="38" t="s">
        <v>25</v>
      </c>
      <c r="H191" s="34" t="s">
        <v>26</v>
      </c>
      <c r="J191" s="33"/>
      <c r="K191" t="s">
        <v>847</v>
      </c>
      <c r="L191" t="s">
        <v>862</v>
      </c>
      <c r="M191" s="35">
        <v>0.94</v>
      </c>
      <c r="N191" s="35">
        <v>0.47</v>
      </c>
      <c r="O191" s="32">
        <v>0.4</v>
      </c>
      <c r="AH191" s="5">
        <v>142</v>
      </c>
      <c r="AN191" s="13">
        <v>0.9</v>
      </c>
    </row>
    <row r="192" spans="1:40" x14ac:dyDescent="0.2">
      <c r="A192" t="s">
        <v>240</v>
      </c>
      <c r="C192" s="5" t="s">
        <v>15</v>
      </c>
      <c r="D192" s="6" t="s">
        <v>16</v>
      </c>
      <c r="F192" s="29" t="s">
        <v>17</v>
      </c>
      <c r="G192" s="38" t="s">
        <v>25</v>
      </c>
      <c r="H192" s="31" t="s">
        <v>18</v>
      </c>
      <c r="J192" s="33"/>
      <c r="K192" t="s">
        <v>837</v>
      </c>
      <c r="L192" t="s">
        <v>240</v>
      </c>
      <c r="M192" s="35">
        <v>0.47</v>
      </c>
      <c r="N192" s="35">
        <v>0.02</v>
      </c>
      <c r="O192" s="32">
        <v>1</v>
      </c>
      <c r="AH192" s="5">
        <v>111</v>
      </c>
      <c r="AN192" s="13">
        <v>0.37</v>
      </c>
    </row>
    <row r="193" spans="1:40" x14ac:dyDescent="0.2">
      <c r="A193" t="s">
        <v>244</v>
      </c>
      <c r="C193" s="5" t="s">
        <v>15</v>
      </c>
      <c r="D193" s="5" t="s">
        <v>16</v>
      </c>
      <c r="E193" s="5"/>
      <c r="F193" s="29" t="s">
        <v>17</v>
      </c>
      <c r="G193" s="30"/>
      <c r="H193" s="31" t="s">
        <v>18</v>
      </c>
      <c r="J193" s="33"/>
      <c r="L193" t="s">
        <v>244</v>
      </c>
      <c r="M193" s="32">
        <v>0.47099999999999997</v>
      </c>
      <c r="N193" s="32">
        <v>1.7000000000000001E-2</v>
      </c>
      <c r="O193" s="32">
        <v>1</v>
      </c>
      <c r="AH193" s="5">
        <v>293</v>
      </c>
      <c r="AN193" s="13">
        <v>0.65</v>
      </c>
    </row>
    <row r="194" spans="1:40" x14ac:dyDescent="0.2">
      <c r="A194" t="s">
        <v>285</v>
      </c>
      <c r="C194" s="5" t="s">
        <v>15</v>
      </c>
      <c r="D194" s="5" t="s">
        <v>16</v>
      </c>
      <c r="E194" s="5"/>
      <c r="F194" s="29" t="s">
        <v>17</v>
      </c>
      <c r="G194" s="30"/>
      <c r="H194" s="31" t="s">
        <v>18</v>
      </c>
      <c r="J194" s="33"/>
      <c r="L194" t="s">
        <v>285</v>
      </c>
      <c r="M194" s="32">
        <v>0.47099999999999997</v>
      </c>
      <c r="N194" s="32">
        <v>1.7000000000000001E-2</v>
      </c>
      <c r="O194" s="32">
        <v>1</v>
      </c>
      <c r="AH194" s="5">
        <v>111</v>
      </c>
      <c r="AN194" s="13">
        <v>0.68</v>
      </c>
    </row>
    <row r="195" spans="1:40" x14ac:dyDescent="0.2">
      <c r="A195" t="s">
        <v>14</v>
      </c>
      <c r="C195" s="5" t="s">
        <v>15</v>
      </c>
      <c r="D195" s="5" t="s">
        <v>16</v>
      </c>
      <c r="E195" s="5"/>
      <c r="F195" s="29" t="s">
        <v>17</v>
      </c>
      <c r="G195" s="30"/>
      <c r="H195" s="31" t="s">
        <v>18</v>
      </c>
      <c r="J195" s="33"/>
      <c r="L195" t="s">
        <v>14</v>
      </c>
      <c r="M195" s="32">
        <v>0.47099999999999997</v>
      </c>
      <c r="N195" s="32">
        <v>1.7000000000000001E-2</v>
      </c>
      <c r="O195" s="32">
        <v>1</v>
      </c>
      <c r="AH195" s="5">
        <v>76</v>
      </c>
      <c r="AN195" s="13">
        <v>0.72</v>
      </c>
    </row>
    <row r="196" spans="1:40" x14ac:dyDescent="0.2">
      <c r="A196" t="s">
        <v>207</v>
      </c>
      <c r="C196" s="5" t="s">
        <v>15</v>
      </c>
      <c r="D196" s="5" t="s">
        <v>16</v>
      </c>
      <c r="E196" s="5"/>
      <c r="F196" s="29" t="s">
        <v>17</v>
      </c>
      <c r="G196" s="30"/>
      <c r="H196" s="34" t="s">
        <v>18</v>
      </c>
      <c r="J196" s="33"/>
      <c r="L196" t="s">
        <v>207</v>
      </c>
      <c r="M196" s="32">
        <v>0.47099999999999997</v>
      </c>
      <c r="N196" s="32">
        <v>1.7000000000000001E-2</v>
      </c>
      <c r="O196" s="32">
        <v>1</v>
      </c>
      <c r="AH196" s="5">
        <v>36</v>
      </c>
      <c r="AN196" s="13">
        <v>0.05</v>
      </c>
    </row>
    <row r="197" spans="1:40" x14ac:dyDescent="0.2">
      <c r="A197" t="s">
        <v>199</v>
      </c>
      <c r="C197" s="5" t="s">
        <v>45</v>
      </c>
      <c r="D197" s="5" t="s">
        <v>200</v>
      </c>
      <c r="E197" s="5"/>
      <c r="F197" s="29" t="s">
        <v>17</v>
      </c>
      <c r="G197" s="38" t="s">
        <v>25</v>
      </c>
      <c r="H197" s="31" t="s">
        <v>18</v>
      </c>
      <c r="J197" s="33"/>
      <c r="L197" t="s">
        <v>199</v>
      </c>
      <c r="M197" s="32">
        <v>0.189</v>
      </c>
      <c r="N197" s="32">
        <v>0.90200000000000002</v>
      </c>
      <c r="O197" s="32">
        <v>0.314</v>
      </c>
      <c r="AH197" s="5">
        <v>88</v>
      </c>
      <c r="AN197" s="13">
        <v>0.63</v>
      </c>
    </row>
    <row r="198" spans="1:40" x14ac:dyDescent="0.2">
      <c r="A198" t="s">
        <v>234</v>
      </c>
      <c r="B198" s="5" t="s">
        <v>838</v>
      </c>
      <c r="C198" s="5" t="s">
        <v>42</v>
      </c>
      <c r="D198" s="6" t="s">
        <v>235</v>
      </c>
      <c r="F198" s="29" t="s">
        <v>17</v>
      </c>
      <c r="G198" s="38" t="s">
        <v>25</v>
      </c>
      <c r="H198" s="34" t="s">
        <v>236</v>
      </c>
      <c r="I198" s="7" t="s">
        <v>39</v>
      </c>
      <c r="J198" s="33"/>
      <c r="K198" t="s">
        <v>847</v>
      </c>
      <c r="L198" t="s">
        <v>234</v>
      </c>
      <c r="M198" s="35">
        <v>0.14000000000000001</v>
      </c>
      <c r="N198" s="35">
        <v>0.15</v>
      </c>
      <c r="O198" s="32">
        <v>0.78</v>
      </c>
      <c r="P198" t="s">
        <v>833</v>
      </c>
      <c r="R198" t="s">
        <v>834</v>
      </c>
      <c r="S198" t="s">
        <v>835</v>
      </c>
      <c r="T198">
        <v>15</v>
      </c>
      <c r="U198">
        <v>5</v>
      </c>
      <c r="V198">
        <v>15</v>
      </c>
      <c r="W198">
        <v>0</v>
      </c>
      <c r="X198">
        <v>0</v>
      </c>
      <c r="Y198">
        <v>70</v>
      </c>
      <c r="Z198">
        <v>70</v>
      </c>
      <c r="AA198">
        <v>0</v>
      </c>
      <c r="AB198">
        <v>0</v>
      </c>
      <c r="AC198">
        <v>0</v>
      </c>
      <c r="AD198">
        <v>0</v>
      </c>
      <c r="AE198">
        <v>85</v>
      </c>
      <c r="AF198">
        <v>0</v>
      </c>
      <c r="AG198">
        <v>0</v>
      </c>
      <c r="AH198" s="5">
        <v>75</v>
      </c>
      <c r="AL198">
        <v>77</v>
      </c>
      <c r="AM198" s="36">
        <f>AL198/AH198</f>
        <v>1.0266666666666666</v>
      </c>
      <c r="AN198" s="13">
        <v>0.6</v>
      </c>
    </row>
    <row r="199" spans="1:40" x14ac:dyDescent="0.2">
      <c r="A199" t="s">
        <v>309</v>
      </c>
      <c r="C199" s="5" t="s">
        <v>42</v>
      </c>
      <c r="D199" s="5" t="s">
        <v>310</v>
      </c>
      <c r="E199" s="5"/>
      <c r="F199" s="29" t="s">
        <v>17</v>
      </c>
      <c r="G199" s="30"/>
      <c r="H199" s="31" t="s">
        <v>18</v>
      </c>
      <c r="J199" s="33"/>
      <c r="L199" t="s">
        <v>309</v>
      </c>
      <c r="M199" s="32">
        <v>0.3</v>
      </c>
      <c r="N199" s="32">
        <v>0.17899999999999999</v>
      </c>
      <c r="O199" s="32">
        <v>0.88100000000000001</v>
      </c>
      <c r="AH199" s="5">
        <v>12</v>
      </c>
      <c r="AN199" s="13">
        <v>0.64</v>
      </c>
    </row>
    <row r="200" spans="1:40" x14ac:dyDescent="0.2">
      <c r="A200" t="s">
        <v>192</v>
      </c>
      <c r="C200" s="5" t="s">
        <v>68</v>
      </c>
      <c r="D200" s="5" t="s">
        <v>193</v>
      </c>
      <c r="E200" s="5"/>
      <c r="F200" s="29" t="s">
        <v>17</v>
      </c>
      <c r="G200" s="30"/>
      <c r="H200" s="31" t="s">
        <v>18</v>
      </c>
      <c r="J200" s="33"/>
      <c r="L200" t="s">
        <v>192</v>
      </c>
      <c r="M200" s="32">
        <v>0.64</v>
      </c>
      <c r="N200" s="32">
        <v>0.47199999999999998</v>
      </c>
      <c r="O200" s="32">
        <v>0.29499999999999998</v>
      </c>
      <c r="AH200" s="5">
        <v>10</v>
      </c>
      <c r="AN200" s="13">
        <v>0.75</v>
      </c>
    </row>
    <row r="201" spans="1:40" x14ac:dyDescent="0.2">
      <c r="A201" t="s">
        <v>245</v>
      </c>
      <c r="C201" s="5" t="s">
        <v>95</v>
      </c>
      <c r="D201" s="5" t="s">
        <v>246</v>
      </c>
      <c r="E201" s="5"/>
      <c r="F201" s="29" t="s">
        <v>17</v>
      </c>
      <c r="G201" s="30"/>
      <c r="H201" s="31" t="s">
        <v>18</v>
      </c>
      <c r="J201" s="33"/>
      <c r="L201" t="s">
        <v>245</v>
      </c>
      <c r="M201" s="32">
        <v>0.505</v>
      </c>
      <c r="N201" s="32">
        <v>0.29399999999999998</v>
      </c>
      <c r="O201" s="32">
        <v>0.215</v>
      </c>
      <c r="AH201" s="5">
        <v>40</v>
      </c>
      <c r="AN201" s="13">
        <v>0.56999999999999995</v>
      </c>
    </row>
    <row r="202" spans="1:40" x14ac:dyDescent="0.2">
      <c r="A202" t="s">
        <v>187</v>
      </c>
      <c r="C202" s="5" t="s">
        <v>103</v>
      </c>
      <c r="D202" s="5" t="s">
        <v>188</v>
      </c>
      <c r="E202" s="5"/>
      <c r="F202" s="29" t="s">
        <v>17</v>
      </c>
      <c r="G202" s="30"/>
      <c r="H202" s="31" t="s">
        <v>18</v>
      </c>
      <c r="J202" s="33"/>
      <c r="L202" t="s">
        <v>187</v>
      </c>
      <c r="M202" s="32">
        <v>0.38200000000000001</v>
      </c>
      <c r="N202" s="32">
        <v>0.58499999999999996</v>
      </c>
      <c r="O202" s="32">
        <v>0.64600000000000002</v>
      </c>
      <c r="AH202" s="5">
        <v>148</v>
      </c>
      <c r="AN202" s="13">
        <v>0.68</v>
      </c>
    </row>
    <row r="203" spans="1:40" x14ac:dyDescent="0.2">
      <c r="A203" t="s">
        <v>208</v>
      </c>
      <c r="C203" s="5" t="s">
        <v>45</v>
      </c>
      <c r="D203" s="6" t="s">
        <v>172</v>
      </c>
      <c r="F203" s="29" t="s">
        <v>17</v>
      </c>
      <c r="G203" s="38" t="s">
        <v>25</v>
      </c>
      <c r="H203" s="31" t="s">
        <v>18</v>
      </c>
      <c r="J203" s="33"/>
      <c r="L203" t="s">
        <v>208</v>
      </c>
      <c r="M203" s="35">
        <v>0.51</v>
      </c>
      <c r="N203" s="35">
        <v>0.13</v>
      </c>
      <c r="O203" s="32">
        <v>0.81</v>
      </c>
      <c r="AH203" s="5">
        <v>104</v>
      </c>
      <c r="AN203" s="13">
        <v>0.54</v>
      </c>
    </row>
    <row r="204" spans="1:40" x14ac:dyDescent="0.2">
      <c r="A204" t="s">
        <v>171</v>
      </c>
      <c r="C204" s="5" t="s">
        <v>45</v>
      </c>
      <c r="D204" s="5" t="s">
        <v>172</v>
      </c>
      <c r="E204" s="5"/>
      <c r="F204" s="29" t="s">
        <v>17</v>
      </c>
      <c r="G204" s="30"/>
      <c r="H204" s="34" t="s">
        <v>26</v>
      </c>
      <c r="J204" s="33"/>
      <c r="L204" t="s">
        <v>171</v>
      </c>
      <c r="M204" s="32">
        <v>0.50700000000000001</v>
      </c>
      <c r="N204" s="32">
        <v>0.13400000000000001</v>
      </c>
      <c r="O204" s="32">
        <v>0.80600000000000005</v>
      </c>
      <c r="AH204" s="5">
        <v>183</v>
      </c>
      <c r="AN204" s="13">
        <v>0.63</v>
      </c>
    </row>
    <row r="205" spans="1:40" x14ac:dyDescent="0.2">
      <c r="A205" t="s">
        <v>44</v>
      </c>
      <c r="C205" s="5" t="s">
        <v>45</v>
      </c>
      <c r="D205" s="6" t="s">
        <v>46</v>
      </c>
      <c r="F205" s="29" t="s">
        <v>17</v>
      </c>
      <c r="G205" s="38" t="s">
        <v>25</v>
      </c>
      <c r="H205" s="31" t="s">
        <v>18</v>
      </c>
      <c r="J205" s="33"/>
      <c r="L205" t="s">
        <v>863</v>
      </c>
      <c r="M205" s="35">
        <v>0.67</v>
      </c>
      <c r="N205" s="35">
        <v>0.25</v>
      </c>
      <c r="O205" s="32">
        <v>0.56000000000000005</v>
      </c>
      <c r="AH205" s="5">
        <v>195</v>
      </c>
      <c r="AN205" s="13">
        <v>0.47</v>
      </c>
    </row>
    <row r="206" spans="1:40" x14ac:dyDescent="0.2">
      <c r="A206" t="s">
        <v>138</v>
      </c>
      <c r="C206" s="5" t="s">
        <v>139</v>
      </c>
      <c r="D206" s="6" t="s">
        <v>140</v>
      </c>
      <c r="F206" s="29" t="s">
        <v>17</v>
      </c>
      <c r="G206" s="30" t="s">
        <v>25</v>
      </c>
      <c r="H206" s="34" t="s">
        <v>39</v>
      </c>
      <c r="I206" s="7" t="s">
        <v>18</v>
      </c>
      <c r="J206" s="33"/>
      <c r="K206" t="s">
        <v>847</v>
      </c>
      <c r="L206" t="s">
        <v>138</v>
      </c>
      <c r="M206" s="35">
        <v>0.89</v>
      </c>
      <c r="N206" s="35">
        <v>0.31</v>
      </c>
      <c r="O206" s="32">
        <v>0.61</v>
      </c>
      <c r="AH206" s="14"/>
      <c r="AN206" s="13">
        <v>0.2</v>
      </c>
    </row>
    <row r="207" spans="1:40" x14ac:dyDescent="0.2">
      <c r="A207" t="s">
        <v>63</v>
      </c>
      <c r="C207" s="5" t="s">
        <v>64</v>
      </c>
      <c r="D207" s="6" t="s">
        <v>65</v>
      </c>
      <c r="F207" s="29" t="s">
        <v>17</v>
      </c>
      <c r="G207" s="38" t="s">
        <v>25</v>
      </c>
      <c r="H207" s="31" t="s">
        <v>18</v>
      </c>
      <c r="J207" s="33"/>
      <c r="L207" t="s">
        <v>864</v>
      </c>
      <c r="M207" s="6" t="s">
        <v>66</v>
      </c>
      <c r="N207" s="35">
        <v>0.33</v>
      </c>
      <c r="O207" s="32">
        <v>0.88</v>
      </c>
      <c r="AH207" s="5">
        <v>91</v>
      </c>
      <c r="AN207" s="13">
        <v>0.42</v>
      </c>
    </row>
    <row r="208" spans="1:40" x14ac:dyDescent="0.2">
      <c r="A208" t="s">
        <v>67</v>
      </c>
      <c r="C208" s="5" t="s">
        <v>68</v>
      </c>
      <c r="D208" s="5" t="s">
        <v>804</v>
      </c>
      <c r="E208" s="5"/>
      <c r="F208" s="29" t="s">
        <v>17</v>
      </c>
      <c r="G208" s="30"/>
      <c r="H208" s="31" t="s">
        <v>18</v>
      </c>
      <c r="J208" s="33"/>
      <c r="L208" t="s">
        <v>67</v>
      </c>
      <c r="M208" s="32"/>
      <c r="N208" s="32"/>
      <c r="O208" s="32"/>
      <c r="AH208" s="5">
        <v>58</v>
      </c>
      <c r="AN208" s="13">
        <v>0.23</v>
      </c>
    </row>
    <row r="209" spans="1:40" x14ac:dyDescent="0.2">
      <c r="A209" t="s">
        <v>47</v>
      </c>
      <c r="C209" s="5" t="s">
        <v>30</v>
      </c>
      <c r="D209" s="6" t="s">
        <v>48</v>
      </c>
      <c r="F209" s="29" t="s">
        <v>17</v>
      </c>
      <c r="G209" s="38" t="s">
        <v>25</v>
      </c>
      <c r="H209" s="31" t="s">
        <v>18</v>
      </c>
      <c r="J209" s="33"/>
      <c r="K209" t="s">
        <v>847</v>
      </c>
      <c r="L209" t="s">
        <v>47</v>
      </c>
      <c r="M209" s="35">
        <v>0.64</v>
      </c>
      <c r="N209" s="35">
        <v>0.63</v>
      </c>
      <c r="O209" s="32">
        <v>0.14000000000000001</v>
      </c>
      <c r="AH209" s="5">
        <v>116</v>
      </c>
      <c r="AN209" s="13">
        <v>0.23</v>
      </c>
    </row>
    <row r="210" spans="1:40" x14ac:dyDescent="0.2">
      <c r="A210" t="s">
        <v>270</v>
      </c>
      <c r="C210" s="5" t="s">
        <v>15</v>
      </c>
      <c r="D210" s="5" t="s">
        <v>271</v>
      </c>
      <c r="E210" s="5"/>
      <c r="F210" s="29" t="s">
        <v>17</v>
      </c>
      <c r="G210" s="30"/>
      <c r="H210" s="31" t="s">
        <v>18</v>
      </c>
      <c r="J210" s="33"/>
      <c r="L210" t="s">
        <v>270</v>
      </c>
      <c r="M210" s="32">
        <v>0.47899999999999998</v>
      </c>
      <c r="N210" s="32">
        <v>7.9000000000000001E-2</v>
      </c>
      <c r="O210" s="32">
        <v>0.90500000000000003</v>
      </c>
      <c r="AH210" s="5">
        <v>48</v>
      </c>
      <c r="AN210" s="13">
        <v>0.2</v>
      </c>
    </row>
    <row r="211" spans="1:40" x14ac:dyDescent="0.2">
      <c r="A211" t="s">
        <v>119</v>
      </c>
      <c r="C211" s="5" t="s">
        <v>30</v>
      </c>
      <c r="D211" s="6" t="s">
        <v>120</v>
      </c>
      <c r="F211" s="29" t="s">
        <v>17</v>
      </c>
      <c r="G211" s="38" t="s">
        <v>25</v>
      </c>
      <c r="H211" s="31" t="s">
        <v>18</v>
      </c>
      <c r="J211" s="33"/>
      <c r="L211" t="s">
        <v>119</v>
      </c>
      <c r="M211" s="35">
        <v>0.22</v>
      </c>
      <c r="N211" s="35">
        <v>0.6</v>
      </c>
      <c r="O211" s="32">
        <v>0.99</v>
      </c>
      <c r="AH211" s="5">
        <v>192</v>
      </c>
      <c r="AN211" s="13">
        <v>0.71</v>
      </c>
    </row>
    <row r="212" spans="1:40" x14ac:dyDescent="0.2">
      <c r="A212" t="s">
        <v>346</v>
      </c>
      <c r="C212" s="5" t="s">
        <v>169</v>
      </c>
      <c r="D212" s="6" t="s">
        <v>170</v>
      </c>
      <c r="F212" s="29" t="s">
        <v>17</v>
      </c>
      <c r="G212" s="30" t="s">
        <v>25</v>
      </c>
      <c r="H212" s="34" t="s">
        <v>39</v>
      </c>
      <c r="J212" s="33"/>
      <c r="L212" t="s">
        <v>865</v>
      </c>
      <c r="M212" s="35">
        <v>0.69</v>
      </c>
      <c r="N212" s="35">
        <v>0.08</v>
      </c>
      <c r="O212" s="32">
        <v>1</v>
      </c>
      <c r="P212" t="s">
        <v>833</v>
      </c>
      <c r="R212" t="s">
        <v>834</v>
      </c>
      <c r="S212" t="s">
        <v>835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8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</v>
      </c>
      <c r="AF212">
        <v>0</v>
      </c>
      <c r="AG212">
        <v>0</v>
      </c>
      <c r="AH212" s="5">
        <v>29</v>
      </c>
      <c r="AL212">
        <v>7</v>
      </c>
      <c r="AM212" s="36">
        <f>AL212/AH212</f>
        <v>0.2413793103448276</v>
      </c>
      <c r="AN212" s="13">
        <v>0.38</v>
      </c>
    </row>
    <row r="213" spans="1:40" x14ac:dyDescent="0.2">
      <c r="A213" t="s">
        <v>108</v>
      </c>
      <c r="C213" s="5" t="s">
        <v>42</v>
      </c>
      <c r="D213" s="5" t="s">
        <v>109</v>
      </c>
      <c r="E213" s="5"/>
      <c r="F213" s="29" t="s">
        <v>17</v>
      </c>
      <c r="G213" s="30"/>
      <c r="H213" s="31" t="s">
        <v>18</v>
      </c>
      <c r="J213" s="33"/>
      <c r="L213" t="s">
        <v>108</v>
      </c>
      <c r="M213" s="32">
        <v>0.50800000000000001</v>
      </c>
      <c r="N213" s="32">
        <v>6.3E-2</v>
      </c>
      <c r="O213" s="32">
        <v>0.92100000000000004</v>
      </c>
      <c r="AH213" s="5">
        <v>4</v>
      </c>
      <c r="AN213" s="13">
        <v>0.88</v>
      </c>
    </row>
    <row r="214" spans="1:40" x14ac:dyDescent="0.2">
      <c r="A214" s="39" t="s">
        <v>263</v>
      </c>
      <c r="C214" s="5" t="s">
        <v>15</v>
      </c>
      <c r="D214" s="6" t="s">
        <v>264</v>
      </c>
      <c r="F214" s="29" t="s">
        <v>17</v>
      </c>
      <c r="G214" s="30" t="s">
        <v>25</v>
      </c>
      <c r="H214" s="34" t="s">
        <v>39</v>
      </c>
      <c r="J214" s="33"/>
      <c r="L214" t="s">
        <v>263</v>
      </c>
      <c r="M214" s="35">
        <v>0.16</v>
      </c>
      <c r="N214" s="35">
        <v>0.68</v>
      </c>
      <c r="O214" s="32">
        <v>0.76</v>
      </c>
      <c r="AH214" s="5">
        <v>69</v>
      </c>
      <c r="AN214" s="13">
        <v>0.37</v>
      </c>
    </row>
    <row r="215" spans="1:40" x14ac:dyDescent="0.2">
      <c r="A215" t="s">
        <v>209</v>
      </c>
      <c r="C215" s="5" t="s">
        <v>15</v>
      </c>
      <c r="D215" s="5" t="s">
        <v>210</v>
      </c>
      <c r="E215" s="5"/>
      <c r="F215" s="29" t="s">
        <v>17</v>
      </c>
      <c r="G215" s="30"/>
      <c r="H215" s="31" t="s">
        <v>18</v>
      </c>
      <c r="J215" s="33"/>
      <c r="L215" t="s">
        <v>209</v>
      </c>
      <c r="M215" s="32">
        <v>0.42399999999999999</v>
      </c>
      <c r="N215" s="32">
        <v>0.22700000000000001</v>
      </c>
      <c r="O215" s="32">
        <v>0.64500000000000002</v>
      </c>
      <c r="AH215" s="5">
        <v>2</v>
      </c>
      <c r="AN215" s="13">
        <v>0.7</v>
      </c>
    </row>
    <row r="216" spans="1:40" x14ac:dyDescent="0.2">
      <c r="A216" t="s">
        <v>265</v>
      </c>
      <c r="C216" s="5" t="s">
        <v>15</v>
      </c>
      <c r="D216" s="6" t="s">
        <v>16</v>
      </c>
      <c r="F216" s="29" t="s">
        <v>17</v>
      </c>
      <c r="G216" s="38" t="s">
        <v>25</v>
      </c>
      <c r="H216" s="31" t="s">
        <v>18</v>
      </c>
      <c r="J216" s="33"/>
      <c r="L216" t="s">
        <v>265</v>
      </c>
      <c r="M216" s="35">
        <v>0.47</v>
      </c>
      <c r="N216" s="35">
        <v>0.02</v>
      </c>
      <c r="O216" s="32">
        <v>1</v>
      </c>
      <c r="AH216" s="5">
        <v>192</v>
      </c>
      <c r="AN216" s="13">
        <v>0.63</v>
      </c>
    </row>
    <row r="217" spans="1:40" x14ac:dyDescent="0.2">
      <c r="A217" t="s">
        <v>266</v>
      </c>
      <c r="C217" s="5" t="s">
        <v>15</v>
      </c>
      <c r="D217" s="6" t="s">
        <v>16</v>
      </c>
      <c r="F217" s="29" t="s">
        <v>17</v>
      </c>
      <c r="G217" s="38" t="s">
        <v>25</v>
      </c>
      <c r="H217" s="31" t="s">
        <v>18</v>
      </c>
      <c r="J217" s="33"/>
      <c r="L217" t="s">
        <v>266</v>
      </c>
      <c r="M217" s="35">
        <v>0.47</v>
      </c>
      <c r="N217" s="35">
        <v>0.02</v>
      </c>
      <c r="O217" s="32">
        <v>1</v>
      </c>
      <c r="AH217" s="5">
        <v>99</v>
      </c>
      <c r="AN217" s="13">
        <v>0.7</v>
      </c>
    </row>
    <row r="218" spans="1:40" x14ac:dyDescent="0.2">
      <c r="A218" t="s">
        <v>326</v>
      </c>
      <c r="C218" s="5" t="s">
        <v>15</v>
      </c>
      <c r="D218" s="6" t="s">
        <v>16</v>
      </c>
      <c r="F218" s="29" t="s">
        <v>17</v>
      </c>
      <c r="G218" s="38" t="s">
        <v>25</v>
      </c>
      <c r="H218" s="31" t="s">
        <v>18</v>
      </c>
      <c r="J218" s="33"/>
      <c r="L218" t="s">
        <v>326</v>
      </c>
      <c r="M218" s="35">
        <v>0.47</v>
      </c>
      <c r="N218" s="35">
        <v>0.02</v>
      </c>
      <c r="O218" s="32">
        <v>1</v>
      </c>
      <c r="AH218" s="5">
        <v>76</v>
      </c>
      <c r="AN218" s="13">
        <v>0.7</v>
      </c>
    </row>
    <row r="219" spans="1:40" x14ac:dyDescent="0.2">
      <c r="A219" t="s">
        <v>340</v>
      </c>
      <c r="C219" s="5" t="s">
        <v>15</v>
      </c>
      <c r="D219" s="6" t="s">
        <v>16</v>
      </c>
      <c r="F219" s="29" t="s">
        <v>17</v>
      </c>
      <c r="G219" s="38" t="s">
        <v>25</v>
      </c>
      <c r="H219" s="31" t="s">
        <v>18</v>
      </c>
      <c r="J219" s="33"/>
      <c r="L219" t="s">
        <v>340</v>
      </c>
      <c r="M219" s="35">
        <v>0.47</v>
      </c>
      <c r="N219" s="35">
        <v>0.02</v>
      </c>
      <c r="O219" s="32">
        <v>1</v>
      </c>
      <c r="AH219" s="5">
        <v>36</v>
      </c>
      <c r="AN219" s="13">
        <v>0.81</v>
      </c>
    </row>
    <row r="220" spans="1:40" x14ac:dyDescent="0.2">
      <c r="A220" t="s">
        <v>327</v>
      </c>
      <c r="C220" s="5" t="s">
        <v>23</v>
      </c>
      <c r="D220" s="5" t="s">
        <v>328</v>
      </c>
      <c r="E220" s="5"/>
      <c r="F220" s="29" t="s">
        <v>17</v>
      </c>
      <c r="G220" s="30"/>
      <c r="H220" s="34" t="s">
        <v>26</v>
      </c>
      <c r="J220" s="33"/>
      <c r="L220" t="s">
        <v>327</v>
      </c>
      <c r="M220" s="32">
        <v>0.65</v>
      </c>
      <c r="N220" s="32">
        <v>0.44</v>
      </c>
      <c r="O220" s="32">
        <v>0.78</v>
      </c>
      <c r="AH220" s="5">
        <v>64</v>
      </c>
      <c r="AN220" s="13">
        <v>0.86</v>
      </c>
    </row>
    <row r="221" spans="1:40" x14ac:dyDescent="0.2">
      <c r="A221" t="s">
        <v>314</v>
      </c>
      <c r="B221" s="5" t="s">
        <v>838</v>
      </c>
      <c r="C221" s="5" t="s">
        <v>42</v>
      </c>
      <c r="D221" s="6" t="s">
        <v>290</v>
      </c>
      <c r="F221" s="29" t="s">
        <v>17</v>
      </c>
      <c r="G221" s="30"/>
      <c r="H221" s="31" t="s">
        <v>18</v>
      </c>
      <c r="J221" s="33"/>
      <c r="K221" t="s">
        <v>866</v>
      </c>
      <c r="L221" t="s">
        <v>314</v>
      </c>
      <c r="M221" s="35">
        <v>0.66</v>
      </c>
      <c r="N221" s="35">
        <v>0.03</v>
      </c>
      <c r="O221" s="32">
        <v>0.36</v>
      </c>
      <c r="P221" t="s">
        <v>833</v>
      </c>
      <c r="R221" t="s">
        <v>834</v>
      </c>
      <c r="S221" t="s">
        <v>835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8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8</v>
      </c>
      <c r="AF221">
        <v>0</v>
      </c>
      <c r="AG221">
        <v>0</v>
      </c>
      <c r="AH221" s="5">
        <v>8</v>
      </c>
      <c r="AL221">
        <v>7</v>
      </c>
      <c r="AM221" s="36">
        <f>AL221/AH221</f>
        <v>0.875</v>
      </c>
      <c r="AN221" s="13">
        <v>0.81</v>
      </c>
    </row>
    <row r="222" spans="1:40" x14ac:dyDescent="0.2">
      <c r="A222" t="s">
        <v>156</v>
      </c>
      <c r="C222" s="5" t="s">
        <v>30</v>
      </c>
      <c r="D222" s="5" t="s">
        <v>120</v>
      </c>
      <c r="E222" s="5"/>
      <c r="F222" s="29" t="s">
        <v>17</v>
      </c>
      <c r="G222" s="38" t="s">
        <v>25</v>
      </c>
      <c r="H222" s="31" t="s">
        <v>18</v>
      </c>
      <c r="J222" s="33"/>
      <c r="L222" t="s">
        <v>156</v>
      </c>
      <c r="M222" s="32">
        <v>0.221</v>
      </c>
      <c r="N222" s="32">
        <v>0.59899999999999998</v>
      </c>
      <c r="O222" s="32">
        <v>0.98799999999999999</v>
      </c>
      <c r="AH222" s="5">
        <v>27</v>
      </c>
      <c r="AN222" s="13">
        <v>0.76</v>
      </c>
    </row>
    <row r="223" spans="1:40" x14ac:dyDescent="0.2">
      <c r="A223" t="s">
        <v>189</v>
      </c>
      <c r="C223" s="5" t="s">
        <v>103</v>
      </c>
      <c r="D223" s="6" t="s">
        <v>162</v>
      </c>
      <c r="F223" s="29" t="s">
        <v>17</v>
      </c>
      <c r="G223" s="38" t="s">
        <v>25</v>
      </c>
      <c r="H223" s="34" t="s">
        <v>26</v>
      </c>
      <c r="J223" s="33"/>
      <c r="L223" t="s">
        <v>867</v>
      </c>
      <c r="M223" s="35">
        <v>0.7</v>
      </c>
      <c r="N223" s="35">
        <v>0.28999999999999998</v>
      </c>
      <c r="O223" s="32">
        <v>0.6</v>
      </c>
      <c r="AH223" s="5">
        <v>59</v>
      </c>
      <c r="AN223" s="13">
        <v>0.44</v>
      </c>
    </row>
    <row r="224" spans="1:40" x14ac:dyDescent="0.2">
      <c r="A224" t="s">
        <v>286</v>
      </c>
      <c r="C224" s="5" t="s">
        <v>42</v>
      </c>
      <c r="D224" s="6" t="s">
        <v>124</v>
      </c>
      <c r="F224" s="29" t="s">
        <v>17</v>
      </c>
      <c r="G224" s="38" t="s">
        <v>25</v>
      </c>
      <c r="H224" s="31" t="s">
        <v>18</v>
      </c>
      <c r="J224" s="33"/>
      <c r="L224" t="s">
        <v>286</v>
      </c>
      <c r="M224" s="35">
        <v>0.18</v>
      </c>
      <c r="N224" s="35">
        <v>0.6</v>
      </c>
      <c r="O224" s="32">
        <v>0.73</v>
      </c>
      <c r="AH224" s="5">
        <v>6</v>
      </c>
      <c r="AN224" s="13">
        <v>0.55000000000000004</v>
      </c>
    </row>
    <row r="225" spans="1:40" x14ac:dyDescent="0.2">
      <c r="A225" t="s">
        <v>254</v>
      </c>
      <c r="C225" s="5" t="s">
        <v>42</v>
      </c>
      <c r="D225" s="6" t="s">
        <v>98</v>
      </c>
      <c r="F225" s="29" t="s">
        <v>17</v>
      </c>
      <c r="G225" s="38" t="s">
        <v>25</v>
      </c>
      <c r="H225" s="31" t="s">
        <v>18</v>
      </c>
      <c r="J225" s="33"/>
      <c r="L225" t="s">
        <v>254</v>
      </c>
      <c r="M225" s="35">
        <v>0.39</v>
      </c>
      <c r="N225" s="35">
        <v>7.0000000000000007E-2</v>
      </c>
      <c r="O225" s="32">
        <v>0.89</v>
      </c>
      <c r="AH225" s="5">
        <v>34</v>
      </c>
      <c r="AN225" s="13">
        <v>0.72</v>
      </c>
    </row>
    <row r="226" spans="1:40" x14ac:dyDescent="0.2">
      <c r="A226" t="s">
        <v>354</v>
      </c>
      <c r="C226" s="5" t="s">
        <v>30</v>
      </c>
      <c r="D226" s="5" t="s">
        <v>355</v>
      </c>
      <c r="E226" s="5"/>
      <c r="F226" s="29" t="s">
        <v>17</v>
      </c>
      <c r="G226" s="38" t="s">
        <v>25</v>
      </c>
      <c r="H226" s="31" t="s">
        <v>18</v>
      </c>
      <c r="J226" s="33"/>
      <c r="L226" t="s">
        <v>354</v>
      </c>
      <c r="M226" s="32">
        <v>9.5000000000000001E-2</v>
      </c>
      <c r="N226" s="32">
        <v>0.96199999999999997</v>
      </c>
      <c r="O226" s="32">
        <v>0.70899999999999996</v>
      </c>
      <c r="AH226" s="5">
        <v>120</v>
      </c>
      <c r="AN226" s="13">
        <v>0.63</v>
      </c>
    </row>
    <row r="227" spans="1:40" x14ac:dyDescent="0.2">
      <c r="A227" t="s">
        <v>272</v>
      </c>
      <c r="C227" s="5" t="s">
        <v>273</v>
      </c>
      <c r="D227" s="6" t="s">
        <v>274</v>
      </c>
      <c r="F227" s="29" t="s">
        <v>17</v>
      </c>
      <c r="G227" s="38" t="s">
        <v>25</v>
      </c>
      <c r="H227" s="31" t="s">
        <v>18</v>
      </c>
      <c r="J227" s="33"/>
      <c r="L227" t="s">
        <v>272</v>
      </c>
      <c r="M227" s="35">
        <v>0.28000000000000003</v>
      </c>
      <c r="N227" s="35">
        <v>0.61</v>
      </c>
      <c r="O227" s="32">
        <v>0.2</v>
      </c>
      <c r="AH227" s="5">
        <v>74</v>
      </c>
      <c r="AN227" s="13">
        <v>0.69</v>
      </c>
    </row>
    <row r="228" spans="1:40" x14ac:dyDescent="0.2">
      <c r="A228" t="s">
        <v>275</v>
      </c>
      <c r="C228" s="5" t="s">
        <v>52</v>
      </c>
      <c r="D228" s="5" t="s">
        <v>191</v>
      </c>
      <c r="E228" s="5"/>
      <c r="F228" s="29" t="s">
        <v>17</v>
      </c>
      <c r="G228" s="30"/>
      <c r="H228" s="31" t="s">
        <v>18</v>
      </c>
      <c r="J228" s="33"/>
      <c r="L228" t="s">
        <v>275</v>
      </c>
      <c r="M228" s="32">
        <v>0.315</v>
      </c>
      <c r="N228" s="32">
        <v>0.27400000000000002</v>
      </c>
      <c r="O228" s="32">
        <v>0.53100000000000003</v>
      </c>
      <c r="AH228" s="5">
        <v>93</v>
      </c>
      <c r="AN228" s="13">
        <v>0.91</v>
      </c>
    </row>
    <row r="229" spans="1:40" x14ac:dyDescent="0.2">
      <c r="A229" t="s">
        <v>110</v>
      </c>
      <c r="C229" s="5" t="s">
        <v>103</v>
      </c>
      <c r="D229" s="5" t="s">
        <v>111</v>
      </c>
      <c r="E229" s="5"/>
      <c r="F229" s="29" t="s">
        <v>17</v>
      </c>
      <c r="G229" s="30"/>
      <c r="H229" s="31" t="s">
        <v>18</v>
      </c>
      <c r="J229" s="33"/>
      <c r="L229" t="s">
        <v>110</v>
      </c>
      <c r="M229" s="32">
        <v>0.92100000000000004</v>
      </c>
      <c r="N229" s="32">
        <v>0.26</v>
      </c>
      <c r="O229" s="32">
        <v>0.223</v>
      </c>
      <c r="AH229" s="14"/>
      <c r="AN229" s="13">
        <v>0.71</v>
      </c>
    </row>
    <row r="230" spans="1:40" x14ac:dyDescent="0.2">
      <c r="A230" t="s">
        <v>295</v>
      </c>
      <c r="C230" s="5" t="s">
        <v>90</v>
      </c>
      <c r="D230" s="6" t="s">
        <v>296</v>
      </c>
      <c r="F230" s="29" t="s">
        <v>17</v>
      </c>
      <c r="G230" s="38" t="s">
        <v>25</v>
      </c>
      <c r="H230" s="31" t="s">
        <v>18</v>
      </c>
      <c r="J230" s="33"/>
      <c r="K230" t="s">
        <v>837</v>
      </c>
      <c r="L230" t="s">
        <v>295</v>
      </c>
      <c r="M230" s="35">
        <v>0.41</v>
      </c>
      <c r="N230" s="35">
        <v>0.37</v>
      </c>
      <c r="O230" s="32">
        <v>0.33</v>
      </c>
      <c r="AH230" s="5">
        <v>18</v>
      </c>
      <c r="AN230" s="13">
        <v>0.71</v>
      </c>
    </row>
    <row r="231" spans="1:40" x14ac:dyDescent="0.2">
      <c r="A231" t="s">
        <v>177</v>
      </c>
      <c r="C231" s="5" t="s">
        <v>178</v>
      </c>
      <c r="D231" s="5" t="s">
        <v>179</v>
      </c>
      <c r="E231" s="5"/>
      <c r="F231" s="29" t="s">
        <v>17</v>
      </c>
      <c r="G231" s="30"/>
      <c r="H231" s="31" t="s">
        <v>18</v>
      </c>
      <c r="J231" s="33"/>
      <c r="L231" t="s">
        <v>177</v>
      </c>
      <c r="M231" s="32">
        <v>0.95599999999999996</v>
      </c>
      <c r="N231" s="32">
        <v>0.94699999999999995</v>
      </c>
      <c r="O231" s="32">
        <v>1.7000000000000001E-2</v>
      </c>
      <c r="AH231" s="5">
        <v>44</v>
      </c>
      <c r="AN231" s="13">
        <v>0.37</v>
      </c>
    </row>
    <row r="232" spans="1:40" x14ac:dyDescent="0.2">
      <c r="A232" t="s">
        <v>237</v>
      </c>
      <c r="B232" s="5" t="s">
        <v>838</v>
      </c>
      <c r="C232" s="5" t="s">
        <v>42</v>
      </c>
      <c r="D232" s="6" t="s">
        <v>238</v>
      </c>
      <c r="F232" s="29" t="s">
        <v>17</v>
      </c>
      <c r="G232" s="30" t="s">
        <v>25</v>
      </c>
      <c r="H232" s="34" t="s">
        <v>105</v>
      </c>
      <c r="J232" s="33"/>
      <c r="K232" t="s">
        <v>866</v>
      </c>
      <c r="L232" t="s">
        <v>237</v>
      </c>
      <c r="M232" s="35">
        <v>0.3</v>
      </c>
      <c r="N232" s="35">
        <v>0.02</v>
      </c>
      <c r="O232" s="32">
        <v>0.94</v>
      </c>
      <c r="P232" t="s">
        <v>833</v>
      </c>
      <c r="R232" t="s">
        <v>834</v>
      </c>
      <c r="S232" t="s">
        <v>835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17</v>
      </c>
      <c r="Z232">
        <v>0</v>
      </c>
      <c r="AA232">
        <v>0</v>
      </c>
      <c r="AB232">
        <v>17</v>
      </c>
      <c r="AC232">
        <v>0</v>
      </c>
      <c r="AD232">
        <v>0</v>
      </c>
      <c r="AE232">
        <v>17</v>
      </c>
      <c r="AF232">
        <v>0</v>
      </c>
      <c r="AG232">
        <v>0</v>
      </c>
      <c r="AH232" s="14">
        <v>92</v>
      </c>
      <c r="AI232" s="14">
        <v>16</v>
      </c>
      <c r="AL232">
        <v>18</v>
      </c>
      <c r="AM232" s="36">
        <f>AL232/AH232</f>
        <v>0.19565217391304349</v>
      </c>
      <c r="AN232" s="13">
        <v>0.73</v>
      </c>
    </row>
    <row r="233" spans="1:40" x14ac:dyDescent="0.2">
      <c r="A233" t="s">
        <v>356</v>
      </c>
      <c r="C233" s="5" t="s">
        <v>95</v>
      </c>
      <c r="D233" s="5" t="s">
        <v>357</v>
      </c>
      <c r="E233" s="5"/>
      <c r="F233" s="29" t="s">
        <v>17</v>
      </c>
      <c r="G233" s="30"/>
      <c r="H233" s="31" t="s">
        <v>18</v>
      </c>
      <c r="J233" s="33"/>
      <c r="L233" t="s">
        <v>356</v>
      </c>
      <c r="M233" s="32">
        <v>0.19600000000000001</v>
      </c>
      <c r="N233" s="32">
        <v>0.21099999999999999</v>
      </c>
      <c r="O233" s="32">
        <v>0.70399999999999996</v>
      </c>
      <c r="AH233" s="5">
        <v>6</v>
      </c>
      <c r="AN233" s="13">
        <v>0.5</v>
      </c>
    </row>
    <row r="234" spans="1:40" x14ac:dyDescent="0.2">
      <c r="A234" t="s">
        <v>241</v>
      </c>
      <c r="C234" s="5" t="s">
        <v>242</v>
      </c>
      <c r="D234" s="6" t="s">
        <v>243</v>
      </c>
      <c r="F234" s="29" t="s">
        <v>17</v>
      </c>
      <c r="G234" s="38" t="s">
        <v>25</v>
      </c>
      <c r="H234" s="31" t="s">
        <v>18</v>
      </c>
      <c r="J234" s="33"/>
      <c r="L234" t="s">
        <v>241</v>
      </c>
      <c r="M234" s="35">
        <v>0.78</v>
      </c>
      <c r="N234" s="35">
        <v>0.81</v>
      </c>
      <c r="O234" s="32">
        <v>0.1</v>
      </c>
      <c r="AH234" s="5">
        <v>198</v>
      </c>
      <c r="AN234" s="13">
        <v>0.64</v>
      </c>
    </row>
    <row r="235" spans="1:40" x14ac:dyDescent="0.2">
      <c r="A235" t="s">
        <v>337</v>
      </c>
      <c r="C235" s="5" t="s">
        <v>15</v>
      </c>
      <c r="D235" s="5" t="s">
        <v>292</v>
      </c>
      <c r="E235" s="5"/>
      <c r="F235" s="29" t="s">
        <v>17</v>
      </c>
      <c r="G235" s="30"/>
      <c r="H235" s="34" t="s">
        <v>26</v>
      </c>
      <c r="J235" s="33"/>
      <c r="L235" t="s">
        <v>337</v>
      </c>
      <c r="M235" s="32">
        <v>0.44700000000000001</v>
      </c>
      <c r="N235" s="32">
        <v>0.183</v>
      </c>
      <c r="O235" s="32">
        <v>0.78500000000000003</v>
      </c>
      <c r="AH235" s="5">
        <v>80</v>
      </c>
      <c r="AN235" s="13">
        <v>0.91</v>
      </c>
    </row>
    <row r="236" spans="1:40" x14ac:dyDescent="0.2">
      <c r="A236" t="s">
        <v>358</v>
      </c>
      <c r="C236" s="5" t="s">
        <v>15</v>
      </c>
      <c r="D236" s="6" t="s">
        <v>210</v>
      </c>
      <c r="F236" s="29" t="s">
        <v>17</v>
      </c>
      <c r="G236" s="38" t="s">
        <v>25</v>
      </c>
      <c r="H236" s="31" t="s">
        <v>18</v>
      </c>
      <c r="J236" s="33"/>
      <c r="L236" t="s">
        <v>358</v>
      </c>
      <c r="M236" s="35">
        <v>0.42</v>
      </c>
      <c r="N236" s="35">
        <v>0.23</v>
      </c>
      <c r="O236" s="32">
        <v>0.65</v>
      </c>
      <c r="AH236" s="5">
        <v>71</v>
      </c>
      <c r="AN236" s="13">
        <v>0.66</v>
      </c>
    </row>
    <row r="237" spans="1:40" x14ac:dyDescent="0.2">
      <c r="A237" t="s">
        <v>215</v>
      </c>
      <c r="C237" s="5" t="s">
        <v>15</v>
      </c>
      <c r="D237" s="6" t="s">
        <v>210</v>
      </c>
      <c r="F237" s="29" t="s">
        <v>17</v>
      </c>
      <c r="G237" s="38" t="s">
        <v>25</v>
      </c>
      <c r="H237" s="31" t="s">
        <v>18</v>
      </c>
      <c r="J237" s="33"/>
      <c r="L237" t="s">
        <v>215</v>
      </c>
      <c r="M237" s="35">
        <v>0.42</v>
      </c>
      <c r="N237" s="35">
        <v>0.23</v>
      </c>
      <c r="O237" s="32">
        <v>0.65</v>
      </c>
      <c r="AH237" s="5">
        <v>73</v>
      </c>
      <c r="AN237" s="13">
        <v>0.85</v>
      </c>
    </row>
    <row r="238" spans="1:40" x14ac:dyDescent="0.2">
      <c r="A238" t="s">
        <v>201</v>
      </c>
      <c r="C238" s="5" t="s">
        <v>183</v>
      </c>
      <c r="D238" s="5" t="s">
        <v>202</v>
      </c>
      <c r="E238" s="5"/>
      <c r="F238" s="29" t="s">
        <v>17</v>
      </c>
      <c r="G238" s="30"/>
      <c r="H238" s="31" t="s">
        <v>18</v>
      </c>
      <c r="J238" s="33"/>
      <c r="L238" t="s">
        <v>201</v>
      </c>
      <c r="M238" s="32">
        <v>0.754</v>
      </c>
      <c r="N238" s="32">
        <v>7.2999999999999995E-2</v>
      </c>
      <c r="O238" s="32">
        <v>0.90900000000000003</v>
      </c>
      <c r="AH238" s="5">
        <v>12</v>
      </c>
      <c r="AN238" s="13">
        <v>0.91</v>
      </c>
    </row>
    <row r="239" spans="1:40" x14ac:dyDescent="0.2">
      <c r="A239" s="39" t="s">
        <v>35</v>
      </c>
      <c r="C239" s="5" t="s">
        <v>30</v>
      </c>
      <c r="D239" s="6" t="s">
        <v>36</v>
      </c>
      <c r="F239" s="29" t="s">
        <v>17</v>
      </c>
      <c r="G239" s="38" t="s">
        <v>25</v>
      </c>
      <c r="H239" s="31" t="s">
        <v>18</v>
      </c>
      <c r="J239" s="33"/>
      <c r="K239" t="s">
        <v>832</v>
      </c>
      <c r="L239" t="s">
        <v>35</v>
      </c>
      <c r="M239" s="35">
        <v>0.31</v>
      </c>
      <c r="N239" s="35">
        <v>0.79</v>
      </c>
      <c r="O239" s="32">
        <v>0.53</v>
      </c>
      <c r="AH239" s="14"/>
      <c r="AN239" s="13">
        <v>0.63</v>
      </c>
    </row>
    <row r="240" spans="1:40" x14ac:dyDescent="0.2">
      <c r="A240" s="39" t="s">
        <v>196</v>
      </c>
      <c r="C240" s="5" t="s">
        <v>30</v>
      </c>
      <c r="D240" s="6" t="s">
        <v>84</v>
      </c>
      <c r="F240" s="29" t="s">
        <v>17</v>
      </c>
      <c r="G240" s="38" t="s">
        <v>25</v>
      </c>
      <c r="H240" s="31" t="s">
        <v>18</v>
      </c>
      <c r="J240" s="33"/>
      <c r="K240" t="s">
        <v>832</v>
      </c>
      <c r="L240" t="s">
        <v>196</v>
      </c>
      <c r="M240" s="35">
        <v>0.25</v>
      </c>
      <c r="N240" s="35">
        <v>0.93</v>
      </c>
      <c r="O240" s="32">
        <v>0.67</v>
      </c>
      <c r="AH240" s="14"/>
      <c r="AN240" s="13">
        <v>0.6</v>
      </c>
    </row>
    <row r="241" spans="1:40" x14ac:dyDescent="0.2">
      <c r="A241" s="39" t="s">
        <v>338</v>
      </c>
      <c r="C241" s="5" t="s">
        <v>30</v>
      </c>
      <c r="D241" s="6" t="s">
        <v>84</v>
      </c>
      <c r="F241" s="29" t="s">
        <v>17</v>
      </c>
      <c r="G241" s="38" t="s">
        <v>25</v>
      </c>
      <c r="H241" s="31" t="s">
        <v>18</v>
      </c>
      <c r="J241" s="33"/>
      <c r="K241" t="s">
        <v>832</v>
      </c>
      <c r="L241" t="s">
        <v>338</v>
      </c>
      <c r="M241" s="35">
        <v>0.25</v>
      </c>
      <c r="N241" s="35">
        <v>0.93</v>
      </c>
      <c r="O241" s="32">
        <v>0.67</v>
      </c>
      <c r="AH241" s="14"/>
      <c r="AN241" s="13">
        <v>0.16</v>
      </c>
    </row>
    <row r="242" spans="1:40" x14ac:dyDescent="0.2">
      <c r="A242" t="s">
        <v>347</v>
      </c>
      <c r="C242" s="5" t="s">
        <v>30</v>
      </c>
      <c r="D242" s="6" t="s">
        <v>84</v>
      </c>
      <c r="F242" s="29" t="s">
        <v>17</v>
      </c>
      <c r="G242" s="38" t="s">
        <v>25</v>
      </c>
      <c r="H242" s="31" t="s">
        <v>18</v>
      </c>
      <c r="J242" s="33"/>
      <c r="L242" t="s">
        <v>347</v>
      </c>
      <c r="M242" s="35">
        <v>0.25</v>
      </c>
      <c r="N242" s="35">
        <v>0.93</v>
      </c>
      <c r="O242" s="32">
        <v>0.67</v>
      </c>
      <c r="AH242" s="5">
        <v>163</v>
      </c>
      <c r="AN242" s="13">
        <v>0.57999999999999996</v>
      </c>
    </row>
    <row r="243" spans="1:40" x14ac:dyDescent="0.2">
      <c r="A243" t="s">
        <v>49</v>
      </c>
      <c r="C243" s="5" t="s">
        <v>15</v>
      </c>
      <c r="D243" s="6" t="s">
        <v>50</v>
      </c>
      <c r="F243" s="29" t="s">
        <v>17</v>
      </c>
      <c r="G243" s="38" t="s">
        <v>25</v>
      </c>
      <c r="H243" s="34" t="s">
        <v>26</v>
      </c>
      <c r="J243" s="33"/>
      <c r="L243" t="s">
        <v>49</v>
      </c>
      <c r="M243" s="35">
        <v>0.77</v>
      </c>
      <c r="N243" s="35">
        <v>0.21</v>
      </c>
      <c r="O243" s="32">
        <v>0.98</v>
      </c>
      <c r="AH243" s="14">
        <v>40</v>
      </c>
      <c r="AI243" s="14">
        <v>10</v>
      </c>
      <c r="AN243" s="13">
        <v>0.85</v>
      </c>
    </row>
    <row r="244" spans="1:40" x14ac:dyDescent="0.2">
      <c r="A244" t="s">
        <v>287</v>
      </c>
      <c r="C244" s="5" t="s">
        <v>45</v>
      </c>
      <c r="D244" s="5" t="s">
        <v>288</v>
      </c>
      <c r="E244" s="5"/>
      <c r="F244" s="29" t="s">
        <v>17</v>
      </c>
      <c r="G244" s="30"/>
      <c r="H244" s="31" t="s">
        <v>18</v>
      </c>
      <c r="J244" s="33"/>
      <c r="L244" t="s">
        <v>287</v>
      </c>
      <c r="M244" s="32">
        <v>0.25</v>
      </c>
      <c r="N244" s="32">
        <v>0.53700000000000003</v>
      </c>
      <c r="O244" s="32">
        <v>0.439</v>
      </c>
      <c r="AH244" s="5">
        <v>26</v>
      </c>
      <c r="AN244" s="13">
        <v>0.88</v>
      </c>
    </row>
    <row r="245" spans="1:40" x14ac:dyDescent="0.2">
      <c r="A245" t="s">
        <v>315</v>
      </c>
      <c r="C245" s="5" t="s">
        <v>23</v>
      </c>
      <c r="D245" s="5" t="s">
        <v>316</v>
      </c>
      <c r="E245" s="5"/>
      <c r="F245" s="29" t="s">
        <v>17</v>
      </c>
      <c r="G245" s="38" t="s">
        <v>25</v>
      </c>
      <c r="H245" s="31" t="s">
        <v>18</v>
      </c>
      <c r="J245" s="33"/>
      <c r="L245" t="s">
        <v>868</v>
      </c>
      <c r="M245" s="32">
        <v>0.125</v>
      </c>
      <c r="N245" s="32">
        <v>0.26700000000000002</v>
      </c>
      <c r="O245" s="32">
        <v>0.63300000000000001</v>
      </c>
      <c r="AH245" s="5">
        <v>126</v>
      </c>
      <c r="AN245" s="13">
        <v>0.2</v>
      </c>
    </row>
    <row r="246" spans="1:40" x14ac:dyDescent="0.2">
      <c r="A246" t="s">
        <v>318</v>
      </c>
      <c r="C246" s="5" t="s">
        <v>15</v>
      </c>
      <c r="D246" s="6" t="s">
        <v>228</v>
      </c>
      <c r="F246" s="29" t="s">
        <v>17</v>
      </c>
      <c r="G246" s="38" t="s">
        <v>25</v>
      </c>
      <c r="H246" s="31" t="s">
        <v>18</v>
      </c>
      <c r="J246" s="33"/>
      <c r="L246" t="s">
        <v>318</v>
      </c>
      <c r="M246" s="35">
        <v>0.45</v>
      </c>
      <c r="N246" s="35">
        <v>0.25</v>
      </c>
      <c r="O246" s="32">
        <v>0.91</v>
      </c>
      <c r="AH246" s="5">
        <v>101</v>
      </c>
      <c r="AN246" s="13">
        <v>0.72</v>
      </c>
    </row>
    <row r="247" spans="1:40" x14ac:dyDescent="0.2">
      <c r="A247" t="s">
        <v>216</v>
      </c>
      <c r="C247" s="5" t="s">
        <v>15</v>
      </c>
      <c r="D247" s="5" t="s">
        <v>217</v>
      </c>
      <c r="E247" s="5"/>
      <c r="F247" s="29" t="s">
        <v>17</v>
      </c>
      <c r="G247" s="30"/>
      <c r="H247" s="31" t="s">
        <v>18</v>
      </c>
      <c r="J247" s="33"/>
      <c r="L247" t="s">
        <v>216</v>
      </c>
      <c r="M247" s="32">
        <v>0.33300000000000002</v>
      </c>
      <c r="N247" s="32">
        <v>0.495</v>
      </c>
      <c r="O247" s="32">
        <v>0.60899999999999999</v>
      </c>
      <c r="AH247" s="5">
        <v>8</v>
      </c>
      <c r="AN247" s="13">
        <v>0.76</v>
      </c>
    </row>
    <row r="248" spans="1:40" x14ac:dyDescent="0.2">
      <c r="A248" s="39" t="s">
        <v>185</v>
      </c>
      <c r="C248" s="5" t="s">
        <v>30</v>
      </c>
      <c r="D248" s="6" t="s">
        <v>186</v>
      </c>
      <c r="F248" s="29" t="s">
        <v>17</v>
      </c>
      <c r="G248" s="38" t="s">
        <v>25</v>
      </c>
      <c r="H248" s="31" t="s">
        <v>18</v>
      </c>
      <c r="J248" s="33"/>
      <c r="K248" t="s">
        <v>832</v>
      </c>
      <c r="L248" t="s">
        <v>185</v>
      </c>
      <c r="M248" s="35">
        <v>0.65</v>
      </c>
      <c r="N248" s="35">
        <v>0.14000000000000001</v>
      </c>
      <c r="O248" s="32">
        <v>0.98</v>
      </c>
      <c r="AH248" s="14"/>
      <c r="AN248" s="13">
        <v>0.77</v>
      </c>
    </row>
    <row r="249" spans="1:40" x14ac:dyDescent="0.2">
      <c r="A249" t="s">
        <v>197</v>
      </c>
      <c r="C249" s="5" t="s">
        <v>90</v>
      </c>
      <c r="D249" s="5" t="s">
        <v>198</v>
      </c>
      <c r="E249" s="5"/>
      <c r="F249" s="29" t="s">
        <v>17</v>
      </c>
      <c r="G249" s="30"/>
      <c r="H249" s="31" t="s">
        <v>18</v>
      </c>
      <c r="J249" s="33"/>
      <c r="L249" t="s">
        <v>197</v>
      </c>
      <c r="M249" s="32">
        <v>0.75700000000000001</v>
      </c>
      <c r="N249" s="32">
        <v>2.8000000000000001E-2</v>
      </c>
      <c r="O249" s="32">
        <v>0.93200000000000005</v>
      </c>
      <c r="AH249" s="5">
        <v>12</v>
      </c>
      <c r="AN249" s="13">
        <v>0.63</v>
      </c>
    </row>
    <row r="250" spans="1:40" x14ac:dyDescent="0.2">
      <c r="A250" t="s">
        <v>89</v>
      </c>
      <c r="C250" s="5" t="s">
        <v>90</v>
      </c>
      <c r="D250" s="5" t="s">
        <v>91</v>
      </c>
      <c r="E250" s="5"/>
      <c r="F250" s="29" t="s">
        <v>17</v>
      </c>
      <c r="G250" s="38" t="s">
        <v>25</v>
      </c>
      <c r="H250" s="31" t="s">
        <v>18</v>
      </c>
      <c r="J250" s="33"/>
      <c r="L250" t="s">
        <v>89</v>
      </c>
      <c r="M250" s="32">
        <v>0.25700000000000001</v>
      </c>
      <c r="N250" s="32">
        <v>0.89900000000000002</v>
      </c>
      <c r="O250" s="32">
        <v>0.14199999999999999</v>
      </c>
      <c r="AH250" s="5">
        <v>185</v>
      </c>
      <c r="AN250" s="13">
        <v>0.53</v>
      </c>
    </row>
    <row r="251" spans="1:40" x14ac:dyDescent="0.2">
      <c r="A251" t="s">
        <v>165</v>
      </c>
      <c r="C251" s="5" t="s">
        <v>20</v>
      </c>
      <c r="D251" s="5" t="s">
        <v>166</v>
      </c>
      <c r="E251" s="5"/>
      <c r="F251" s="29" t="s">
        <v>17</v>
      </c>
      <c r="G251" s="30"/>
      <c r="H251" s="31" t="s">
        <v>18</v>
      </c>
      <c r="J251" s="33"/>
      <c r="L251" t="s">
        <v>165</v>
      </c>
      <c r="M251" s="32">
        <v>0.20699999999999999</v>
      </c>
      <c r="N251" s="32">
        <v>0.12</v>
      </c>
      <c r="O251" s="32">
        <v>0.252</v>
      </c>
      <c r="AH251" s="5">
        <v>15</v>
      </c>
      <c r="AN251" s="13">
        <v>0.57999999999999996</v>
      </c>
    </row>
    <row r="252" spans="1:40" x14ac:dyDescent="0.2">
      <c r="A252" t="s">
        <v>299</v>
      </c>
      <c r="B252" s="5" t="s">
        <v>869</v>
      </c>
      <c r="C252" s="5" t="s">
        <v>20</v>
      </c>
      <c r="D252" s="6" t="s">
        <v>300</v>
      </c>
      <c r="F252" s="29" t="s">
        <v>17</v>
      </c>
      <c r="G252" s="30" t="s">
        <v>25</v>
      </c>
      <c r="H252" s="34" t="s">
        <v>39</v>
      </c>
      <c r="I252" s="7" t="s">
        <v>236</v>
      </c>
      <c r="J252" s="7"/>
      <c r="K252" t="s">
        <v>842</v>
      </c>
      <c r="L252" t="s">
        <v>870</v>
      </c>
      <c r="M252" s="35">
        <v>0.33</v>
      </c>
      <c r="N252" s="35">
        <v>0.62</v>
      </c>
      <c r="O252" s="32">
        <v>0.4</v>
      </c>
      <c r="P252" t="s">
        <v>833</v>
      </c>
      <c r="R252" t="s">
        <v>834</v>
      </c>
      <c r="S252" t="s">
        <v>835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10</v>
      </c>
      <c r="AF252">
        <v>0</v>
      </c>
      <c r="AG252">
        <v>0</v>
      </c>
      <c r="AH252" s="40">
        <v>10</v>
      </c>
      <c r="AL252">
        <v>9</v>
      </c>
      <c r="AM252" s="36">
        <f>AL252/AH252</f>
        <v>0.9</v>
      </c>
      <c r="AN252" s="13">
        <v>0.32</v>
      </c>
    </row>
    <row r="253" spans="1:40" x14ac:dyDescent="0.2">
      <c r="A253" t="s">
        <v>311</v>
      </c>
      <c r="C253" s="5" t="s">
        <v>42</v>
      </c>
      <c r="D253" s="6" t="s">
        <v>88</v>
      </c>
      <c r="F253" s="29" t="s">
        <v>17</v>
      </c>
      <c r="G253" s="38" t="s">
        <v>25</v>
      </c>
      <c r="H253" s="31" t="s">
        <v>18</v>
      </c>
      <c r="J253" s="33"/>
      <c r="K253" t="s">
        <v>847</v>
      </c>
      <c r="L253" t="s">
        <v>311</v>
      </c>
      <c r="M253" s="35">
        <v>0.77</v>
      </c>
      <c r="N253" s="35">
        <v>0.38</v>
      </c>
      <c r="O253" s="32">
        <v>0.32</v>
      </c>
      <c r="AH253" s="5">
        <v>415</v>
      </c>
      <c r="AN253" s="13">
        <v>0.45</v>
      </c>
    </row>
    <row r="254" spans="1:40" x14ac:dyDescent="0.2">
      <c r="A254" s="39" t="s">
        <v>167</v>
      </c>
      <c r="C254" s="5" t="s">
        <v>30</v>
      </c>
      <c r="D254" s="6" t="s">
        <v>120</v>
      </c>
      <c r="F254" s="29" t="s">
        <v>17</v>
      </c>
      <c r="G254" s="38" t="s">
        <v>25</v>
      </c>
      <c r="H254" s="31" t="s">
        <v>18</v>
      </c>
      <c r="J254" s="33"/>
      <c r="K254" t="s">
        <v>832</v>
      </c>
      <c r="L254" t="s">
        <v>167</v>
      </c>
      <c r="M254" s="35">
        <v>0.22</v>
      </c>
      <c r="N254" s="35">
        <v>0.6</v>
      </c>
      <c r="O254" s="32">
        <v>0.99</v>
      </c>
      <c r="P254" t="s">
        <v>833</v>
      </c>
      <c r="Q254" t="s">
        <v>849</v>
      </c>
      <c r="R254" t="s">
        <v>834</v>
      </c>
      <c r="S254" t="s">
        <v>835</v>
      </c>
      <c r="T254">
        <v>51</v>
      </c>
      <c r="U254">
        <v>15</v>
      </c>
      <c r="V254">
        <v>0</v>
      </c>
      <c r="W254">
        <v>0</v>
      </c>
      <c r="X254">
        <v>0</v>
      </c>
      <c r="Y254">
        <v>155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206</v>
      </c>
      <c r="AF254">
        <v>0</v>
      </c>
      <c r="AG254">
        <v>0</v>
      </c>
      <c r="AH254" s="14"/>
      <c r="AL254">
        <v>192</v>
      </c>
      <c r="AM254" s="36" t="e">
        <f>AL254/AH254</f>
        <v>#DIV/0!</v>
      </c>
      <c r="AN254" s="13">
        <v>0.74</v>
      </c>
    </row>
    <row r="255" spans="1:40" x14ac:dyDescent="0.2">
      <c r="A255" t="s">
        <v>168</v>
      </c>
      <c r="C255" s="5" t="s">
        <v>169</v>
      </c>
      <c r="D255" s="5" t="s">
        <v>170</v>
      </c>
      <c r="E255" s="5"/>
      <c r="F255" s="29" t="s">
        <v>17</v>
      </c>
      <c r="G255" s="30"/>
      <c r="H255" s="31" t="s">
        <v>18</v>
      </c>
      <c r="J255" s="33"/>
      <c r="L255" t="s">
        <v>168</v>
      </c>
      <c r="M255" s="32">
        <v>0.68600000000000005</v>
      </c>
      <c r="N255" s="32">
        <v>8.2000000000000003E-2</v>
      </c>
      <c r="O255" s="32">
        <v>1</v>
      </c>
      <c r="AH255" s="5">
        <v>17</v>
      </c>
      <c r="AN255" s="13">
        <v>0.75</v>
      </c>
    </row>
    <row r="256" spans="1:40" x14ac:dyDescent="0.2">
      <c r="A256" t="s">
        <v>27</v>
      </c>
      <c r="C256" s="5" t="s">
        <v>15</v>
      </c>
      <c r="D256" s="5" t="s">
        <v>28</v>
      </c>
      <c r="E256" s="5"/>
      <c r="F256" s="29" t="s">
        <v>17</v>
      </c>
      <c r="G256" s="30"/>
      <c r="H256" s="34" t="s">
        <v>26</v>
      </c>
      <c r="J256" s="33"/>
      <c r="L256" t="s">
        <v>27</v>
      </c>
      <c r="M256" s="32">
        <v>0.76200000000000001</v>
      </c>
      <c r="N256" s="32">
        <v>0.01</v>
      </c>
      <c r="O256" s="32">
        <v>0.95799999999999996</v>
      </c>
      <c r="AH256" s="5">
        <v>125</v>
      </c>
      <c r="AN256" s="13">
        <v>0.45</v>
      </c>
    </row>
    <row r="257" spans="1:40" x14ac:dyDescent="0.2">
      <c r="A257" t="s">
        <v>112</v>
      </c>
      <c r="B257" s="5" t="s">
        <v>845</v>
      </c>
      <c r="C257" s="5" t="s">
        <v>15</v>
      </c>
      <c r="D257" s="6" t="s">
        <v>113</v>
      </c>
      <c r="F257" s="29" t="s">
        <v>17</v>
      </c>
      <c r="G257" s="30"/>
      <c r="H257" s="34" t="s">
        <v>39</v>
      </c>
      <c r="I257" s="7" t="s">
        <v>18</v>
      </c>
      <c r="J257" s="33"/>
      <c r="K257" t="s">
        <v>837</v>
      </c>
      <c r="L257" t="s">
        <v>112</v>
      </c>
      <c r="M257" s="35">
        <v>0.53</v>
      </c>
      <c r="N257" s="35">
        <v>0.05</v>
      </c>
      <c r="O257" s="32">
        <v>0.9</v>
      </c>
      <c r="AH257" s="14"/>
      <c r="AN257" s="13">
        <v>0.45</v>
      </c>
    </row>
    <row r="258" spans="1:40" x14ac:dyDescent="0.2">
      <c r="A258" t="s">
        <v>320</v>
      </c>
      <c r="C258" s="5" t="s">
        <v>15</v>
      </c>
      <c r="D258" s="6" t="s">
        <v>118</v>
      </c>
      <c r="F258" s="29" t="s">
        <v>17</v>
      </c>
      <c r="G258" s="38" t="s">
        <v>25</v>
      </c>
      <c r="H258" s="31" t="s">
        <v>18</v>
      </c>
      <c r="J258" s="33"/>
      <c r="K258" t="s">
        <v>847</v>
      </c>
      <c r="L258" t="s">
        <v>320</v>
      </c>
      <c r="M258" s="35">
        <v>0.8</v>
      </c>
      <c r="N258" s="35">
        <v>0.08</v>
      </c>
      <c r="O258" s="32">
        <v>0.74</v>
      </c>
      <c r="AH258" s="5">
        <v>62</v>
      </c>
      <c r="AN258" s="13">
        <v>0.1</v>
      </c>
    </row>
    <row r="259" spans="1:40" x14ac:dyDescent="0.2">
      <c r="A259" t="s">
        <v>141</v>
      </c>
      <c r="C259" s="5" t="s">
        <v>30</v>
      </c>
      <c r="D259" s="6" t="s">
        <v>84</v>
      </c>
      <c r="F259" s="29" t="s">
        <v>17</v>
      </c>
      <c r="G259" s="38" t="s">
        <v>25</v>
      </c>
      <c r="H259" s="31" t="s">
        <v>18</v>
      </c>
      <c r="J259" s="33"/>
      <c r="K259" t="s">
        <v>832</v>
      </c>
      <c r="L259" t="s">
        <v>141</v>
      </c>
      <c r="M259" s="35">
        <v>0.25</v>
      </c>
      <c r="N259" s="35">
        <v>0.93</v>
      </c>
      <c r="O259" s="32">
        <v>0.67</v>
      </c>
      <c r="AH259" s="14"/>
      <c r="AN259" s="13">
        <v>0.37</v>
      </c>
    </row>
    <row r="260" spans="1:40" x14ac:dyDescent="0.2">
      <c r="A260" t="s">
        <v>92</v>
      </c>
      <c r="C260" s="5" t="s">
        <v>30</v>
      </c>
      <c r="D260" s="6" t="s">
        <v>93</v>
      </c>
      <c r="F260" s="29" t="s">
        <v>17</v>
      </c>
      <c r="G260" s="38" t="s">
        <v>25</v>
      </c>
      <c r="H260" s="31" t="s">
        <v>18</v>
      </c>
      <c r="J260" s="33"/>
      <c r="K260" t="s">
        <v>832</v>
      </c>
      <c r="L260" t="s">
        <v>92</v>
      </c>
      <c r="M260" s="35">
        <v>0.05</v>
      </c>
      <c r="N260" s="35">
        <v>0.81</v>
      </c>
      <c r="O260" s="32">
        <v>0.27</v>
      </c>
      <c r="AH260" s="5">
        <v>161</v>
      </c>
      <c r="AN260" s="13">
        <v>0.79</v>
      </c>
    </row>
    <row r="261" spans="1:40" x14ac:dyDescent="0.2">
      <c r="A261" t="s">
        <v>334</v>
      </c>
      <c r="B261" s="5" t="s">
        <v>871</v>
      </c>
      <c r="C261" s="5" t="s">
        <v>335</v>
      </c>
      <c r="D261" s="6" t="s">
        <v>336</v>
      </c>
      <c r="F261" s="29" t="s">
        <v>17</v>
      </c>
      <c r="G261" s="30" t="s">
        <v>25</v>
      </c>
      <c r="H261" s="34" t="s">
        <v>39</v>
      </c>
      <c r="I261" s="7" t="s">
        <v>18</v>
      </c>
      <c r="J261" s="33"/>
      <c r="K261" t="s">
        <v>842</v>
      </c>
      <c r="L261" t="s">
        <v>334</v>
      </c>
      <c r="M261" s="35">
        <v>0.92</v>
      </c>
      <c r="N261" s="35">
        <v>0.8</v>
      </c>
      <c r="O261" s="32">
        <v>0.54</v>
      </c>
      <c r="P261" t="s">
        <v>833</v>
      </c>
      <c r="R261" t="s">
        <v>834</v>
      </c>
      <c r="S261" t="s">
        <v>835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</v>
      </c>
      <c r="AF261">
        <v>0</v>
      </c>
      <c r="AG261">
        <v>0</v>
      </c>
      <c r="AH261" s="5">
        <v>70</v>
      </c>
      <c r="AL261">
        <v>8</v>
      </c>
      <c r="AM261" s="36">
        <f>AL261/AH261</f>
        <v>0.11428571428571428</v>
      </c>
      <c r="AN261" s="13">
        <v>0.42</v>
      </c>
    </row>
    <row r="262" spans="1:40" x14ac:dyDescent="0.2">
      <c r="A262" t="s">
        <v>276</v>
      </c>
      <c r="C262" s="5" t="s">
        <v>15</v>
      </c>
      <c r="D262" s="5" t="s">
        <v>219</v>
      </c>
      <c r="E262" s="5"/>
      <c r="F262" s="29" t="s">
        <v>17</v>
      </c>
      <c r="G262" s="30"/>
      <c r="H262" s="31" t="s">
        <v>18</v>
      </c>
      <c r="J262" s="33"/>
      <c r="L262" t="s">
        <v>276</v>
      </c>
      <c r="M262" s="32">
        <v>0.97099999999999997</v>
      </c>
      <c r="N262" s="32">
        <v>8.3000000000000004E-2</v>
      </c>
      <c r="O262" s="32">
        <v>0.99399999999999999</v>
      </c>
      <c r="AH262" s="5">
        <v>32</v>
      </c>
      <c r="AN262" s="13">
        <v>0.32</v>
      </c>
    </row>
    <row r="263" spans="1:40" x14ac:dyDescent="0.2">
      <c r="A263" t="s">
        <v>239</v>
      </c>
      <c r="C263" s="5" t="s">
        <v>15</v>
      </c>
      <c r="D263" s="5" t="s">
        <v>28</v>
      </c>
      <c r="E263" s="5"/>
      <c r="F263" s="29" t="s">
        <v>17</v>
      </c>
      <c r="G263" s="30"/>
      <c r="H263" s="31" t="s">
        <v>18</v>
      </c>
      <c r="J263" s="33"/>
      <c r="L263" t="s">
        <v>239</v>
      </c>
      <c r="M263" s="32">
        <v>0.76200000000000001</v>
      </c>
      <c r="N263" s="32">
        <v>0.01</v>
      </c>
      <c r="O263" s="32">
        <v>0.95799999999999996</v>
      </c>
      <c r="AH263" s="5">
        <v>9</v>
      </c>
      <c r="AN263" s="13">
        <v>0.84</v>
      </c>
    </row>
    <row r="264" spans="1:40" x14ac:dyDescent="0.2">
      <c r="A264" t="s">
        <v>494</v>
      </c>
      <c r="C264" s="5" t="s">
        <v>103</v>
      </c>
      <c r="D264" s="6" t="s">
        <v>495</v>
      </c>
      <c r="F264" s="29" t="s">
        <v>17</v>
      </c>
      <c r="G264" s="38" t="s">
        <v>25</v>
      </c>
      <c r="H264" s="31" t="s">
        <v>18</v>
      </c>
      <c r="J264" s="33"/>
      <c r="L264" t="s">
        <v>494</v>
      </c>
      <c r="M264" s="35">
        <v>0.08</v>
      </c>
      <c r="N264" s="35">
        <v>0.9</v>
      </c>
      <c r="O264" s="32">
        <v>0.75</v>
      </c>
      <c r="AH264" s="5">
        <v>203</v>
      </c>
      <c r="AN264" s="13">
        <v>0.71</v>
      </c>
    </row>
    <row r="265" spans="1:40" x14ac:dyDescent="0.2">
      <c r="A265" t="s">
        <v>496</v>
      </c>
      <c r="C265" s="5" t="s">
        <v>30</v>
      </c>
      <c r="D265" s="5" t="s">
        <v>497</v>
      </c>
      <c r="E265" s="5"/>
      <c r="F265" s="29" t="s">
        <v>17</v>
      </c>
      <c r="G265" s="38" t="s">
        <v>25</v>
      </c>
      <c r="H265" s="31" t="s">
        <v>18</v>
      </c>
      <c r="J265" s="33"/>
      <c r="L265" t="s">
        <v>496</v>
      </c>
      <c r="M265" s="32">
        <v>0.214</v>
      </c>
      <c r="N265" s="32">
        <v>0.84599999999999997</v>
      </c>
      <c r="O265" s="32">
        <v>0.57899999999999996</v>
      </c>
      <c r="AH265" s="5">
        <v>12</v>
      </c>
      <c r="AN265" s="13">
        <v>0.64</v>
      </c>
    </row>
    <row r="266" spans="1:40" x14ac:dyDescent="0.2">
      <c r="A266" t="s">
        <v>498</v>
      </c>
      <c r="C266" s="5" t="s">
        <v>30</v>
      </c>
      <c r="D266" s="5" t="s">
        <v>395</v>
      </c>
      <c r="E266" s="5"/>
      <c r="F266" s="29" t="s">
        <v>17</v>
      </c>
      <c r="G266" s="38" t="s">
        <v>25</v>
      </c>
      <c r="H266" s="31" t="s">
        <v>18</v>
      </c>
      <c r="J266" s="33"/>
      <c r="L266" t="s">
        <v>498</v>
      </c>
      <c r="M266" s="32">
        <v>0.55200000000000005</v>
      </c>
      <c r="N266" s="32">
        <v>0.628</v>
      </c>
      <c r="O266" s="32">
        <v>0.496</v>
      </c>
      <c r="AH266" s="5">
        <v>65</v>
      </c>
    </row>
    <row r="267" spans="1:40" x14ac:dyDescent="0.2">
      <c r="A267" t="s">
        <v>499</v>
      </c>
      <c r="C267" s="5" t="s">
        <v>15</v>
      </c>
      <c r="D267" s="5" t="s">
        <v>500</v>
      </c>
      <c r="E267" s="5"/>
      <c r="F267" s="29" t="s">
        <v>17</v>
      </c>
      <c r="G267" s="30"/>
      <c r="H267" s="31" t="s">
        <v>18</v>
      </c>
      <c r="J267" s="33"/>
      <c r="L267" t="s">
        <v>499</v>
      </c>
      <c r="M267" s="32">
        <v>0.79100000000000004</v>
      </c>
      <c r="N267" s="32">
        <v>0.35299999999999998</v>
      </c>
      <c r="O267" s="32">
        <v>0.60599999999999998</v>
      </c>
      <c r="AH267" s="5">
        <v>2</v>
      </c>
    </row>
    <row r="268" spans="1:40" x14ac:dyDescent="0.2">
      <c r="A268" t="s">
        <v>501</v>
      </c>
      <c r="C268" s="5" t="s">
        <v>225</v>
      </c>
      <c r="D268" s="5" t="s">
        <v>502</v>
      </c>
      <c r="E268" s="5"/>
      <c r="F268" s="29" t="s">
        <v>17</v>
      </c>
      <c r="G268" s="30" t="s">
        <v>25</v>
      </c>
      <c r="H268" s="34" t="s">
        <v>39</v>
      </c>
      <c r="J268" s="33"/>
      <c r="L268" t="s">
        <v>501</v>
      </c>
      <c r="M268" s="32">
        <v>0.56000000000000005</v>
      </c>
      <c r="N268" s="32">
        <v>0.77500000000000002</v>
      </c>
      <c r="O268" s="32">
        <v>0.157</v>
      </c>
      <c r="AH268" s="5">
        <v>53</v>
      </c>
    </row>
    <row r="269" spans="1:40" x14ac:dyDescent="0.2">
      <c r="A269" t="s">
        <v>503</v>
      </c>
      <c r="C269" s="5" t="s">
        <v>225</v>
      </c>
      <c r="D269" s="6" t="s">
        <v>502</v>
      </c>
      <c r="F269" s="29" t="s">
        <v>17</v>
      </c>
      <c r="G269" s="38" t="s">
        <v>25</v>
      </c>
      <c r="H269" s="31" t="s">
        <v>18</v>
      </c>
      <c r="J269" s="33"/>
      <c r="K269" t="s">
        <v>837</v>
      </c>
      <c r="L269" t="s">
        <v>503</v>
      </c>
      <c r="M269" s="35">
        <v>0.56000000000000005</v>
      </c>
      <c r="N269" s="35">
        <v>0.78</v>
      </c>
      <c r="O269" s="32">
        <v>0.16</v>
      </c>
      <c r="P269" t="s">
        <v>833</v>
      </c>
      <c r="R269" t="s">
        <v>834</v>
      </c>
      <c r="S269" t="s">
        <v>855</v>
      </c>
      <c r="T269">
        <v>12</v>
      </c>
      <c r="U269">
        <v>4</v>
      </c>
      <c r="V269">
        <v>0</v>
      </c>
      <c r="W269">
        <v>0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</v>
      </c>
      <c r="AF269">
        <v>0</v>
      </c>
      <c r="AG269">
        <v>0</v>
      </c>
      <c r="AH269" s="5">
        <v>68</v>
      </c>
      <c r="AL269">
        <v>10</v>
      </c>
      <c r="AM269" s="36">
        <f>AL269/AH269</f>
        <v>0.14705882352941177</v>
      </c>
    </row>
    <row r="270" spans="1:40" x14ac:dyDescent="0.2">
      <c r="A270" t="s">
        <v>504</v>
      </c>
      <c r="C270" s="5" t="s">
        <v>45</v>
      </c>
      <c r="D270" s="5" t="s">
        <v>505</v>
      </c>
      <c r="E270" s="5"/>
      <c r="F270" s="29" t="s">
        <v>17</v>
      </c>
      <c r="G270" s="30"/>
      <c r="H270" s="31" t="s">
        <v>18</v>
      </c>
      <c r="J270" s="33"/>
      <c r="L270" t="s">
        <v>504</v>
      </c>
      <c r="M270" s="32">
        <v>0.35799999999999998</v>
      </c>
      <c r="N270" s="32">
        <v>0.114</v>
      </c>
      <c r="O270" s="32">
        <v>0.873</v>
      </c>
      <c r="AH270" s="5">
        <v>5</v>
      </c>
    </row>
    <row r="271" spans="1:40" x14ac:dyDescent="0.2">
      <c r="A271" t="s">
        <v>506</v>
      </c>
      <c r="C271" s="5" t="s">
        <v>45</v>
      </c>
      <c r="D271" s="5" t="s">
        <v>505</v>
      </c>
      <c r="E271" s="5"/>
      <c r="F271" s="29" t="s">
        <v>17</v>
      </c>
      <c r="G271" s="30"/>
      <c r="H271" s="31" t="s">
        <v>18</v>
      </c>
      <c r="J271" s="33"/>
      <c r="L271" t="s">
        <v>506</v>
      </c>
      <c r="M271" s="32">
        <v>0.35799999999999998</v>
      </c>
      <c r="N271" s="32">
        <v>0.114</v>
      </c>
      <c r="O271" s="32">
        <v>0.873</v>
      </c>
      <c r="AH271" s="5">
        <v>5</v>
      </c>
    </row>
    <row r="272" spans="1:40" x14ac:dyDescent="0.2">
      <c r="A272" t="s">
        <v>507</v>
      </c>
      <c r="C272" s="5" t="s">
        <v>45</v>
      </c>
      <c r="D272" s="5" t="s">
        <v>505</v>
      </c>
      <c r="E272" s="5"/>
      <c r="F272" s="29" t="s">
        <v>17</v>
      </c>
      <c r="G272" s="30"/>
      <c r="H272" s="31" t="s">
        <v>18</v>
      </c>
      <c r="J272" s="33"/>
      <c r="L272" t="s">
        <v>507</v>
      </c>
      <c r="M272" s="32">
        <v>0.35799999999999998</v>
      </c>
      <c r="N272" s="32">
        <v>0.114</v>
      </c>
      <c r="O272" s="32">
        <v>0.873</v>
      </c>
      <c r="AH272" s="5">
        <v>4</v>
      </c>
    </row>
    <row r="273" spans="1:39" x14ac:dyDescent="0.2">
      <c r="A273" t="s">
        <v>508</v>
      </c>
      <c r="C273" s="5" t="s">
        <v>45</v>
      </c>
      <c r="D273" s="5" t="s">
        <v>505</v>
      </c>
      <c r="E273" s="5"/>
      <c r="F273" s="29" t="s">
        <v>17</v>
      </c>
      <c r="G273" s="30"/>
      <c r="H273" s="31" t="s">
        <v>18</v>
      </c>
      <c r="J273" s="33"/>
      <c r="L273" t="s">
        <v>508</v>
      </c>
      <c r="M273" s="32">
        <v>0.35799999999999998</v>
      </c>
      <c r="N273" s="32">
        <v>0.114</v>
      </c>
      <c r="O273" s="32">
        <v>0.873</v>
      </c>
      <c r="AH273" s="5">
        <v>5</v>
      </c>
    </row>
    <row r="274" spans="1:39" x14ac:dyDescent="0.2">
      <c r="A274" t="s">
        <v>509</v>
      </c>
      <c r="C274" s="5" t="s">
        <v>45</v>
      </c>
      <c r="D274" s="6" t="s">
        <v>505</v>
      </c>
      <c r="F274" s="29" t="s">
        <v>17</v>
      </c>
      <c r="G274" s="38" t="s">
        <v>25</v>
      </c>
      <c r="H274" s="31" t="s">
        <v>18</v>
      </c>
      <c r="J274" s="33"/>
      <c r="K274" t="s">
        <v>847</v>
      </c>
      <c r="L274" t="s">
        <v>509</v>
      </c>
      <c r="M274" s="35">
        <v>0.36</v>
      </c>
      <c r="N274" s="35">
        <v>0.11</v>
      </c>
      <c r="O274" s="32">
        <v>0.87</v>
      </c>
      <c r="P274" t="s">
        <v>833</v>
      </c>
      <c r="Q274" t="s">
        <v>849</v>
      </c>
      <c r="R274" t="s">
        <v>834</v>
      </c>
      <c r="S274" t="s">
        <v>835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62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62</v>
      </c>
      <c r="AF274">
        <v>0</v>
      </c>
      <c r="AG274">
        <v>0</v>
      </c>
      <c r="AH274" s="14"/>
      <c r="AL274">
        <v>31</v>
      </c>
      <c r="AM274" s="36" t="e">
        <f>AL274/AH274</f>
        <v>#DIV/0!</v>
      </c>
    </row>
    <row r="275" spans="1:39" x14ac:dyDescent="0.2">
      <c r="A275" s="39" t="s">
        <v>510</v>
      </c>
      <c r="C275" s="5" t="s">
        <v>20</v>
      </c>
      <c r="D275" s="5" t="s">
        <v>511</v>
      </c>
      <c r="E275" s="5"/>
      <c r="F275" s="29" t="s">
        <v>17</v>
      </c>
      <c r="G275" s="30"/>
      <c r="H275" s="31" t="s">
        <v>18</v>
      </c>
      <c r="J275" s="33"/>
      <c r="L275" t="s">
        <v>510</v>
      </c>
      <c r="M275" s="32">
        <v>0.35599999999999998</v>
      </c>
      <c r="N275" s="32">
        <v>0.60899999999999999</v>
      </c>
      <c r="O275" s="32">
        <v>0.29599999999999999</v>
      </c>
      <c r="AH275" s="14"/>
    </row>
    <row r="276" spans="1:39" x14ac:dyDescent="0.2">
      <c r="A276" t="s">
        <v>512</v>
      </c>
      <c r="C276" s="5" t="s">
        <v>45</v>
      </c>
      <c r="D276" s="5" t="s">
        <v>505</v>
      </c>
      <c r="E276" s="5"/>
      <c r="F276" s="29" t="s">
        <v>17</v>
      </c>
      <c r="G276" s="30"/>
      <c r="H276" s="31" t="s">
        <v>18</v>
      </c>
      <c r="J276" s="33"/>
      <c r="L276" t="s">
        <v>512</v>
      </c>
      <c r="M276" s="32">
        <v>0.35799999999999998</v>
      </c>
      <c r="N276" s="32">
        <v>0.114</v>
      </c>
      <c r="O276" s="32">
        <v>0.873</v>
      </c>
      <c r="AH276" s="5">
        <v>65</v>
      </c>
    </row>
    <row r="277" spans="1:39" x14ac:dyDescent="0.2">
      <c r="A277" t="s">
        <v>513</v>
      </c>
      <c r="C277" s="5" t="s">
        <v>45</v>
      </c>
      <c r="D277" s="6" t="s">
        <v>82</v>
      </c>
      <c r="F277" s="29" t="s">
        <v>17</v>
      </c>
      <c r="G277" s="38" t="s">
        <v>25</v>
      </c>
      <c r="H277" s="31" t="s">
        <v>18</v>
      </c>
      <c r="J277" s="33"/>
      <c r="L277" t="s">
        <v>513</v>
      </c>
      <c r="M277" s="35">
        <v>0.27</v>
      </c>
      <c r="N277" s="35">
        <v>0.77</v>
      </c>
      <c r="O277" s="32">
        <v>0.11</v>
      </c>
      <c r="AH277" s="5">
        <v>77</v>
      </c>
    </row>
    <row r="278" spans="1:39" x14ac:dyDescent="0.2">
      <c r="A278" s="39" t="s">
        <v>514</v>
      </c>
      <c r="C278" s="5" t="s">
        <v>95</v>
      </c>
      <c r="D278" s="5" t="s">
        <v>357</v>
      </c>
      <c r="E278" s="5"/>
      <c r="F278" s="29" t="s">
        <v>17</v>
      </c>
      <c r="G278" s="30"/>
      <c r="H278" s="34" t="s">
        <v>26</v>
      </c>
      <c r="J278" s="33"/>
      <c r="L278" t="s">
        <v>514</v>
      </c>
      <c r="M278" s="32">
        <v>0.19600000000000001</v>
      </c>
      <c r="N278" s="32">
        <v>0.21099999999999999</v>
      </c>
      <c r="O278" s="32">
        <v>0.70399999999999996</v>
      </c>
      <c r="AH278" s="5">
        <v>6</v>
      </c>
    </row>
    <row r="279" spans="1:39" x14ac:dyDescent="0.2">
      <c r="A279" t="s">
        <v>515</v>
      </c>
      <c r="C279" s="5" t="s">
        <v>95</v>
      </c>
      <c r="D279" s="5" t="s">
        <v>158</v>
      </c>
      <c r="E279" s="5"/>
      <c r="F279" s="29" t="s">
        <v>17</v>
      </c>
      <c r="G279" s="30"/>
      <c r="H279" s="31" t="s">
        <v>18</v>
      </c>
      <c r="J279" s="33"/>
      <c r="L279" t="s">
        <v>515</v>
      </c>
      <c r="M279" s="32">
        <v>0.92600000000000005</v>
      </c>
      <c r="N279" s="32">
        <v>0.502</v>
      </c>
      <c r="O279" s="32">
        <v>0.48899999999999999</v>
      </c>
      <c r="AH279" s="5">
        <v>24</v>
      </c>
    </row>
    <row r="280" spans="1:39" x14ac:dyDescent="0.2">
      <c r="A280" t="s">
        <v>516</v>
      </c>
      <c r="C280" s="5" t="s">
        <v>95</v>
      </c>
      <c r="D280" s="6" t="s">
        <v>397</v>
      </c>
      <c r="F280" s="29" t="s">
        <v>17</v>
      </c>
      <c r="G280" s="38" t="s">
        <v>25</v>
      </c>
      <c r="H280" s="31" t="s">
        <v>18</v>
      </c>
      <c r="J280" s="33"/>
      <c r="L280" t="s">
        <v>516</v>
      </c>
      <c r="M280" s="35">
        <v>0.39</v>
      </c>
      <c r="N280" s="32">
        <v>0.73</v>
      </c>
      <c r="O280" s="32">
        <v>0.57999999999999996</v>
      </c>
      <c r="AH280" s="5">
        <v>64</v>
      </c>
    </row>
    <row r="281" spans="1:39" x14ac:dyDescent="0.2">
      <c r="A281" t="s">
        <v>517</v>
      </c>
      <c r="C281" s="5" t="s">
        <v>30</v>
      </c>
      <c r="D281" s="6" t="s">
        <v>518</v>
      </c>
      <c r="F281" s="29" t="s">
        <v>17</v>
      </c>
      <c r="G281" s="38" t="s">
        <v>25</v>
      </c>
      <c r="H281" s="31" t="s">
        <v>18</v>
      </c>
      <c r="J281" s="33"/>
      <c r="K281" t="s">
        <v>832</v>
      </c>
      <c r="L281" t="s">
        <v>517</v>
      </c>
      <c r="M281" s="35">
        <v>0.56999999999999995</v>
      </c>
      <c r="N281" s="35">
        <v>0.6</v>
      </c>
      <c r="O281" s="32">
        <v>0.44</v>
      </c>
      <c r="AH281" s="14">
        <v>136</v>
      </c>
      <c r="AI281" s="14">
        <v>60</v>
      </c>
    </row>
    <row r="282" spans="1:39" x14ac:dyDescent="0.2">
      <c r="A282" t="s">
        <v>519</v>
      </c>
      <c r="B282" s="5" t="s">
        <v>841</v>
      </c>
      <c r="C282" s="5" t="s">
        <v>58</v>
      </c>
      <c r="D282" s="6" t="s">
        <v>520</v>
      </c>
      <c r="F282" s="29" t="s">
        <v>17</v>
      </c>
      <c r="G282" s="30" t="s">
        <v>25</v>
      </c>
      <c r="H282" s="31" t="s">
        <v>18</v>
      </c>
      <c r="J282" s="33"/>
      <c r="K282" t="s">
        <v>837</v>
      </c>
      <c r="L282" t="s">
        <v>519</v>
      </c>
      <c r="M282" s="35">
        <v>0.6</v>
      </c>
      <c r="N282" s="35">
        <v>0.63</v>
      </c>
      <c r="O282" s="32">
        <v>0</v>
      </c>
      <c r="AH282" s="14"/>
    </row>
    <row r="283" spans="1:39" x14ac:dyDescent="0.2">
      <c r="A283" t="s">
        <v>521</v>
      </c>
      <c r="C283" s="5" t="s">
        <v>95</v>
      </c>
      <c r="D283" s="5" t="s">
        <v>397</v>
      </c>
      <c r="E283" s="5"/>
      <c r="F283" s="29" t="s">
        <v>17</v>
      </c>
      <c r="G283" s="30"/>
      <c r="H283" s="34" t="s">
        <v>26</v>
      </c>
      <c r="J283" s="33"/>
      <c r="L283" t="s">
        <v>521</v>
      </c>
      <c r="M283" s="32">
        <v>0.38600000000000001</v>
      </c>
      <c r="N283" s="32">
        <v>0.72799999999999998</v>
      </c>
      <c r="O283" s="32">
        <v>0.58199999999999996</v>
      </c>
      <c r="AH283" s="5">
        <v>17</v>
      </c>
    </row>
    <row r="284" spans="1:39" x14ac:dyDescent="0.2">
      <c r="A284" t="s">
        <v>522</v>
      </c>
      <c r="C284" s="5" t="s">
        <v>45</v>
      </c>
      <c r="D284" s="5" t="s">
        <v>447</v>
      </c>
      <c r="E284" s="5"/>
      <c r="F284" s="29" t="s">
        <v>17</v>
      </c>
      <c r="G284" s="38" t="s">
        <v>25</v>
      </c>
      <c r="H284" s="31" t="s">
        <v>18</v>
      </c>
      <c r="J284" s="33"/>
      <c r="L284" t="s">
        <v>522</v>
      </c>
      <c r="M284" s="32">
        <v>0.47699999999999998</v>
      </c>
      <c r="N284" s="32">
        <v>0.372</v>
      </c>
      <c r="O284" s="32">
        <v>0.66300000000000003</v>
      </c>
      <c r="AH284" s="5">
        <v>48</v>
      </c>
    </row>
    <row r="285" spans="1:39" x14ac:dyDescent="0.2">
      <c r="A285" t="s">
        <v>523</v>
      </c>
      <c r="C285" s="5" t="s">
        <v>45</v>
      </c>
      <c r="D285" s="6" t="s">
        <v>505</v>
      </c>
      <c r="F285" s="29" t="s">
        <v>17</v>
      </c>
      <c r="G285" s="38" t="s">
        <v>25</v>
      </c>
      <c r="H285" s="31" t="s">
        <v>18</v>
      </c>
      <c r="J285" s="33"/>
      <c r="L285" t="s">
        <v>523</v>
      </c>
      <c r="M285" s="35">
        <v>0.36</v>
      </c>
      <c r="N285" s="35">
        <v>0.11</v>
      </c>
      <c r="O285" s="32">
        <v>0.87</v>
      </c>
      <c r="P285" t="s">
        <v>833</v>
      </c>
      <c r="Q285" t="s">
        <v>849</v>
      </c>
      <c r="R285" t="s">
        <v>834</v>
      </c>
      <c r="S285" t="s">
        <v>835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62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62</v>
      </c>
      <c r="AF285">
        <v>0</v>
      </c>
      <c r="AG285">
        <v>0</v>
      </c>
      <c r="AH285" s="5">
        <v>6</v>
      </c>
      <c r="AL285">
        <v>31</v>
      </c>
      <c r="AM285" s="36">
        <f>AL285/AH285</f>
        <v>5.166666666666667</v>
      </c>
    </row>
    <row r="286" spans="1:39" x14ac:dyDescent="0.2">
      <c r="A286" t="s">
        <v>524</v>
      </c>
      <c r="C286" s="5" t="s">
        <v>169</v>
      </c>
      <c r="D286" s="5" t="s">
        <v>170</v>
      </c>
      <c r="E286" s="5"/>
      <c r="F286" s="29" t="s">
        <v>17</v>
      </c>
      <c r="G286" s="30"/>
      <c r="H286" s="34" t="s">
        <v>26</v>
      </c>
      <c r="J286" s="33"/>
      <c r="L286" t="s">
        <v>524</v>
      </c>
      <c r="M286" s="32">
        <v>0.68600000000000005</v>
      </c>
      <c r="N286" s="32">
        <v>8.2000000000000003E-2</v>
      </c>
      <c r="O286" s="32">
        <v>1</v>
      </c>
      <c r="AH286" s="5">
        <v>97</v>
      </c>
    </row>
    <row r="287" spans="1:39" x14ac:dyDescent="0.2">
      <c r="A287" t="s">
        <v>525</v>
      </c>
      <c r="C287" s="5" t="s">
        <v>15</v>
      </c>
      <c r="D287" s="5" t="s">
        <v>526</v>
      </c>
      <c r="E287" s="5"/>
      <c r="F287" s="29" t="s">
        <v>17</v>
      </c>
      <c r="G287" s="30"/>
      <c r="H287" s="34" t="s">
        <v>26</v>
      </c>
      <c r="J287" s="33"/>
      <c r="L287" t="s">
        <v>525</v>
      </c>
      <c r="M287" s="32">
        <v>0.47499999999999998</v>
      </c>
      <c r="N287" s="32">
        <v>0.77700000000000002</v>
      </c>
      <c r="O287" s="32">
        <v>0.42299999999999999</v>
      </c>
      <c r="AH287" s="5">
        <v>27</v>
      </c>
    </row>
    <row r="288" spans="1:39" x14ac:dyDescent="0.2">
      <c r="A288" t="s">
        <v>527</v>
      </c>
      <c r="C288" s="5" t="s">
        <v>103</v>
      </c>
      <c r="D288" s="6" t="s">
        <v>195</v>
      </c>
      <c r="F288" s="29" t="s">
        <v>17</v>
      </c>
      <c r="G288" s="38" t="s">
        <v>25</v>
      </c>
      <c r="H288" s="31" t="s">
        <v>18</v>
      </c>
      <c r="J288" s="33"/>
      <c r="L288" t="s">
        <v>527</v>
      </c>
      <c r="M288" s="35">
        <v>0.72</v>
      </c>
      <c r="N288" s="35">
        <v>0.17</v>
      </c>
      <c r="O288" s="32">
        <v>0.98</v>
      </c>
      <c r="AH288" s="5">
        <v>223</v>
      </c>
    </row>
    <row r="289" spans="1:39" x14ac:dyDescent="0.2">
      <c r="A289" t="s">
        <v>528</v>
      </c>
      <c r="C289" s="5" t="s">
        <v>15</v>
      </c>
      <c r="D289" s="6" t="s">
        <v>466</v>
      </c>
      <c r="F289" s="29" t="s">
        <v>17</v>
      </c>
      <c r="G289" s="38" t="s">
        <v>25</v>
      </c>
      <c r="H289" s="31" t="s">
        <v>18</v>
      </c>
      <c r="J289" s="33"/>
      <c r="L289" t="s">
        <v>528</v>
      </c>
      <c r="M289" s="35">
        <v>0.9</v>
      </c>
      <c r="N289" s="35">
        <v>0.41</v>
      </c>
      <c r="O289" s="32">
        <v>0.28999999999999998</v>
      </c>
      <c r="AH289" s="5">
        <v>58</v>
      </c>
    </row>
    <row r="290" spans="1:39" x14ac:dyDescent="0.2">
      <c r="A290" t="s">
        <v>529</v>
      </c>
      <c r="C290" s="5" t="s">
        <v>530</v>
      </c>
      <c r="D290" s="6" t="s">
        <v>531</v>
      </c>
      <c r="F290" s="29" t="s">
        <v>17</v>
      </c>
      <c r="G290" s="38" t="s">
        <v>25</v>
      </c>
      <c r="H290" s="31" t="s">
        <v>18</v>
      </c>
      <c r="J290" s="33"/>
      <c r="L290" t="s">
        <v>529</v>
      </c>
      <c r="M290" s="35">
        <v>0.22</v>
      </c>
      <c r="N290" s="35">
        <v>0.93</v>
      </c>
      <c r="O290" s="32">
        <v>0.15</v>
      </c>
      <c r="AH290" s="14"/>
    </row>
    <row r="291" spans="1:39" x14ac:dyDescent="0.2">
      <c r="A291" t="s">
        <v>532</v>
      </c>
      <c r="C291" s="5" t="s">
        <v>30</v>
      </c>
      <c r="D291" s="6" t="s">
        <v>120</v>
      </c>
      <c r="F291" s="29" t="s">
        <v>17</v>
      </c>
      <c r="G291" s="38" t="s">
        <v>25</v>
      </c>
      <c r="H291" s="31" t="s">
        <v>18</v>
      </c>
      <c r="J291" s="33"/>
      <c r="K291" t="s">
        <v>832</v>
      </c>
      <c r="L291" t="s">
        <v>532</v>
      </c>
      <c r="M291" s="35">
        <v>0.22</v>
      </c>
      <c r="N291" s="35">
        <v>0.6</v>
      </c>
      <c r="O291" s="32">
        <v>0.99</v>
      </c>
      <c r="P291" t="s">
        <v>833</v>
      </c>
      <c r="Q291" t="s">
        <v>849</v>
      </c>
      <c r="R291" t="s">
        <v>834</v>
      </c>
      <c r="S291" t="s">
        <v>835</v>
      </c>
      <c r="T291">
        <v>51</v>
      </c>
      <c r="U291">
        <v>15</v>
      </c>
      <c r="V291">
        <v>0</v>
      </c>
      <c r="W291">
        <v>0</v>
      </c>
      <c r="X291">
        <v>0</v>
      </c>
      <c r="Y291">
        <v>155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206</v>
      </c>
      <c r="AF291">
        <v>0</v>
      </c>
      <c r="AG291">
        <v>0</v>
      </c>
      <c r="AH291" s="14"/>
      <c r="AL291">
        <v>192</v>
      </c>
      <c r="AM291" s="36" t="e">
        <f>AL291/AH291</f>
        <v>#DIV/0!</v>
      </c>
    </row>
    <row r="292" spans="1:39" x14ac:dyDescent="0.2">
      <c r="A292" t="s">
        <v>533</v>
      </c>
      <c r="C292" s="5" t="s">
        <v>58</v>
      </c>
      <c r="D292" s="6" t="s">
        <v>264</v>
      </c>
      <c r="F292" s="29" t="s">
        <v>17</v>
      </c>
      <c r="G292" s="38" t="s">
        <v>25</v>
      </c>
      <c r="H292" s="31" t="s">
        <v>18</v>
      </c>
      <c r="J292" s="33"/>
      <c r="K292" t="s">
        <v>847</v>
      </c>
      <c r="L292" t="s">
        <v>872</v>
      </c>
      <c r="M292" s="35">
        <v>0.16</v>
      </c>
      <c r="N292" s="35">
        <v>0.68</v>
      </c>
      <c r="O292" s="32">
        <v>0.76</v>
      </c>
      <c r="AH292" s="5">
        <v>70</v>
      </c>
    </row>
    <row r="293" spans="1:39" x14ac:dyDescent="0.2">
      <c r="A293" t="s">
        <v>534</v>
      </c>
      <c r="C293" s="5" t="s">
        <v>20</v>
      </c>
      <c r="D293" s="5" t="s">
        <v>535</v>
      </c>
      <c r="E293" s="5"/>
      <c r="F293" s="29" t="s">
        <v>17</v>
      </c>
      <c r="G293" s="30"/>
      <c r="H293" s="31" t="s">
        <v>18</v>
      </c>
      <c r="J293" s="33"/>
      <c r="L293" t="s">
        <v>534</v>
      </c>
      <c r="M293" s="32">
        <v>3.4000000000000002E-2</v>
      </c>
      <c r="N293" s="32">
        <v>0.92900000000000005</v>
      </c>
      <c r="O293" s="32">
        <v>0.22</v>
      </c>
      <c r="AH293" s="5">
        <v>59</v>
      </c>
    </row>
    <row r="294" spans="1:39" x14ac:dyDescent="0.2">
      <c r="A294" t="s">
        <v>536</v>
      </c>
      <c r="C294" s="5" t="s">
        <v>139</v>
      </c>
      <c r="D294" s="5" t="s">
        <v>537</v>
      </c>
      <c r="E294" s="5"/>
      <c r="F294" s="29" t="s">
        <v>17</v>
      </c>
      <c r="G294" s="30"/>
      <c r="H294" s="34" t="s">
        <v>26</v>
      </c>
      <c r="J294" s="33"/>
      <c r="L294" t="s">
        <v>873</v>
      </c>
      <c r="M294" s="32">
        <v>0.90200000000000002</v>
      </c>
      <c r="N294" s="32">
        <v>3.1E-2</v>
      </c>
      <c r="O294" s="32">
        <v>0.876</v>
      </c>
      <c r="AH294" s="5">
        <v>334</v>
      </c>
    </row>
    <row r="295" spans="1:39" x14ac:dyDescent="0.2">
      <c r="A295" t="s">
        <v>538</v>
      </c>
      <c r="C295" s="5" t="s">
        <v>30</v>
      </c>
      <c r="D295" s="6" t="s">
        <v>120</v>
      </c>
      <c r="F295" s="29" t="s">
        <v>17</v>
      </c>
      <c r="G295" s="38" t="s">
        <v>25</v>
      </c>
      <c r="H295" s="31" t="s">
        <v>18</v>
      </c>
      <c r="J295" s="33"/>
      <c r="L295" t="s">
        <v>538</v>
      </c>
      <c r="M295" s="35">
        <v>0.22</v>
      </c>
      <c r="N295" s="35">
        <v>0.6</v>
      </c>
      <c r="O295" s="32">
        <v>0.99</v>
      </c>
      <c r="P295" t="s">
        <v>833</v>
      </c>
      <c r="Q295" t="s">
        <v>849</v>
      </c>
      <c r="R295" t="s">
        <v>834</v>
      </c>
      <c r="S295" t="s">
        <v>835</v>
      </c>
      <c r="T295">
        <v>51</v>
      </c>
      <c r="U295">
        <v>15</v>
      </c>
      <c r="V295">
        <v>0</v>
      </c>
      <c r="W295">
        <v>0</v>
      </c>
      <c r="X295">
        <v>0</v>
      </c>
      <c r="Y295">
        <v>155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206</v>
      </c>
      <c r="AF295">
        <v>0</v>
      </c>
      <c r="AG295">
        <v>0</v>
      </c>
      <c r="AH295" s="5">
        <v>37</v>
      </c>
      <c r="AL295">
        <v>192</v>
      </c>
      <c r="AM295" s="36">
        <f>AL295/AH295</f>
        <v>5.1891891891891895</v>
      </c>
    </row>
    <row r="296" spans="1:39" x14ac:dyDescent="0.2">
      <c r="A296" t="s">
        <v>539</v>
      </c>
      <c r="C296" s="5" t="s">
        <v>15</v>
      </c>
      <c r="D296" s="6" t="s">
        <v>387</v>
      </c>
      <c r="F296" s="29" t="s">
        <v>17</v>
      </c>
      <c r="G296" s="38" t="s">
        <v>25</v>
      </c>
      <c r="H296" s="31" t="s">
        <v>18</v>
      </c>
      <c r="J296" s="33"/>
      <c r="L296" s="41" t="s">
        <v>874</v>
      </c>
      <c r="M296" s="35">
        <v>0.95</v>
      </c>
      <c r="N296" s="35">
        <v>0.06</v>
      </c>
      <c r="O296" s="32">
        <v>0.81</v>
      </c>
      <c r="AH296" s="5">
        <v>392</v>
      </c>
    </row>
    <row r="297" spans="1:39" x14ac:dyDescent="0.2">
      <c r="A297" t="s">
        <v>540</v>
      </c>
      <c r="C297" s="5" t="s">
        <v>95</v>
      </c>
      <c r="D297" s="5" t="s">
        <v>96</v>
      </c>
      <c r="E297" s="5"/>
      <c r="F297" s="29" t="s">
        <v>17</v>
      </c>
      <c r="G297" s="30"/>
      <c r="H297" s="31" t="s">
        <v>18</v>
      </c>
      <c r="J297" s="33"/>
      <c r="L297" t="s">
        <v>540</v>
      </c>
      <c r="M297" s="32">
        <v>0.28799999999999998</v>
      </c>
      <c r="N297" s="32">
        <v>0.438</v>
      </c>
      <c r="O297" s="32">
        <v>0.86599999999999999</v>
      </c>
      <c r="AH297" s="5">
        <v>3</v>
      </c>
    </row>
    <row r="298" spans="1:39" x14ac:dyDescent="0.2">
      <c r="A298" t="s">
        <v>541</v>
      </c>
      <c r="C298" s="5" t="s">
        <v>225</v>
      </c>
      <c r="D298" s="6" t="s">
        <v>542</v>
      </c>
      <c r="F298" s="29" t="s">
        <v>17</v>
      </c>
      <c r="G298" s="38" t="s">
        <v>25</v>
      </c>
      <c r="H298" s="34" t="s">
        <v>26</v>
      </c>
      <c r="J298" s="33"/>
      <c r="L298" t="s">
        <v>541</v>
      </c>
      <c r="M298" s="35">
        <v>0.3</v>
      </c>
      <c r="N298" s="35">
        <v>0.69</v>
      </c>
      <c r="O298" s="32">
        <v>0.32</v>
      </c>
      <c r="AH298" s="5">
        <v>100</v>
      </c>
    </row>
    <row r="299" spans="1:39" x14ac:dyDescent="0.2">
      <c r="A299" t="s">
        <v>543</v>
      </c>
      <c r="C299" s="5" t="s">
        <v>15</v>
      </c>
      <c r="D299" s="6" t="s">
        <v>387</v>
      </c>
      <c r="F299" s="29" t="s">
        <v>17</v>
      </c>
      <c r="G299" s="38" t="s">
        <v>25</v>
      </c>
      <c r="H299" s="31" t="s">
        <v>18</v>
      </c>
      <c r="J299" s="33"/>
      <c r="L299" t="s">
        <v>543</v>
      </c>
      <c r="M299" s="35">
        <v>0.95</v>
      </c>
      <c r="N299" s="35">
        <v>0.06</v>
      </c>
      <c r="O299" s="32">
        <v>0.81</v>
      </c>
      <c r="P299" t="s">
        <v>833</v>
      </c>
      <c r="Q299" t="s">
        <v>854</v>
      </c>
      <c r="R299" t="s">
        <v>834</v>
      </c>
      <c r="S299" t="s">
        <v>855</v>
      </c>
      <c r="T299">
        <v>6</v>
      </c>
      <c r="U299">
        <v>1</v>
      </c>
      <c r="V299">
        <v>0</v>
      </c>
      <c r="W299">
        <v>0</v>
      </c>
      <c r="X299">
        <v>0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9</v>
      </c>
      <c r="AF299">
        <v>0</v>
      </c>
      <c r="AG299">
        <v>0</v>
      </c>
      <c r="AH299" s="5">
        <v>174</v>
      </c>
      <c r="AL299">
        <v>8</v>
      </c>
      <c r="AM299" s="36">
        <f>AL299/AH299</f>
        <v>4.5977011494252873E-2</v>
      </c>
    </row>
    <row r="300" spans="1:39" x14ac:dyDescent="0.2">
      <c r="A300" t="s">
        <v>544</v>
      </c>
      <c r="C300" s="5" t="s">
        <v>30</v>
      </c>
      <c r="D300" s="6" t="s">
        <v>531</v>
      </c>
      <c r="F300" s="29" t="s">
        <v>17</v>
      </c>
      <c r="G300" s="30"/>
      <c r="H300" s="34" t="s">
        <v>26</v>
      </c>
      <c r="J300" s="33"/>
      <c r="L300" t="s">
        <v>544</v>
      </c>
      <c r="M300" s="35">
        <v>0.22</v>
      </c>
      <c r="N300" s="35">
        <v>0.93</v>
      </c>
      <c r="O300" s="32">
        <v>0.15</v>
      </c>
      <c r="AH300" s="5">
        <v>219</v>
      </c>
    </row>
    <row r="301" spans="1:39" x14ac:dyDescent="0.2">
      <c r="A301" t="s">
        <v>545</v>
      </c>
      <c r="C301" s="5" t="s">
        <v>15</v>
      </c>
      <c r="D301" s="6" t="s">
        <v>546</v>
      </c>
      <c r="F301" s="29" t="s">
        <v>17</v>
      </c>
      <c r="G301" s="38" t="s">
        <v>25</v>
      </c>
      <c r="H301" s="31" t="s">
        <v>18</v>
      </c>
      <c r="J301" s="33"/>
      <c r="L301" t="s">
        <v>875</v>
      </c>
      <c r="M301" s="35">
        <v>0.57999999999999996</v>
      </c>
      <c r="N301" s="35">
        <v>0.12</v>
      </c>
      <c r="O301" s="32">
        <v>0.89</v>
      </c>
      <c r="AH301" s="5">
        <v>112</v>
      </c>
    </row>
    <row r="302" spans="1:39" x14ac:dyDescent="0.2">
      <c r="A302" t="s">
        <v>547</v>
      </c>
      <c r="C302" s="5" t="s">
        <v>45</v>
      </c>
      <c r="D302" s="6" t="s">
        <v>82</v>
      </c>
      <c r="F302" s="29" t="s">
        <v>17</v>
      </c>
      <c r="G302" s="30" t="s">
        <v>25</v>
      </c>
      <c r="H302" s="34" t="s">
        <v>26</v>
      </c>
      <c r="I302" s="7" t="s">
        <v>39</v>
      </c>
      <c r="J302" s="33"/>
      <c r="K302" t="s">
        <v>847</v>
      </c>
      <c r="L302" t="s">
        <v>547</v>
      </c>
      <c r="M302" s="35">
        <v>0.27</v>
      </c>
      <c r="N302" s="35">
        <v>0.77</v>
      </c>
      <c r="O302" s="32">
        <v>0.11</v>
      </c>
      <c r="AH302" s="14"/>
    </row>
    <row r="303" spans="1:39" x14ac:dyDescent="0.2">
      <c r="A303" t="s">
        <v>548</v>
      </c>
      <c r="C303" s="5" t="s">
        <v>95</v>
      </c>
      <c r="D303" s="5" t="s">
        <v>549</v>
      </c>
      <c r="E303" s="5"/>
      <c r="F303" s="29" t="s">
        <v>17</v>
      </c>
      <c r="G303" s="30"/>
      <c r="H303" s="34" t="s">
        <v>26</v>
      </c>
      <c r="J303" s="33"/>
      <c r="L303" t="s">
        <v>548</v>
      </c>
      <c r="M303" s="32">
        <v>0.379</v>
      </c>
      <c r="N303" s="32">
        <v>0.25700000000000001</v>
      </c>
      <c r="O303" s="32">
        <v>0.68899999999999995</v>
      </c>
      <c r="AH303" s="5">
        <v>15</v>
      </c>
    </row>
    <row r="304" spans="1:39" x14ac:dyDescent="0.2">
      <c r="A304" t="s">
        <v>550</v>
      </c>
      <c r="B304" s="5" t="s">
        <v>843</v>
      </c>
      <c r="C304" s="5" t="s">
        <v>68</v>
      </c>
      <c r="D304" s="16" t="s">
        <v>551</v>
      </c>
      <c r="E304" s="16"/>
      <c r="F304" s="29" t="s">
        <v>17</v>
      </c>
      <c r="G304" s="38" t="s">
        <v>25</v>
      </c>
      <c r="H304" s="34" t="s">
        <v>236</v>
      </c>
      <c r="J304" s="33"/>
      <c r="K304" t="s">
        <v>842</v>
      </c>
      <c r="L304" t="s">
        <v>550</v>
      </c>
      <c r="M304" s="35">
        <v>0.03</v>
      </c>
      <c r="N304" s="35">
        <v>0</v>
      </c>
      <c r="O304" s="35">
        <v>0</v>
      </c>
      <c r="P304" t="s">
        <v>833</v>
      </c>
      <c r="R304" t="s">
        <v>834</v>
      </c>
      <c r="S304" t="s">
        <v>835</v>
      </c>
      <c r="T304">
        <v>12</v>
      </c>
      <c r="U304">
        <v>4</v>
      </c>
      <c r="V304">
        <v>12</v>
      </c>
      <c r="W304">
        <v>0</v>
      </c>
      <c r="X304">
        <v>0</v>
      </c>
      <c r="Y304">
        <v>45</v>
      </c>
      <c r="Z304">
        <v>45</v>
      </c>
      <c r="AA304">
        <v>0</v>
      </c>
      <c r="AB304">
        <v>0</v>
      </c>
      <c r="AC304">
        <v>0</v>
      </c>
      <c r="AD304">
        <v>0</v>
      </c>
      <c r="AE304">
        <v>57</v>
      </c>
      <c r="AF304">
        <v>0</v>
      </c>
      <c r="AG304">
        <v>0</v>
      </c>
      <c r="AH304" s="5">
        <v>49</v>
      </c>
      <c r="AL304">
        <v>72</v>
      </c>
      <c r="AM304" s="36">
        <f>AL304/AH304</f>
        <v>1.4693877551020409</v>
      </c>
    </row>
    <row r="305" spans="1:39" x14ac:dyDescent="0.2">
      <c r="A305" t="s">
        <v>553</v>
      </c>
      <c r="C305" s="5" t="s">
        <v>139</v>
      </c>
      <c r="D305" s="6" t="s">
        <v>537</v>
      </c>
      <c r="F305" s="29" t="s">
        <v>17</v>
      </c>
      <c r="G305" s="38" t="s">
        <v>25</v>
      </c>
      <c r="H305" s="31" t="s">
        <v>18</v>
      </c>
      <c r="J305" s="33"/>
      <c r="L305" t="s">
        <v>553</v>
      </c>
      <c r="M305" s="35">
        <v>0.9</v>
      </c>
      <c r="N305" s="35">
        <v>0.03</v>
      </c>
      <c r="O305" s="32">
        <v>0.88</v>
      </c>
      <c r="AH305" s="5">
        <v>103</v>
      </c>
    </row>
    <row r="306" spans="1:39" x14ac:dyDescent="0.2">
      <c r="A306" t="s">
        <v>554</v>
      </c>
      <c r="C306" s="5" t="s">
        <v>95</v>
      </c>
      <c r="D306" s="5" t="s">
        <v>158</v>
      </c>
      <c r="E306" s="5"/>
      <c r="F306" s="29" t="s">
        <v>17</v>
      </c>
      <c r="G306" s="30"/>
      <c r="H306" s="31" t="s">
        <v>18</v>
      </c>
      <c r="J306" s="33"/>
      <c r="L306" t="s">
        <v>554</v>
      </c>
      <c r="M306" s="32">
        <v>0.92600000000000005</v>
      </c>
      <c r="N306" s="32">
        <v>0.502</v>
      </c>
      <c r="O306" s="32">
        <v>0.48899999999999999</v>
      </c>
      <c r="AH306" s="5">
        <v>56</v>
      </c>
    </row>
    <row r="307" spans="1:39" x14ac:dyDescent="0.2">
      <c r="A307" t="s">
        <v>555</v>
      </c>
      <c r="C307" s="5" t="s">
        <v>139</v>
      </c>
      <c r="D307" s="5" t="s">
        <v>537</v>
      </c>
      <c r="E307" s="5"/>
      <c r="F307" s="29" t="s">
        <v>17</v>
      </c>
      <c r="G307" s="30"/>
      <c r="H307" s="31" t="s">
        <v>18</v>
      </c>
      <c r="J307" s="33"/>
      <c r="L307" t="s">
        <v>555</v>
      </c>
      <c r="M307" s="32">
        <v>0.90200000000000002</v>
      </c>
      <c r="N307" s="32">
        <v>3.1E-2</v>
      </c>
      <c r="O307" s="32">
        <v>0.876</v>
      </c>
      <c r="AH307" s="5">
        <v>102</v>
      </c>
    </row>
    <row r="308" spans="1:39" x14ac:dyDescent="0.2">
      <c r="A308" t="s">
        <v>556</v>
      </c>
      <c r="C308" s="5" t="s">
        <v>20</v>
      </c>
      <c r="D308" s="5" t="s">
        <v>78</v>
      </c>
      <c r="E308" s="5"/>
      <c r="F308" s="29" t="s">
        <v>17</v>
      </c>
      <c r="G308" s="30"/>
      <c r="H308" s="31" t="s">
        <v>18</v>
      </c>
      <c r="J308" s="33"/>
      <c r="L308" t="s">
        <v>556</v>
      </c>
      <c r="M308" s="32">
        <v>0.495</v>
      </c>
      <c r="N308" s="32">
        <v>3.2000000000000001E-2</v>
      </c>
      <c r="O308" s="32">
        <v>0.88900000000000001</v>
      </c>
      <c r="AH308" s="5">
        <v>4</v>
      </c>
    </row>
    <row r="309" spans="1:39" x14ac:dyDescent="0.2">
      <c r="A309" s="39" t="s">
        <v>557</v>
      </c>
      <c r="B309" s="5" t="s">
        <v>843</v>
      </c>
      <c r="C309" s="14" t="s">
        <v>139</v>
      </c>
      <c r="D309" s="16" t="s">
        <v>558</v>
      </c>
      <c r="E309" s="16"/>
      <c r="F309" s="29" t="s">
        <v>17</v>
      </c>
      <c r="G309" s="30" t="s">
        <v>25</v>
      </c>
      <c r="H309" s="31" t="s">
        <v>18</v>
      </c>
      <c r="J309" s="33"/>
      <c r="K309" t="s">
        <v>842</v>
      </c>
      <c r="L309" t="s">
        <v>876</v>
      </c>
      <c r="M309" s="35">
        <v>0.19</v>
      </c>
      <c r="N309" s="35">
        <v>0.05</v>
      </c>
      <c r="O309" s="32">
        <v>0.78</v>
      </c>
      <c r="P309" t="s">
        <v>833</v>
      </c>
      <c r="R309" t="s">
        <v>834</v>
      </c>
      <c r="S309" t="s">
        <v>835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8</v>
      </c>
      <c r="Z309">
        <v>8</v>
      </c>
      <c r="AA309">
        <v>0</v>
      </c>
      <c r="AB309">
        <v>0</v>
      </c>
      <c r="AC309">
        <v>0</v>
      </c>
      <c r="AD309">
        <v>0</v>
      </c>
      <c r="AE309">
        <v>8</v>
      </c>
      <c r="AF309">
        <v>0</v>
      </c>
      <c r="AG309">
        <v>0</v>
      </c>
      <c r="AH309" s="5">
        <v>16</v>
      </c>
      <c r="AL309">
        <v>7</v>
      </c>
      <c r="AM309" s="36">
        <f>AL309/AH309</f>
        <v>0.4375</v>
      </c>
    </row>
    <row r="310" spans="1:39" x14ac:dyDescent="0.2">
      <c r="A310" t="s">
        <v>560</v>
      </c>
      <c r="C310" s="5" t="s">
        <v>15</v>
      </c>
      <c r="D310" s="5" t="s">
        <v>210</v>
      </c>
      <c r="E310" s="5"/>
      <c r="F310" s="29" t="s">
        <v>17</v>
      </c>
      <c r="G310" s="30"/>
      <c r="H310" s="31" t="s">
        <v>18</v>
      </c>
      <c r="J310" s="33"/>
      <c r="L310" t="s">
        <v>560</v>
      </c>
      <c r="M310" s="32">
        <v>0.42399999999999999</v>
      </c>
      <c r="N310" s="32">
        <v>0.22700000000000001</v>
      </c>
      <c r="O310" s="32">
        <v>0.64500000000000002</v>
      </c>
      <c r="AH310" s="5">
        <v>71</v>
      </c>
    </row>
    <row r="311" spans="1:39" x14ac:dyDescent="0.2">
      <c r="A311" t="s">
        <v>561</v>
      </c>
      <c r="C311" s="5" t="s">
        <v>15</v>
      </c>
      <c r="D311" s="5" t="s">
        <v>210</v>
      </c>
      <c r="E311" s="5"/>
      <c r="F311" s="29" t="s">
        <v>17</v>
      </c>
      <c r="G311" s="30"/>
      <c r="H311" s="31" t="s">
        <v>18</v>
      </c>
      <c r="J311" s="33"/>
      <c r="L311" t="s">
        <v>561</v>
      </c>
      <c r="M311" s="32">
        <v>0.42399999999999999</v>
      </c>
      <c r="N311" s="32">
        <v>0.22700000000000001</v>
      </c>
      <c r="O311" s="32">
        <v>0.64500000000000002</v>
      </c>
      <c r="AH311" s="5">
        <v>73</v>
      </c>
    </row>
    <row r="312" spans="1:39" x14ac:dyDescent="0.2">
      <c r="A312" t="s">
        <v>562</v>
      </c>
      <c r="B312" s="5" t="s">
        <v>877</v>
      </c>
      <c r="C312" s="5" t="s">
        <v>145</v>
      </c>
      <c r="D312" s="6" t="s">
        <v>563</v>
      </c>
      <c r="F312" s="29" t="s">
        <v>17</v>
      </c>
      <c r="G312" s="38" t="s">
        <v>25</v>
      </c>
      <c r="H312" s="31" t="s">
        <v>18</v>
      </c>
      <c r="J312" s="33"/>
      <c r="K312" t="s">
        <v>842</v>
      </c>
      <c r="L312" t="s">
        <v>562</v>
      </c>
      <c r="M312" s="35">
        <v>0.91</v>
      </c>
      <c r="N312" s="35">
        <v>0.38</v>
      </c>
      <c r="O312" s="32">
        <v>0.51</v>
      </c>
      <c r="P312" t="s">
        <v>833</v>
      </c>
      <c r="R312" t="s">
        <v>834</v>
      </c>
      <c r="S312" t="s">
        <v>835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8</v>
      </c>
      <c r="Z312">
        <v>8</v>
      </c>
      <c r="AA312">
        <v>0</v>
      </c>
      <c r="AB312">
        <v>0</v>
      </c>
      <c r="AC312">
        <v>0</v>
      </c>
      <c r="AD312">
        <v>0</v>
      </c>
      <c r="AE312">
        <v>8</v>
      </c>
      <c r="AF312">
        <v>0</v>
      </c>
      <c r="AG312">
        <v>0</v>
      </c>
      <c r="AH312" s="5">
        <v>8</v>
      </c>
      <c r="AL312">
        <v>8</v>
      </c>
      <c r="AM312" s="36">
        <f>AL312/AH312</f>
        <v>1</v>
      </c>
    </row>
    <row r="313" spans="1:39" x14ac:dyDescent="0.2">
      <c r="A313" s="39" t="s">
        <v>878</v>
      </c>
      <c r="B313" s="14"/>
      <c r="C313" s="14" t="s">
        <v>15</v>
      </c>
      <c r="D313" s="14" t="s">
        <v>804</v>
      </c>
      <c r="E313" s="14"/>
      <c r="F313" s="40" t="s">
        <v>17</v>
      </c>
      <c r="G313" s="38"/>
      <c r="H313" s="31" t="s">
        <v>18</v>
      </c>
      <c r="I313" s="42"/>
      <c r="J313" s="43"/>
      <c r="K313" s="39"/>
      <c r="L313" s="39" t="s">
        <v>878</v>
      </c>
      <c r="M313" s="44"/>
      <c r="N313" s="44"/>
      <c r="O313" s="44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14">
        <v>17</v>
      </c>
    </row>
    <row r="314" spans="1:39" x14ac:dyDescent="0.2">
      <c r="A314" s="39" t="s">
        <v>878</v>
      </c>
      <c r="B314" s="14"/>
      <c r="C314" s="14" t="s">
        <v>879</v>
      </c>
      <c r="D314" s="14" t="s">
        <v>566</v>
      </c>
      <c r="E314" s="14"/>
      <c r="F314" s="40" t="s">
        <v>17</v>
      </c>
      <c r="G314" s="38"/>
      <c r="H314" s="31" t="s">
        <v>18</v>
      </c>
      <c r="I314" s="42"/>
      <c r="J314" s="43"/>
      <c r="K314" s="39"/>
      <c r="L314" s="39" t="s">
        <v>878</v>
      </c>
      <c r="M314" s="44">
        <v>0.13200000000000001</v>
      </c>
      <c r="N314" s="44">
        <v>0.49199999999999999</v>
      </c>
      <c r="O314" s="44">
        <v>9.1999999999999998E-2</v>
      </c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14">
        <v>24</v>
      </c>
    </row>
    <row r="315" spans="1:39" x14ac:dyDescent="0.2">
      <c r="A315" s="39" t="s">
        <v>878</v>
      </c>
      <c r="B315" s="14"/>
      <c r="C315" s="14" t="s">
        <v>55</v>
      </c>
      <c r="D315" s="14" t="s">
        <v>569</v>
      </c>
      <c r="E315" s="14"/>
      <c r="F315" s="40" t="s">
        <v>17</v>
      </c>
      <c r="G315" s="38"/>
      <c r="H315" s="31" t="s">
        <v>18</v>
      </c>
      <c r="I315" s="42"/>
      <c r="J315" s="43"/>
      <c r="K315" s="39"/>
      <c r="L315" s="39" t="s">
        <v>878</v>
      </c>
      <c r="M315" s="44">
        <v>0.95699999999999996</v>
      </c>
      <c r="N315" s="44">
        <v>0.33300000000000002</v>
      </c>
      <c r="O315" s="44">
        <v>0.95199999999999996</v>
      </c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14">
        <v>8</v>
      </c>
    </row>
    <row r="316" spans="1:39" x14ac:dyDescent="0.2">
      <c r="A316" s="39" t="s">
        <v>878</v>
      </c>
      <c r="B316" s="14"/>
      <c r="C316" s="14" t="s">
        <v>45</v>
      </c>
      <c r="D316" s="14" t="s">
        <v>505</v>
      </c>
      <c r="E316" s="14"/>
      <c r="F316" s="40" t="s">
        <v>17</v>
      </c>
      <c r="G316" s="38"/>
      <c r="H316" s="31" t="s">
        <v>18</v>
      </c>
      <c r="I316" s="42"/>
      <c r="J316" s="43"/>
      <c r="K316" s="39"/>
      <c r="L316" s="39" t="s">
        <v>878</v>
      </c>
      <c r="M316" s="44">
        <v>0.35799999999999998</v>
      </c>
      <c r="N316" s="44">
        <v>0.114</v>
      </c>
      <c r="O316" s="44">
        <v>0.873</v>
      </c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14">
        <v>4</v>
      </c>
    </row>
    <row r="317" spans="1:39" x14ac:dyDescent="0.2">
      <c r="A317" s="39" t="s">
        <v>878</v>
      </c>
      <c r="B317" s="14"/>
      <c r="C317" s="14" t="s">
        <v>45</v>
      </c>
      <c r="D317" s="14" t="s">
        <v>505</v>
      </c>
      <c r="E317" s="14"/>
      <c r="F317" s="40" t="s">
        <v>17</v>
      </c>
      <c r="G317" s="38"/>
      <c r="H317" s="31" t="s">
        <v>18</v>
      </c>
      <c r="I317" s="42"/>
      <c r="J317" s="43"/>
      <c r="K317" s="39"/>
      <c r="L317" s="39" t="s">
        <v>878</v>
      </c>
      <c r="M317" s="44">
        <v>0.35799999999999998</v>
      </c>
      <c r="N317" s="44">
        <v>0.114</v>
      </c>
      <c r="O317" s="44">
        <v>0.873</v>
      </c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14">
        <v>43</v>
      </c>
    </row>
    <row r="318" spans="1:39" x14ac:dyDescent="0.2">
      <c r="A318" s="39" t="s">
        <v>878</v>
      </c>
      <c r="B318" s="14"/>
      <c r="C318" s="14" t="s">
        <v>45</v>
      </c>
      <c r="D318" s="14" t="s">
        <v>505</v>
      </c>
      <c r="E318" s="14"/>
      <c r="F318" s="40" t="s">
        <v>17</v>
      </c>
      <c r="G318" s="38"/>
      <c r="H318" s="31" t="s">
        <v>18</v>
      </c>
      <c r="I318" s="42"/>
      <c r="J318" s="43"/>
      <c r="K318" s="39"/>
      <c r="L318" s="39" t="s">
        <v>878</v>
      </c>
      <c r="M318" s="44">
        <v>0.35799999999999998</v>
      </c>
      <c r="N318" s="44">
        <v>0.114</v>
      </c>
      <c r="O318" s="44">
        <v>0.873</v>
      </c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14">
        <v>8</v>
      </c>
    </row>
    <row r="319" spans="1:39" x14ac:dyDescent="0.2">
      <c r="A319" s="39" t="s">
        <v>878</v>
      </c>
      <c r="B319" s="14"/>
      <c r="C319" s="14" t="s">
        <v>30</v>
      </c>
      <c r="D319" s="14" t="s">
        <v>804</v>
      </c>
      <c r="E319" s="14"/>
      <c r="F319" s="40" t="s">
        <v>17</v>
      </c>
      <c r="G319" s="38"/>
      <c r="H319" s="31" t="s">
        <v>18</v>
      </c>
      <c r="I319" s="42"/>
      <c r="J319" s="43"/>
      <c r="K319" s="39"/>
      <c r="L319" s="39" t="s">
        <v>878</v>
      </c>
      <c r="M319" s="44"/>
      <c r="N319" s="44"/>
      <c r="O319" s="44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14">
        <v>6</v>
      </c>
    </row>
    <row r="320" spans="1:39" x14ac:dyDescent="0.2">
      <c r="A320" s="39" t="s">
        <v>577</v>
      </c>
      <c r="B320" s="14"/>
      <c r="C320" s="14" t="s">
        <v>58</v>
      </c>
      <c r="D320" s="14" t="s">
        <v>151</v>
      </c>
      <c r="E320" s="14"/>
      <c r="F320" s="40" t="s">
        <v>17</v>
      </c>
      <c r="G320" s="38"/>
      <c r="H320" s="31" t="s">
        <v>18</v>
      </c>
      <c r="I320" s="42"/>
      <c r="J320" s="43"/>
      <c r="K320" s="39"/>
      <c r="L320" s="39" t="s">
        <v>577</v>
      </c>
      <c r="M320" s="44">
        <v>0.57099999999999995</v>
      </c>
      <c r="N320" s="44">
        <v>0.2</v>
      </c>
      <c r="O320" s="44">
        <v>0.4</v>
      </c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14">
        <v>38</v>
      </c>
    </row>
    <row r="321" spans="1:39" x14ac:dyDescent="0.2">
      <c r="A321" s="39" t="s">
        <v>578</v>
      </c>
      <c r="C321" s="5" t="s">
        <v>42</v>
      </c>
      <c r="D321" s="6" t="s">
        <v>385</v>
      </c>
      <c r="F321" s="29" t="s">
        <v>17</v>
      </c>
      <c r="G321" s="38" t="s">
        <v>25</v>
      </c>
      <c r="H321" s="31" t="s">
        <v>18</v>
      </c>
      <c r="J321" s="33"/>
      <c r="L321" t="s">
        <v>578</v>
      </c>
      <c r="M321" s="35">
        <v>0.15</v>
      </c>
      <c r="N321" s="35">
        <v>0.41</v>
      </c>
      <c r="O321" s="32">
        <v>0.21</v>
      </c>
      <c r="AH321" s="14">
        <v>6</v>
      </c>
      <c r="AI321" s="14">
        <v>2</v>
      </c>
    </row>
    <row r="322" spans="1:39" x14ac:dyDescent="0.2">
      <c r="A322" t="s">
        <v>579</v>
      </c>
      <c r="C322" s="5" t="s">
        <v>68</v>
      </c>
      <c r="D322" s="5" t="s">
        <v>580</v>
      </c>
      <c r="E322" s="5"/>
      <c r="F322" s="29" t="s">
        <v>17</v>
      </c>
      <c r="G322" s="30"/>
      <c r="H322" s="31" t="s">
        <v>18</v>
      </c>
      <c r="J322" s="33"/>
      <c r="L322" t="s">
        <v>579</v>
      </c>
      <c r="M322" s="32">
        <v>0.441</v>
      </c>
      <c r="N322" s="32">
        <v>0.33800000000000002</v>
      </c>
      <c r="O322" s="32">
        <v>0.86099999999999999</v>
      </c>
      <c r="AH322" s="5">
        <v>6</v>
      </c>
    </row>
    <row r="323" spans="1:39" x14ac:dyDescent="0.2">
      <c r="A323" t="s">
        <v>581</v>
      </c>
      <c r="C323" s="5" t="s">
        <v>582</v>
      </c>
      <c r="D323" s="5" t="s">
        <v>583</v>
      </c>
      <c r="E323" s="5"/>
      <c r="F323" s="29" t="s">
        <v>17</v>
      </c>
      <c r="G323" s="30"/>
      <c r="H323" s="31" t="s">
        <v>18</v>
      </c>
      <c r="J323" s="33"/>
      <c r="L323" t="s">
        <v>581</v>
      </c>
      <c r="M323" s="32">
        <v>0.81299999999999994</v>
      </c>
      <c r="N323" s="32">
        <v>0.124</v>
      </c>
      <c r="O323" s="32">
        <v>0.66400000000000003</v>
      </c>
      <c r="AH323" s="5">
        <v>51</v>
      </c>
    </row>
    <row r="324" spans="1:39" x14ac:dyDescent="0.2">
      <c r="A324" t="s">
        <v>584</v>
      </c>
      <c r="C324" s="5" t="s">
        <v>582</v>
      </c>
      <c r="D324" s="5" t="s">
        <v>583</v>
      </c>
      <c r="E324" s="5"/>
      <c r="F324" s="29" t="s">
        <v>17</v>
      </c>
      <c r="G324" s="38" t="s">
        <v>25</v>
      </c>
      <c r="H324" s="31" t="s">
        <v>18</v>
      </c>
      <c r="J324" s="33"/>
      <c r="L324" t="s">
        <v>880</v>
      </c>
      <c r="M324" s="32">
        <v>0.81299999999999994</v>
      </c>
      <c r="N324" s="32">
        <v>0.124</v>
      </c>
      <c r="O324" s="32">
        <v>0.66400000000000003</v>
      </c>
      <c r="AH324" s="5">
        <v>51</v>
      </c>
    </row>
    <row r="325" spans="1:39" x14ac:dyDescent="0.2">
      <c r="A325" s="39" t="s">
        <v>881</v>
      </c>
      <c r="B325" s="14" t="s">
        <v>838</v>
      </c>
      <c r="C325" s="14" t="s">
        <v>42</v>
      </c>
      <c r="D325" s="16"/>
      <c r="E325" s="16"/>
      <c r="F325" s="29" t="s">
        <v>17</v>
      </c>
      <c r="G325" s="30"/>
      <c r="H325" s="31" t="s">
        <v>18</v>
      </c>
      <c r="J325" s="33"/>
      <c r="K325" t="s">
        <v>866</v>
      </c>
      <c r="L325" t="s">
        <v>881</v>
      </c>
      <c r="P325" t="s">
        <v>833</v>
      </c>
      <c r="R325" t="s">
        <v>834</v>
      </c>
      <c r="S325" t="s">
        <v>835</v>
      </c>
      <c r="T325">
        <v>21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21</v>
      </c>
      <c r="AF325">
        <v>0</v>
      </c>
      <c r="AG325">
        <v>0</v>
      </c>
      <c r="AH325" s="5">
        <v>21</v>
      </c>
      <c r="AL325">
        <v>20</v>
      </c>
      <c r="AM325" s="36">
        <f>AL325/AH325</f>
        <v>0.95238095238095233</v>
      </c>
    </row>
    <row r="326" spans="1:39" x14ac:dyDescent="0.2">
      <c r="A326" t="s">
        <v>585</v>
      </c>
      <c r="C326" s="5" t="s">
        <v>15</v>
      </c>
      <c r="D326" s="6" t="s">
        <v>28</v>
      </c>
      <c r="F326" s="29" t="s">
        <v>17</v>
      </c>
      <c r="G326" s="38" t="s">
        <v>25</v>
      </c>
      <c r="H326" s="31" t="s">
        <v>18</v>
      </c>
      <c r="J326" s="33"/>
      <c r="L326" t="s">
        <v>585</v>
      </c>
      <c r="M326" s="35">
        <v>0.76</v>
      </c>
      <c r="N326" s="35">
        <v>0.01</v>
      </c>
      <c r="O326" s="32">
        <v>0.96</v>
      </c>
      <c r="AH326" s="5">
        <v>125</v>
      </c>
    </row>
    <row r="327" spans="1:39" x14ac:dyDescent="0.2">
      <c r="A327" t="s">
        <v>586</v>
      </c>
      <c r="C327" s="5" t="s">
        <v>103</v>
      </c>
      <c r="D327" s="5" t="s">
        <v>195</v>
      </c>
      <c r="E327" s="5"/>
      <c r="F327" s="29" t="s">
        <v>17</v>
      </c>
      <c r="G327" s="30"/>
      <c r="H327" s="31" t="s">
        <v>18</v>
      </c>
      <c r="J327" s="33"/>
      <c r="L327" t="s">
        <v>586</v>
      </c>
      <c r="M327" s="32">
        <v>0.72299999999999998</v>
      </c>
      <c r="N327" s="32">
        <v>0.16900000000000001</v>
      </c>
      <c r="O327" s="32">
        <v>0.98099999999999998</v>
      </c>
      <c r="AH327" s="5">
        <v>16</v>
      </c>
    </row>
    <row r="328" spans="1:39" x14ac:dyDescent="0.2">
      <c r="A328" t="s">
        <v>587</v>
      </c>
      <c r="C328" s="5" t="s">
        <v>103</v>
      </c>
      <c r="D328" s="5" t="s">
        <v>195</v>
      </c>
      <c r="E328" s="5"/>
      <c r="F328" s="29" t="s">
        <v>17</v>
      </c>
      <c r="G328" s="30"/>
      <c r="H328" s="31" t="s">
        <v>18</v>
      </c>
      <c r="J328" s="33"/>
      <c r="L328" t="s">
        <v>587</v>
      </c>
      <c r="M328" s="32">
        <v>0.72299999999999998</v>
      </c>
      <c r="N328" s="32">
        <v>0.16900000000000001</v>
      </c>
      <c r="O328" s="32">
        <v>0.98099999999999998</v>
      </c>
      <c r="AH328" s="5">
        <v>8</v>
      </c>
    </row>
    <row r="329" spans="1:39" x14ac:dyDescent="0.2">
      <c r="A329" t="s">
        <v>588</v>
      </c>
      <c r="C329" s="5" t="s">
        <v>103</v>
      </c>
      <c r="D329" s="5" t="s">
        <v>195</v>
      </c>
      <c r="E329" s="5"/>
      <c r="F329" s="29" t="s">
        <v>17</v>
      </c>
      <c r="G329" s="30"/>
      <c r="H329" s="31" t="s">
        <v>18</v>
      </c>
      <c r="J329" s="33"/>
      <c r="L329" t="s">
        <v>588</v>
      </c>
      <c r="M329" s="32">
        <v>0.72299999999999998</v>
      </c>
      <c r="N329" s="32">
        <v>0.16900000000000001</v>
      </c>
      <c r="O329" s="32">
        <v>0.98099999999999998</v>
      </c>
      <c r="AH329" s="5">
        <v>4</v>
      </c>
    </row>
    <row r="330" spans="1:39" x14ac:dyDescent="0.2">
      <c r="A330" s="39" t="s">
        <v>589</v>
      </c>
      <c r="C330" s="5" t="s">
        <v>225</v>
      </c>
      <c r="D330" s="5" t="s">
        <v>590</v>
      </c>
      <c r="E330" s="5"/>
      <c r="F330" s="29" t="s">
        <v>17</v>
      </c>
      <c r="G330" s="30"/>
      <c r="H330" s="31" t="s">
        <v>18</v>
      </c>
      <c r="J330" s="33"/>
      <c r="L330" t="s">
        <v>589</v>
      </c>
      <c r="M330" s="32">
        <v>0.121</v>
      </c>
      <c r="N330" s="32">
        <v>0.56999999999999995</v>
      </c>
      <c r="O330" s="32">
        <v>5.6000000000000001E-2</v>
      </c>
      <c r="AH330" s="5">
        <v>100</v>
      </c>
    </row>
    <row r="331" spans="1:39" x14ac:dyDescent="0.2">
      <c r="A331" s="39" t="s">
        <v>591</v>
      </c>
      <c r="C331" s="5" t="s">
        <v>30</v>
      </c>
      <c r="D331" s="6" t="s">
        <v>120</v>
      </c>
      <c r="F331" s="29" t="s">
        <v>17</v>
      </c>
      <c r="G331" s="38" t="s">
        <v>25</v>
      </c>
      <c r="H331" s="31" t="s">
        <v>18</v>
      </c>
      <c r="J331" s="33"/>
      <c r="K331" t="s">
        <v>832</v>
      </c>
      <c r="L331" t="s">
        <v>591</v>
      </c>
      <c r="M331" s="35">
        <v>0.22</v>
      </c>
      <c r="N331" s="35">
        <v>0.6</v>
      </c>
      <c r="O331" s="32">
        <v>0.99</v>
      </c>
      <c r="P331" t="s">
        <v>833</v>
      </c>
      <c r="Q331" t="s">
        <v>849</v>
      </c>
      <c r="R331" t="s">
        <v>834</v>
      </c>
      <c r="S331" t="s">
        <v>835</v>
      </c>
      <c r="T331">
        <v>51</v>
      </c>
      <c r="U331">
        <v>15</v>
      </c>
      <c r="V331">
        <v>0</v>
      </c>
      <c r="W331">
        <v>0</v>
      </c>
      <c r="X331">
        <v>0</v>
      </c>
      <c r="Y331">
        <v>155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206</v>
      </c>
      <c r="AF331">
        <v>0</v>
      </c>
      <c r="AG331">
        <v>0</v>
      </c>
      <c r="AH331" s="14"/>
      <c r="AL331">
        <v>192</v>
      </c>
      <c r="AM331" s="36" t="e">
        <f>AL331/AH331</f>
        <v>#DIV/0!</v>
      </c>
    </row>
    <row r="332" spans="1:39" x14ac:dyDescent="0.2">
      <c r="A332" t="s">
        <v>592</v>
      </c>
      <c r="C332" s="5" t="s">
        <v>15</v>
      </c>
      <c r="D332" s="6" t="s">
        <v>72</v>
      </c>
      <c r="F332" s="29" t="s">
        <v>17</v>
      </c>
      <c r="G332" s="30" t="s">
        <v>25</v>
      </c>
      <c r="H332" s="34" t="s">
        <v>39</v>
      </c>
      <c r="I332" s="31" t="s">
        <v>18</v>
      </c>
      <c r="J332" s="33"/>
      <c r="K332" t="s">
        <v>847</v>
      </c>
      <c r="L332" t="s">
        <v>592</v>
      </c>
      <c r="M332" s="35">
        <v>0.09</v>
      </c>
      <c r="N332" s="35">
        <v>0.34</v>
      </c>
      <c r="O332" s="32">
        <v>0.59</v>
      </c>
      <c r="AH332" s="5">
        <v>69</v>
      </c>
    </row>
    <row r="333" spans="1:39" x14ac:dyDescent="0.2">
      <c r="A333" t="s">
        <v>593</v>
      </c>
      <c r="C333" s="5" t="s">
        <v>95</v>
      </c>
      <c r="D333" s="5" t="s">
        <v>594</v>
      </c>
      <c r="E333" s="5"/>
      <c r="F333" s="29" t="s">
        <v>17</v>
      </c>
      <c r="G333" s="30"/>
      <c r="H333" s="31" t="s">
        <v>18</v>
      </c>
      <c r="J333" s="33"/>
      <c r="L333" t="s">
        <v>593</v>
      </c>
      <c r="M333" s="32">
        <v>0.193</v>
      </c>
      <c r="N333" s="32">
        <v>0.5</v>
      </c>
      <c r="O333" s="32">
        <v>0.89</v>
      </c>
      <c r="AH333" s="5">
        <v>6</v>
      </c>
    </row>
    <row r="334" spans="1:39" x14ac:dyDescent="0.2">
      <c r="A334" t="s">
        <v>595</v>
      </c>
      <c r="C334" s="5" t="s">
        <v>23</v>
      </c>
      <c r="D334" s="6" t="s">
        <v>451</v>
      </c>
      <c r="F334" s="29" t="s">
        <v>17</v>
      </c>
      <c r="G334" s="38" t="s">
        <v>25</v>
      </c>
      <c r="H334" s="31" t="s">
        <v>18</v>
      </c>
      <c r="J334" s="33"/>
      <c r="K334" t="s">
        <v>847</v>
      </c>
      <c r="L334" t="s">
        <v>595</v>
      </c>
      <c r="M334" s="35">
        <v>0.25</v>
      </c>
      <c r="N334" s="35">
        <v>0.35</v>
      </c>
      <c r="O334" s="32">
        <v>0.71</v>
      </c>
      <c r="P334" t="s">
        <v>833</v>
      </c>
      <c r="R334" t="s">
        <v>834</v>
      </c>
      <c r="S334" t="s">
        <v>835</v>
      </c>
      <c r="T334">
        <v>21</v>
      </c>
      <c r="U334">
        <v>7</v>
      </c>
      <c r="V334">
        <v>0</v>
      </c>
      <c r="W334">
        <v>0</v>
      </c>
      <c r="X334">
        <v>21</v>
      </c>
      <c r="Y334">
        <v>3</v>
      </c>
      <c r="Z334">
        <v>0</v>
      </c>
      <c r="AA334">
        <v>0</v>
      </c>
      <c r="AB334">
        <v>3</v>
      </c>
      <c r="AC334">
        <v>0</v>
      </c>
      <c r="AD334">
        <v>0</v>
      </c>
      <c r="AE334">
        <v>24</v>
      </c>
      <c r="AF334">
        <v>0</v>
      </c>
      <c r="AG334">
        <v>0</v>
      </c>
      <c r="AH334" s="5">
        <v>10</v>
      </c>
      <c r="AL334">
        <v>12</v>
      </c>
      <c r="AM334" s="36">
        <f>AL334/AH334</f>
        <v>1.2</v>
      </c>
    </row>
    <row r="335" spans="1:39" x14ac:dyDescent="0.2">
      <c r="A335" t="s">
        <v>596</v>
      </c>
      <c r="C335" s="5" t="s">
        <v>23</v>
      </c>
      <c r="D335" s="5" t="s">
        <v>597</v>
      </c>
      <c r="E335" s="5"/>
      <c r="F335" s="29" t="s">
        <v>17</v>
      </c>
      <c r="G335" s="30"/>
      <c r="H335" s="31" t="s">
        <v>18</v>
      </c>
      <c r="J335" s="33"/>
      <c r="L335" t="s">
        <v>596</v>
      </c>
      <c r="M335" s="32">
        <v>0.92800000000000005</v>
      </c>
      <c r="N335" s="32">
        <v>0.11799999999999999</v>
      </c>
      <c r="O335" s="32">
        <v>0.80900000000000005</v>
      </c>
      <c r="AH335" s="5">
        <v>95</v>
      </c>
    </row>
    <row r="336" spans="1:39" x14ac:dyDescent="0.2">
      <c r="A336" t="s">
        <v>598</v>
      </c>
      <c r="C336" s="5" t="s">
        <v>183</v>
      </c>
      <c r="D336" s="6" t="s">
        <v>599</v>
      </c>
      <c r="F336" s="29" t="s">
        <v>17</v>
      </c>
      <c r="G336" s="38" t="s">
        <v>25</v>
      </c>
      <c r="H336" s="34" t="s">
        <v>26</v>
      </c>
      <c r="J336" s="33"/>
      <c r="L336" t="s">
        <v>598</v>
      </c>
      <c r="M336" s="35">
        <v>0.53</v>
      </c>
      <c r="N336" s="35">
        <v>0.05</v>
      </c>
      <c r="O336" s="32">
        <v>0.91</v>
      </c>
      <c r="AH336" s="5">
        <v>132</v>
      </c>
    </row>
    <row r="337" spans="1:39" x14ac:dyDescent="0.2">
      <c r="A337" t="s">
        <v>600</v>
      </c>
      <c r="C337" s="5" t="s">
        <v>42</v>
      </c>
      <c r="D337" s="6" t="s">
        <v>601</v>
      </c>
      <c r="F337" s="29" t="s">
        <v>17</v>
      </c>
      <c r="G337" s="38" t="s">
        <v>25</v>
      </c>
      <c r="H337" s="31" t="s">
        <v>18</v>
      </c>
      <c r="J337" s="33"/>
      <c r="L337" t="s">
        <v>600</v>
      </c>
      <c r="M337" s="35">
        <v>0.59</v>
      </c>
      <c r="N337" s="35">
        <v>0.04</v>
      </c>
      <c r="O337" s="32">
        <v>1</v>
      </c>
      <c r="AH337" s="5">
        <v>48</v>
      </c>
    </row>
    <row r="338" spans="1:39" x14ac:dyDescent="0.2">
      <c r="A338" t="s">
        <v>602</v>
      </c>
      <c r="C338" s="5" t="s">
        <v>42</v>
      </c>
      <c r="D338" s="5" t="s">
        <v>238</v>
      </c>
      <c r="E338" s="5"/>
      <c r="F338" s="29" t="s">
        <v>17</v>
      </c>
      <c r="G338" s="30"/>
      <c r="H338" s="34" t="s">
        <v>26</v>
      </c>
      <c r="J338" s="33"/>
      <c r="L338" t="s">
        <v>602</v>
      </c>
      <c r="M338" s="32">
        <v>0.30099999999999999</v>
      </c>
      <c r="N338" s="32">
        <v>2.1999999999999999E-2</v>
      </c>
      <c r="O338" s="32">
        <v>0.93600000000000005</v>
      </c>
      <c r="AH338" s="5">
        <v>199</v>
      </c>
    </row>
    <row r="339" spans="1:39" x14ac:dyDescent="0.2">
      <c r="A339" t="s">
        <v>603</v>
      </c>
      <c r="C339" s="5" t="s">
        <v>183</v>
      </c>
      <c r="D339" s="6" t="s">
        <v>604</v>
      </c>
      <c r="F339" s="29" t="s">
        <v>17</v>
      </c>
      <c r="G339" s="38" t="s">
        <v>25</v>
      </c>
      <c r="H339" s="31" t="s">
        <v>18</v>
      </c>
      <c r="J339" s="33"/>
      <c r="L339" t="s">
        <v>603</v>
      </c>
      <c r="M339" s="35">
        <v>0.88</v>
      </c>
      <c r="N339" s="35">
        <v>0.21</v>
      </c>
      <c r="O339" s="32">
        <v>0.79</v>
      </c>
      <c r="AH339" s="5">
        <v>35</v>
      </c>
    </row>
    <row r="340" spans="1:39" x14ac:dyDescent="0.2">
      <c r="A340" t="s">
        <v>605</v>
      </c>
      <c r="C340" s="5" t="s">
        <v>15</v>
      </c>
      <c r="D340" s="5" t="s">
        <v>606</v>
      </c>
      <c r="E340" s="5"/>
      <c r="F340" s="29" t="s">
        <v>17</v>
      </c>
      <c r="G340" s="30"/>
      <c r="H340" s="34" t="s">
        <v>26</v>
      </c>
      <c r="J340" s="33"/>
      <c r="L340" t="s">
        <v>605</v>
      </c>
      <c r="M340" s="32">
        <v>0.85899999999999999</v>
      </c>
      <c r="N340" s="32">
        <v>8.5999999999999993E-2</v>
      </c>
      <c r="O340" s="32">
        <v>0.223</v>
      </c>
      <c r="AH340" s="5">
        <v>25</v>
      </c>
    </row>
    <row r="341" spans="1:39" x14ac:dyDescent="0.2">
      <c r="A341" t="s">
        <v>607</v>
      </c>
      <c r="B341" s="5" t="s">
        <v>882</v>
      </c>
      <c r="C341" s="5" t="s">
        <v>30</v>
      </c>
      <c r="D341" s="6" t="s">
        <v>395</v>
      </c>
      <c r="F341" s="29" t="s">
        <v>17</v>
      </c>
      <c r="G341" s="38" t="s">
        <v>25</v>
      </c>
      <c r="H341" s="31" t="s">
        <v>18</v>
      </c>
      <c r="J341" s="33"/>
      <c r="K341" t="s">
        <v>842</v>
      </c>
      <c r="L341" t="s">
        <v>883</v>
      </c>
      <c r="M341" s="35">
        <v>0.55000000000000004</v>
      </c>
      <c r="N341" s="35">
        <v>0.63</v>
      </c>
      <c r="O341" s="32">
        <v>0.5</v>
      </c>
      <c r="P341" t="s">
        <v>833</v>
      </c>
      <c r="R341" t="s">
        <v>834</v>
      </c>
      <c r="S341" t="s">
        <v>835</v>
      </c>
      <c r="T341">
        <v>20</v>
      </c>
      <c r="U341">
        <v>4</v>
      </c>
      <c r="V341">
        <v>20</v>
      </c>
      <c r="W341">
        <v>0</v>
      </c>
      <c r="X341">
        <v>0</v>
      </c>
      <c r="Y341">
        <v>11</v>
      </c>
      <c r="Z341">
        <v>11</v>
      </c>
      <c r="AA341">
        <v>0</v>
      </c>
      <c r="AB341">
        <v>0</v>
      </c>
      <c r="AC341">
        <v>0</v>
      </c>
      <c r="AD341">
        <v>0</v>
      </c>
      <c r="AE341">
        <v>31</v>
      </c>
      <c r="AF341">
        <v>0</v>
      </c>
      <c r="AG341">
        <v>0</v>
      </c>
      <c r="AH341" s="14" t="s">
        <v>608</v>
      </c>
      <c r="AL341">
        <v>19</v>
      </c>
      <c r="AM341" s="36" t="e">
        <f>AL341/AH341</f>
        <v>#VALUE!</v>
      </c>
    </row>
    <row r="342" spans="1:39" x14ac:dyDescent="0.2">
      <c r="A342" t="s">
        <v>609</v>
      </c>
      <c r="C342" s="5" t="s">
        <v>610</v>
      </c>
      <c r="D342" s="5" t="s">
        <v>611</v>
      </c>
      <c r="E342" s="5"/>
      <c r="F342" s="29" t="s">
        <v>17</v>
      </c>
      <c r="G342" s="30" t="s">
        <v>25</v>
      </c>
      <c r="H342" s="34" t="s">
        <v>39</v>
      </c>
      <c r="I342" s="31" t="s">
        <v>18</v>
      </c>
      <c r="J342" s="33"/>
      <c r="L342" t="s">
        <v>609</v>
      </c>
      <c r="M342" s="32">
        <v>0.251</v>
      </c>
      <c r="N342" s="32">
        <v>0.66400000000000003</v>
      </c>
      <c r="O342" s="32">
        <v>0.49299999999999999</v>
      </c>
      <c r="AH342" s="5">
        <v>49</v>
      </c>
    </row>
    <row r="343" spans="1:39" x14ac:dyDescent="0.2">
      <c r="A343" t="s">
        <v>612</v>
      </c>
      <c r="C343" s="5" t="s">
        <v>30</v>
      </c>
      <c r="D343" s="5" t="s">
        <v>613</v>
      </c>
      <c r="E343" s="5"/>
      <c r="F343" s="29" t="s">
        <v>17</v>
      </c>
      <c r="G343" s="38" t="s">
        <v>25</v>
      </c>
      <c r="H343" s="31" t="s">
        <v>18</v>
      </c>
      <c r="J343" s="33"/>
      <c r="L343" t="s">
        <v>612</v>
      </c>
      <c r="M343" s="32">
        <v>8.1000000000000003E-2</v>
      </c>
      <c r="N343" s="32">
        <v>0.66200000000000003</v>
      </c>
      <c r="O343" s="32">
        <v>0.69199999999999995</v>
      </c>
      <c r="AH343" s="5">
        <v>23</v>
      </c>
    </row>
    <row r="344" spans="1:39" x14ac:dyDescent="0.2">
      <c r="A344" t="s">
        <v>614</v>
      </c>
      <c r="C344" s="5" t="s">
        <v>30</v>
      </c>
      <c r="D344" s="5" t="s">
        <v>613</v>
      </c>
      <c r="E344" s="5"/>
      <c r="F344" s="29" t="s">
        <v>17</v>
      </c>
      <c r="G344" s="38" t="s">
        <v>25</v>
      </c>
      <c r="H344" s="31" t="s">
        <v>18</v>
      </c>
      <c r="J344" s="33"/>
      <c r="L344" t="s">
        <v>614</v>
      </c>
      <c r="M344" s="32">
        <v>8.1000000000000003E-2</v>
      </c>
      <c r="N344" s="32">
        <v>0.66200000000000003</v>
      </c>
      <c r="O344" s="32">
        <v>0.69199999999999995</v>
      </c>
      <c r="AH344" s="5">
        <v>47</v>
      </c>
    </row>
    <row r="345" spans="1:39" x14ac:dyDescent="0.2">
      <c r="A345" t="s">
        <v>615</v>
      </c>
      <c r="C345" s="5" t="s">
        <v>30</v>
      </c>
      <c r="D345" s="5" t="s">
        <v>616</v>
      </c>
      <c r="E345" s="5"/>
      <c r="F345" s="29" t="s">
        <v>17</v>
      </c>
      <c r="G345" s="30"/>
      <c r="H345" s="31" t="s">
        <v>18</v>
      </c>
      <c r="J345" s="33"/>
      <c r="L345" t="s">
        <v>615</v>
      </c>
      <c r="M345" s="32">
        <v>0.33500000000000002</v>
      </c>
      <c r="N345" s="32">
        <v>0.70399999999999996</v>
      </c>
      <c r="O345" s="32">
        <v>0.59199999999999997</v>
      </c>
      <c r="AH345" s="5">
        <v>19</v>
      </c>
    </row>
    <row r="346" spans="1:39" x14ac:dyDescent="0.2">
      <c r="A346" s="39" t="s">
        <v>884</v>
      </c>
      <c r="B346" s="14" t="s">
        <v>838</v>
      </c>
      <c r="C346" s="14" t="s">
        <v>42</v>
      </c>
      <c r="D346" s="16"/>
      <c r="E346" s="16"/>
      <c r="F346" s="29" t="s">
        <v>17</v>
      </c>
      <c r="G346" s="30"/>
      <c r="H346" s="31" t="s">
        <v>18</v>
      </c>
      <c r="J346" s="33"/>
      <c r="K346" t="s">
        <v>866</v>
      </c>
      <c r="L346" t="s">
        <v>884</v>
      </c>
      <c r="P346" t="s">
        <v>833</v>
      </c>
      <c r="R346" t="s">
        <v>834</v>
      </c>
      <c r="S346" t="s">
        <v>835</v>
      </c>
      <c r="T346">
        <v>2</v>
      </c>
      <c r="U346">
        <v>1</v>
      </c>
      <c r="V346">
        <v>0</v>
      </c>
      <c r="W346">
        <v>0</v>
      </c>
      <c r="X346">
        <v>0</v>
      </c>
      <c r="Y346">
        <v>11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13</v>
      </c>
      <c r="AF346">
        <v>0</v>
      </c>
      <c r="AG346">
        <v>0</v>
      </c>
      <c r="AH346" s="5">
        <v>13</v>
      </c>
      <c r="AL346">
        <v>6</v>
      </c>
      <c r="AM346" s="36">
        <f>AL346/AH346</f>
        <v>0.46153846153846156</v>
      </c>
    </row>
    <row r="347" spans="1:39" x14ac:dyDescent="0.2">
      <c r="A347" t="s">
        <v>617</v>
      </c>
      <c r="C347" s="5" t="s">
        <v>30</v>
      </c>
      <c r="D347" s="5" t="s">
        <v>613</v>
      </c>
      <c r="E347" s="5"/>
      <c r="F347" s="29" t="s">
        <v>17</v>
      </c>
      <c r="G347" s="30" t="s">
        <v>25</v>
      </c>
      <c r="H347" s="34" t="s">
        <v>18</v>
      </c>
      <c r="J347" s="33"/>
      <c r="L347" t="s">
        <v>617</v>
      </c>
      <c r="M347" s="32">
        <v>8.1000000000000003E-2</v>
      </c>
      <c r="N347" s="32">
        <v>0.66200000000000003</v>
      </c>
      <c r="O347" s="32">
        <v>0.69199999999999995</v>
      </c>
      <c r="AH347" s="14">
        <v>203</v>
      </c>
      <c r="AI347" s="14">
        <v>153</v>
      </c>
    </row>
    <row r="348" spans="1:39" x14ac:dyDescent="0.2">
      <c r="A348" t="s">
        <v>618</v>
      </c>
      <c r="C348" s="5" t="s">
        <v>30</v>
      </c>
      <c r="D348" s="5" t="s">
        <v>613</v>
      </c>
      <c r="E348" s="5"/>
      <c r="F348" s="29" t="s">
        <v>17</v>
      </c>
      <c r="G348" s="38" t="s">
        <v>25</v>
      </c>
      <c r="H348" s="31" t="s">
        <v>18</v>
      </c>
      <c r="J348" s="33"/>
      <c r="L348" t="s">
        <v>885</v>
      </c>
      <c r="M348" s="32">
        <v>8.1000000000000003E-2</v>
      </c>
      <c r="N348" s="32">
        <v>0.66200000000000003</v>
      </c>
      <c r="O348" s="32">
        <v>0.69199999999999995</v>
      </c>
      <c r="AH348" s="5">
        <v>25</v>
      </c>
    </row>
    <row r="349" spans="1:39" x14ac:dyDescent="0.2">
      <c r="A349" t="s">
        <v>619</v>
      </c>
      <c r="C349" s="5" t="s">
        <v>30</v>
      </c>
      <c r="D349" s="6" t="s">
        <v>620</v>
      </c>
      <c r="F349" s="29" t="s">
        <v>17</v>
      </c>
      <c r="G349" s="38" t="s">
        <v>25</v>
      </c>
      <c r="H349" s="31" t="s">
        <v>18</v>
      </c>
      <c r="J349" s="33"/>
      <c r="K349" t="s">
        <v>832</v>
      </c>
      <c r="L349" t="s">
        <v>619</v>
      </c>
      <c r="M349" s="35">
        <v>0.15</v>
      </c>
      <c r="N349" s="35">
        <v>0.81</v>
      </c>
      <c r="O349" s="32">
        <v>0.87</v>
      </c>
      <c r="AH349" s="5">
        <v>82</v>
      </c>
    </row>
    <row r="350" spans="1:39" x14ac:dyDescent="0.2">
      <c r="A350" t="s">
        <v>621</v>
      </c>
      <c r="B350" s="5" t="s">
        <v>838</v>
      </c>
      <c r="C350" s="5" t="s">
        <v>42</v>
      </c>
      <c r="D350" s="6" t="s">
        <v>246</v>
      </c>
      <c r="F350" s="29" t="s">
        <v>17</v>
      </c>
      <c r="G350" s="30" t="s">
        <v>25</v>
      </c>
      <c r="H350" s="34" t="s">
        <v>39</v>
      </c>
      <c r="I350" s="31" t="s">
        <v>18</v>
      </c>
      <c r="J350" s="33"/>
      <c r="K350" t="s">
        <v>839</v>
      </c>
      <c r="L350" t="s">
        <v>886</v>
      </c>
      <c r="M350" s="35">
        <v>0.51</v>
      </c>
      <c r="N350" s="35">
        <v>0.28999999999999998</v>
      </c>
      <c r="O350" s="32">
        <v>0.22</v>
      </c>
      <c r="P350" t="s">
        <v>833</v>
      </c>
      <c r="R350" t="s">
        <v>834</v>
      </c>
      <c r="S350" t="s">
        <v>835</v>
      </c>
      <c r="T350">
        <v>26</v>
      </c>
      <c r="U350">
        <v>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26</v>
      </c>
      <c r="AF350">
        <v>0</v>
      </c>
      <c r="AG350">
        <v>0</v>
      </c>
      <c r="AH350" s="14">
        <v>57</v>
      </c>
      <c r="AI350" s="14">
        <v>43</v>
      </c>
      <c r="AL350">
        <v>28</v>
      </c>
      <c r="AM350" s="36">
        <f>AL350/AH350</f>
        <v>0.49122807017543857</v>
      </c>
    </row>
    <row r="351" spans="1:39" x14ac:dyDescent="0.2">
      <c r="A351" t="s">
        <v>622</v>
      </c>
      <c r="C351" s="5" t="s">
        <v>42</v>
      </c>
      <c r="D351" s="6" t="s">
        <v>98</v>
      </c>
      <c r="F351" s="29" t="s">
        <v>17</v>
      </c>
      <c r="G351" s="38" t="s">
        <v>25</v>
      </c>
      <c r="H351" s="31" t="s">
        <v>18</v>
      </c>
      <c r="J351" s="33"/>
      <c r="L351" t="s">
        <v>622</v>
      </c>
      <c r="M351" s="35">
        <v>0.39</v>
      </c>
      <c r="N351" s="35">
        <v>7.0000000000000007E-2</v>
      </c>
      <c r="O351" s="32">
        <v>0.89</v>
      </c>
      <c r="AH351" s="5">
        <v>50</v>
      </c>
    </row>
    <row r="352" spans="1:39" x14ac:dyDescent="0.2">
      <c r="A352" t="s">
        <v>623</v>
      </c>
      <c r="C352" s="5" t="s">
        <v>42</v>
      </c>
      <c r="D352" s="5" t="s">
        <v>98</v>
      </c>
      <c r="E352" s="5"/>
      <c r="F352" s="29" t="s">
        <v>17</v>
      </c>
      <c r="G352" s="30"/>
      <c r="H352" s="31" t="s">
        <v>18</v>
      </c>
      <c r="J352" s="33"/>
      <c r="L352" t="s">
        <v>623</v>
      </c>
      <c r="M352" s="32">
        <v>0.38500000000000001</v>
      </c>
      <c r="N352" s="32">
        <v>6.7000000000000004E-2</v>
      </c>
      <c r="O352" s="32">
        <v>0.88700000000000001</v>
      </c>
      <c r="AH352" s="5">
        <v>112</v>
      </c>
    </row>
    <row r="353" spans="1:39" x14ac:dyDescent="0.2">
      <c r="A353" t="s">
        <v>624</v>
      </c>
      <c r="C353" s="5" t="s">
        <v>42</v>
      </c>
      <c r="D353" s="6" t="s">
        <v>98</v>
      </c>
      <c r="F353" s="29" t="s">
        <v>17</v>
      </c>
      <c r="G353" s="38" t="s">
        <v>25</v>
      </c>
      <c r="H353" s="31" t="s">
        <v>18</v>
      </c>
      <c r="J353" s="33"/>
      <c r="L353" t="s">
        <v>624</v>
      </c>
      <c r="M353" s="35">
        <v>0.39</v>
      </c>
      <c r="N353" s="35">
        <v>7.0000000000000007E-2</v>
      </c>
      <c r="O353" s="32">
        <v>0.89</v>
      </c>
      <c r="AH353" s="5">
        <v>73</v>
      </c>
    </row>
    <row r="354" spans="1:39" x14ac:dyDescent="0.2">
      <c r="A354" t="s">
        <v>625</v>
      </c>
      <c r="C354" s="5" t="s">
        <v>42</v>
      </c>
      <c r="D354" s="6" t="s">
        <v>98</v>
      </c>
      <c r="F354" s="29" t="s">
        <v>17</v>
      </c>
      <c r="G354" s="38" t="s">
        <v>25</v>
      </c>
      <c r="H354" s="31" t="s">
        <v>18</v>
      </c>
      <c r="J354" s="33"/>
      <c r="L354" t="s">
        <v>625</v>
      </c>
      <c r="M354" s="35">
        <v>0.39</v>
      </c>
      <c r="N354" s="35">
        <v>7.0000000000000007E-2</v>
      </c>
      <c r="O354" s="32">
        <v>0.89</v>
      </c>
      <c r="AH354" s="5">
        <v>39</v>
      </c>
    </row>
    <row r="355" spans="1:39" x14ac:dyDescent="0.2">
      <c r="A355" t="s">
        <v>626</v>
      </c>
      <c r="C355" s="5" t="s">
        <v>42</v>
      </c>
      <c r="D355" s="6" t="s">
        <v>238</v>
      </c>
      <c r="F355" s="29" t="s">
        <v>17</v>
      </c>
      <c r="G355" s="38" t="s">
        <v>25</v>
      </c>
      <c r="H355" s="34" t="s">
        <v>26</v>
      </c>
      <c r="J355" s="33"/>
      <c r="L355" t="s">
        <v>626</v>
      </c>
      <c r="M355" s="35">
        <v>0.3</v>
      </c>
      <c r="N355" s="35">
        <v>0.02</v>
      </c>
      <c r="O355" s="32">
        <v>0.94</v>
      </c>
      <c r="P355" t="s">
        <v>833</v>
      </c>
      <c r="R355" t="s">
        <v>834</v>
      </c>
      <c r="S355" t="s">
        <v>835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17</v>
      </c>
      <c r="Z355">
        <v>0</v>
      </c>
      <c r="AA355">
        <v>0</v>
      </c>
      <c r="AB355">
        <v>17</v>
      </c>
      <c r="AC355">
        <v>0</v>
      </c>
      <c r="AD355">
        <v>0</v>
      </c>
      <c r="AE355">
        <v>17</v>
      </c>
      <c r="AF355">
        <v>0</v>
      </c>
      <c r="AG355">
        <v>0</v>
      </c>
      <c r="AH355" s="5">
        <v>199</v>
      </c>
      <c r="AL355">
        <v>18</v>
      </c>
      <c r="AM355" s="36">
        <f>AL355/AH355</f>
        <v>9.0452261306532666E-2</v>
      </c>
    </row>
    <row r="356" spans="1:39" x14ac:dyDescent="0.2">
      <c r="A356" t="s">
        <v>627</v>
      </c>
      <c r="B356" s="5" t="s">
        <v>843</v>
      </c>
      <c r="C356" s="5" t="s">
        <v>628</v>
      </c>
      <c r="D356" s="6" t="s">
        <v>629</v>
      </c>
      <c r="F356" s="29" t="s">
        <v>17</v>
      </c>
      <c r="G356" s="38" t="s">
        <v>25</v>
      </c>
      <c r="H356" s="34" t="s">
        <v>26</v>
      </c>
      <c r="J356" s="33"/>
      <c r="K356" t="s">
        <v>842</v>
      </c>
      <c r="L356" t="s">
        <v>627</v>
      </c>
      <c r="M356" s="35">
        <v>0.6</v>
      </c>
      <c r="N356" s="35">
        <v>0.38</v>
      </c>
      <c r="O356" s="32">
        <v>0.2</v>
      </c>
      <c r="P356" t="s">
        <v>833</v>
      </c>
      <c r="R356" t="s">
        <v>834</v>
      </c>
      <c r="S356" t="s">
        <v>887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21</v>
      </c>
      <c r="AF356">
        <v>0</v>
      </c>
      <c r="AG356">
        <v>0</v>
      </c>
      <c r="AH356" s="14">
        <v>21</v>
      </c>
      <c r="AL356">
        <v>21</v>
      </c>
      <c r="AM356" s="36">
        <f>AL356/AH356</f>
        <v>1</v>
      </c>
    </row>
    <row r="357" spans="1:39" x14ac:dyDescent="0.2">
      <c r="A357" t="s">
        <v>630</v>
      </c>
      <c r="C357" s="5" t="s">
        <v>90</v>
      </c>
      <c r="D357" s="6" t="s">
        <v>298</v>
      </c>
      <c r="F357" s="29" t="s">
        <v>17</v>
      </c>
      <c r="G357" s="38" t="s">
        <v>25</v>
      </c>
      <c r="H357" s="34" t="s">
        <v>26</v>
      </c>
      <c r="J357" s="33"/>
      <c r="L357" t="s">
        <v>630</v>
      </c>
      <c r="M357" s="35">
        <v>0.64</v>
      </c>
      <c r="N357" s="35">
        <v>0.53</v>
      </c>
      <c r="O357" s="32">
        <v>0.37</v>
      </c>
      <c r="AH357" s="5">
        <v>75</v>
      </c>
    </row>
    <row r="358" spans="1:39" x14ac:dyDescent="0.2">
      <c r="A358" t="s">
        <v>631</v>
      </c>
      <c r="C358" s="5" t="s">
        <v>45</v>
      </c>
      <c r="D358" s="5" t="s">
        <v>447</v>
      </c>
      <c r="E358" s="5"/>
      <c r="F358" s="29" t="s">
        <v>17</v>
      </c>
      <c r="G358" s="30"/>
      <c r="H358" s="31" t="s">
        <v>18</v>
      </c>
      <c r="J358" s="33"/>
      <c r="L358" t="s">
        <v>631</v>
      </c>
      <c r="M358" s="32">
        <v>0.47699999999999998</v>
      </c>
      <c r="N358" s="32">
        <v>0.372</v>
      </c>
      <c r="O358" s="32">
        <v>0.66300000000000003</v>
      </c>
      <c r="AH358" s="5">
        <v>36</v>
      </c>
    </row>
    <row r="359" spans="1:39" x14ac:dyDescent="0.2">
      <c r="A359" t="s">
        <v>632</v>
      </c>
      <c r="C359" s="5" t="s">
        <v>15</v>
      </c>
      <c r="D359" s="5" t="s">
        <v>118</v>
      </c>
      <c r="E359" s="5"/>
      <c r="F359" s="29" t="s">
        <v>17</v>
      </c>
      <c r="G359" s="38" t="s">
        <v>25</v>
      </c>
      <c r="H359" s="31" t="s">
        <v>18</v>
      </c>
      <c r="J359" s="33"/>
      <c r="L359" t="s">
        <v>632</v>
      </c>
      <c r="M359" s="32">
        <v>0.79700000000000004</v>
      </c>
      <c r="N359" s="32">
        <v>8.2000000000000003E-2</v>
      </c>
      <c r="O359" s="32">
        <v>0.73799999999999999</v>
      </c>
      <c r="AH359" s="5">
        <v>90</v>
      </c>
    </row>
    <row r="360" spans="1:39" x14ac:dyDescent="0.2">
      <c r="A360" t="s">
        <v>633</v>
      </c>
      <c r="C360" s="5" t="s">
        <v>610</v>
      </c>
      <c r="D360" s="5" t="s">
        <v>611</v>
      </c>
      <c r="E360" s="5"/>
      <c r="F360" s="29" t="s">
        <v>17</v>
      </c>
      <c r="G360" s="30"/>
      <c r="H360" s="34" t="s">
        <v>26</v>
      </c>
      <c r="J360" s="33"/>
      <c r="L360" t="s">
        <v>633</v>
      </c>
      <c r="M360" s="32">
        <v>0.251</v>
      </c>
      <c r="N360" s="32">
        <v>0.66400000000000003</v>
      </c>
      <c r="O360" s="32">
        <v>0.49299999999999999</v>
      </c>
      <c r="AH360" s="5">
        <v>150</v>
      </c>
    </row>
    <row r="361" spans="1:39" x14ac:dyDescent="0.2">
      <c r="A361" t="s">
        <v>634</v>
      </c>
      <c r="C361" s="5" t="s">
        <v>610</v>
      </c>
      <c r="D361" s="6" t="s">
        <v>611</v>
      </c>
      <c r="F361" s="29" t="s">
        <v>17</v>
      </c>
      <c r="G361" s="38" t="s">
        <v>25</v>
      </c>
      <c r="H361" s="31" t="s">
        <v>18</v>
      </c>
      <c r="J361" s="33"/>
      <c r="L361" t="s">
        <v>634</v>
      </c>
      <c r="M361" s="35">
        <v>0.25</v>
      </c>
      <c r="N361" s="35">
        <v>0.66</v>
      </c>
      <c r="O361" s="32">
        <v>0.49</v>
      </c>
      <c r="P361" t="s">
        <v>833</v>
      </c>
      <c r="R361" t="s">
        <v>834</v>
      </c>
      <c r="S361" t="s">
        <v>835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0</v>
      </c>
      <c r="AG361">
        <v>0</v>
      </c>
      <c r="AH361" s="5">
        <v>37</v>
      </c>
      <c r="AL361">
        <v>2</v>
      </c>
      <c r="AM361" s="36">
        <f>AL361/AH361</f>
        <v>5.4054054054054057E-2</v>
      </c>
    </row>
    <row r="362" spans="1:39" x14ac:dyDescent="0.2">
      <c r="A362" t="s">
        <v>635</v>
      </c>
      <c r="C362" s="5" t="s">
        <v>465</v>
      </c>
      <c r="D362" s="5" t="s">
        <v>636</v>
      </c>
      <c r="E362" s="5"/>
      <c r="F362" s="29" t="s">
        <v>17</v>
      </c>
      <c r="G362" s="30"/>
      <c r="H362" s="34" t="s">
        <v>26</v>
      </c>
      <c r="J362" s="33"/>
      <c r="L362" t="s">
        <v>635</v>
      </c>
      <c r="M362" s="32">
        <v>0.65</v>
      </c>
      <c r="N362" s="32">
        <v>0.27800000000000002</v>
      </c>
      <c r="O362" s="32">
        <v>0.55600000000000005</v>
      </c>
      <c r="AH362" s="5">
        <v>60</v>
      </c>
    </row>
    <row r="363" spans="1:39" x14ac:dyDescent="0.2">
      <c r="A363" t="s">
        <v>637</v>
      </c>
      <c r="C363" s="5" t="s">
        <v>610</v>
      </c>
      <c r="D363" s="6" t="s">
        <v>611</v>
      </c>
      <c r="F363" s="29" t="s">
        <v>17</v>
      </c>
      <c r="G363" s="38" t="s">
        <v>25</v>
      </c>
      <c r="H363" s="31" t="s">
        <v>18</v>
      </c>
      <c r="J363" s="33"/>
      <c r="L363" t="s">
        <v>637</v>
      </c>
      <c r="M363" s="35">
        <v>0.25</v>
      </c>
      <c r="N363" s="35">
        <v>0.66</v>
      </c>
      <c r="O363" s="32">
        <v>0.49</v>
      </c>
      <c r="AH363" s="5">
        <v>112</v>
      </c>
    </row>
    <row r="364" spans="1:39" x14ac:dyDescent="0.2">
      <c r="A364" t="s">
        <v>638</v>
      </c>
      <c r="C364" s="5" t="s">
        <v>639</v>
      </c>
      <c r="D364" s="5" t="s">
        <v>434</v>
      </c>
      <c r="E364" s="5"/>
      <c r="F364" s="29" t="s">
        <v>17</v>
      </c>
      <c r="G364" s="30"/>
      <c r="H364" s="34" t="s">
        <v>26</v>
      </c>
      <c r="J364" s="33"/>
      <c r="L364" t="s">
        <v>638</v>
      </c>
      <c r="M364" s="32">
        <v>0.66700000000000004</v>
      </c>
      <c r="N364" s="32">
        <v>0.79700000000000004</v>
      </c>
      <c r="O364" s="32">
        <v>0.497</v>
      </c>
      <c r="AH364" s="5">
        <v>99</v>
      </c>
    </row>
    <row r="365" spans="1:39" x14ac:dyDescent="0.2">
      <c r="A365" t="s">
        <v>640</v>
      </c>
      <c r="C365" s="5" t="s">
        <v>33</v>
      </c>
      <c r="D365" s="5" t="s">
        <v>34</v>
      </c>
      <c r="E365" s="5"/>
      <c r="F365" s="29" t="s">
        <v>17</v>
      </c>
      <c r="G365" s="30"/>
      <c r="H365" s="34" t="s">
        <v>26</v>
      </c>
      <c r="J365" s="33"/>
      <c r="L365" t="s">
        <v>640</v>
      </c>
      <c r="M365" s="32">
        <v>0.98499999999999999</v>
      </c>
      <c r="N365" s="32">
        <v>0.92300000000000004</v>
      </c>
      <c r="O365" s="32">
        <v>4.4999999999999998E-2</v>
      </c>
      <c r="AH365" s="5">
        <v>106</v>
      </c>
    </row>
    <row r="366" spans="1:39" x14ac:dyDescent="0.2">
      <c r="A366" t="s">
        <v>641</v>
      </c>
      <c r="C366" s="5" t="s">
        <v>95</v>
      </c>
      <c r="D366" s="6" t="s">
        <v>642</v>
      </c>
      <c r="F366" s="29" t="s">
        <v>17</v>
      </c>
      <c r="G366" s="38" t="s">
        <v>25</v>
      </c>
      <c r="H366" s="31" t="s">
        <v>18</v>
      </c>
      <c r="J366" s="33"/>
      <c r="L366" t="s">
        <v>888</v>
      </c>
      <c r="M366" s="35">
        <v>0.28999999999999998</v>
      </c>
      <c r="N366" s="35">
        <v>0.74</v>
      </c>
      <c r="O366" s="32">
        <v>0.53</v>
      </c>
      <c r="AH366" s="5">
        <v>62</v>
      </c>
    </row>
    <row r="367" spans="1:39" x14ac:dyDescent="0.2">
      <c r="A367" t="s">
        <v>643</v>
      </c>
      <c r="C367" s="5" t="s">
        <v>45</v>
      </c>
      <c r="D367" s="5" t="s">
        <v>644</v>
      </c>
      <c r="E367" s="5"/>
      <c r="F367" s="29" t="s">
        <v>17</v>
      </c>
      <c r="G367" s="30"/>
      <c r="H367" s="31" t="s">
        <v>18</v>
      </c>
      <c r="J367" s="33"/>
      <c r="L367" t="s">
        <v>643</v>
      </c>
      <c r="M367" s="32">
        <v>0.57299999999999995</v>
      </c>
      <c r="N367" s="32">
        <v>0.35599999999999998</v>
      </c>
      <c r="O367" s="32">
        <v>0.90400000000000003</v>
      </c>
      <c r="AH367" s="5">
        <v>66</v>
      </c>
    </row>
    <row r="368" spans="1:39" x14ac:dyDescent="0.2">
      <c r="A368" t="s">
        <v>645</v>
      </c>
      <c r="C368" s="5" t="s">
        <v>30</v>
      </c>
      <c r="D368" s="6" t="s">
        <v>120</v>
      </c>
      <c r="F368" s="29" t="s">
        <v>17</v>
      </c>
      <c r="G368" s="38" t="s">
        <v>25</v>
      </c>
      <c r="H368" s="31" t="s">
        <v>18</v>
      </c>
      <c r="J368" s="33"/>
      <c r="K368" t="s">
        <v>832</v>
      </c>
      <c r="L368" t="s">
        <v>645</v>
      </c>
      <c r="M368" s="35">
        <v>0.22</v>
      </c>
      <c r="N368" s="35">
        <v>0.6</v>
      </c>
      <c r="O368" s="32">
        <v>0.99</v>
      </c>
      <c r="P368" t="s">
        <v>833</v>
      </c>
      <c r="Q368" t="s">
        <v>849</v>
      </c>
      <c r="R368" t="s">
        <v>834</v>
      </c>
      <c r="S368" t="s">
        <v>835</v>
      </c>
      <c r="T368">
        <v>51</v>
      </c>
      <c r="U368">
        <v>15</v>
      </c>
      <c r="V368">
        <v>0</v>
      </c>
      <c r="W368">
        <v>0</v>
      </c>
      <c r="X368">
        <v>0</v>
      </c>
      <c r="Y368">
        <v>155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206</v>
      </c>
      <c r="AF368">
        <v>0</v>
      </c>
      <c r="AG368">
        <v>0</v>
      </c>
      <c r="AH368" s="14"/>
      <c r="AL368">
        <v>192</v>
      </c>
      <c r="AM368" s="36" t="e">
        <f>AL368/AH368</f>
        <v>#DIV/0!</v>
      </c>
    </row>
    <row r="369" spans="1:34" x14ac:dyDescent="0.2">
      <c r="A369" t="s">
        <v>646</v>
      </c>
      <c r="C369" s="5" t="s">
        <v>30</v>
      </c>
      <c r="D369" s="6" t="s">
        <v>531</v>
      </c>
      <c r="F369" s="29" t="s">
        <v>17</v>
      </c>
      <c r="G369" s="38" t="s">
        <v>25</v>
      </c>
      <c r="H369" s="34" t="s">
        <v>26</v>
      </c>
      <c r="J369" s="33"/>
      <c r="K369" t="s">
        <v>832</v>
      </c>
      <c r="L369" t="s">
        <v>646</v>
      </c>
      <c r="M369" s="35">
        <v>0.22</v>
      </c>
      <c r="N369" s="35">
        <v>0.93</v>
      </c>
      <c r="O369" s="32">
        <v>0.15</v>
      </c>
      <c r="AH369" s="14"/>
    </row>
    <row r="370" spans="1:34" x14ac:dyDescent="0.2">
      <c r="A370" t="s">
        <v>647</v>
      </c>
      <c r="C370" s="5" t="s">
        <v>15</v>
      </c>
      <c r="D370" s="6" t="s">
        <v>160</v>
      </c>
      <c r="F370" s="29" t="s">
        <v>17</v>
      </c>
      <c r="G370" s="38" t="s">
        <v>25</v>
      </c>
      <c r="H370" s="31" t="s">
        <v>18</v>
      </c>
      <c r="J370" s="33"/>
      <c r="L370" t="s">
        <v>647</v>
      </c>
      <c r="M370" s="35">
        <v>1</v>
      </c>
      <c r="N370" s="35">
        <v>0.21</v>
      </c>
      <c r="O370" s="32">
        <v>0.93</v>
      </c>
      <c r="AH370" s="5">
        <v>132</v>
      </c>
    </row>
    <row r="371" spans="1:34" x14ac:dyDescent="0.2">
      <c r="A371" t="s">
        <v>648</v>
      </c>
      <c r="C371" s="5" t="s">
        <v>20</v>
      </c>
      <c r="D371" s="5" t="s">
        <v>649</v>
      </c>
      <c r="E371" s="5"/>
      <c r="F371" s="29" t="s">
        <v>17</v>
      </c>
      <c r="G371" s="30"/>
      <c r="H371" s="31" t="s">
        <v>18</v>
      </c>
      <c r="J371" s="33"/>
      <c r="L371" t="s">
        <v>648</v>
      </c>
      <c r="M371" s="32">
        <v>0.115</v>
      </c>
      <c r="N371" s="32">
        <v>0.57899999999999996</v>
      </c>
      <c r="O371" s="32">
        <v>0.29499999999999998</v>
      </c>
      <c r="AH371" s="5">
        <v>10</v>
      </c>
    </row>
    <row r="372" spans="1:34" x14ac:dyDescent="0.2">
      <c r="A372" t="s">
        <v>650</v>
      </c>
      <c r="C372" s="5" t="s">
        <v>20</v>
      </c>
      <c r="D372" s="5" t="s">
        <v>649</v>
      </c>
      <c r="E372" s="5"/>
      <c r="F372" s="29" t="s">
        <v>17</v>
      </c>
      <c r="G372" s="30"/>
      <c r="H372" s="31" t="s">
        <v>18</v>
      </c>
      <c r="J372" s="33"/>
      <c r="L372" t="s">
        <v>650</v>
      </c>
      <c r="M372" s="32">
        <v>0.115</v>
      </c>
      <c r="N372" s="32">
        <v>0.57899999999999996</v>
      </c>
      <c r="O372" s="32">
        <v>0.29499999999999998</v>
      </c>
      <c r="AH372" s="5">
        <v>5</v>
      </c>
    </row>
    <row r="373" spans="1:34" x14ac:dyDescent="0.2">
      <c r="A373" t="s">
        <v>651</v>
      </c>
      <c r="C373" s="5" t="s">
        <v>15</v>
      </c>
      <c r="D373" s="6" t="s">
        <v>333</v>
      </c>
      <c r="F373" s="29" t="s">
        <v>17</v>
      </c>
      <c r="G373" s="38" t="s">
        <v>25</v>
      </c>
      <c r="H373" s="31" t="s">
        <v>18</v>
      </c>
      <c r="J373" s="33"/>
      <c r="L373" t="s">
        <v>651</v>
      </c>
      <c r="M373" s="35">
        <v>0.79</v>
      </c>
      <c r="N373" s="35">
        <v>7.0000000000000007E-2</v>
      </c>
      <c r="O373" s="32">
        <v>0.76</v>
      </c>
      <c r="AH373" s="5">
        <v>91</v>
      </c>
    </row>
    <row r="374" spans="1:34" x14ac:dyDescent="0.2">
      <c r="A374" t="s">
        <v>652</v>
      </c>
      <c r="C374" s="5" t="s">
        <v>64</v>
      </c>
      <c r="D374" s="5" t="s">
        <v>65</v>
      </c>
      <c r="E374" s="5"/>
      <c r="F374" s="29" t="s">
        <v>17</v>
      </c>
      <c r="G374" s="30"/>
      <c r="H374" s="31" t="s">
        <v>18</v>
      </c>
      <c r="J374" s="33"/>
      <c r="L374" t="s">
        <v>652</v>
      </c>
      <c r="M374" s="32">
        <v>0.86499999999999999</v>
      </c>
      <c r="N374" s="32">
        <v>0.32800000000000001</v>
      </c>
      <c r="O374" s="32">
        <v>0.88300000000000001</v>
      </c>
      <c r="AH374" s="5">
        <v>9</v>
      </c>
    </row>
    <row r="375" spans="1:34" x14ac:dyDescent="0.2">
      <c r="A375" t="s">
        <v>653</v>
      </c>
      <c r="C375" s="5" t="s">
        <v>20</v>
      </c>
      <c r="D375" s="6" t="s">
        <v>654</v>
      </c>
      <c r="F375" s="29" t="s">
        <v>17</v>
      </c>
      <c r="G375" s="38" t="s">
        <v>25</v>
      </c>
      <c r="H375" s="34" t="s">
        <v>26</v>
      </c>
      <c r="J375" s="33"/>
      <c r="L375" t="s">
        <v>889</v>
      </c>
      <c r="M375" s="35">
        <v>0.51</v>
      </c>
      <c r="N375" s="35">
        <v>0.4</v>
      </c>
      <c r="O375" s="32">
        <v>0.2</v>
      </c>
      <c r="AH375" s="5">
        <v>36</v>
      </c>
    </row>
    <row r="376" spans="1:34" x14ac:dyDescent="0.2">
      <c r="A376" t="s">
        <v>656</v>
      </c>
      <c r="C376" s="5" t="s">
        <v>30</v>
      </c>
      <c r="D376" s="5" t="s">
        <v>31</v>
      </c>
      <c r="E376" s="5"/>
      <c r="F376" s="29" t="s">
        <v>17</v>
      </c>
      <c r="G376" s="30"/>
      <c r="H376" s="31" t="s">
        <v>18</v>
      </c>
      <c r="J376" s="33"/>
      <c r="L376" t="s">
        <v>656</v>
      </c>
      <c r="M376" s="32">
        <v>0.76100000000000001</v>
      </c>
      <c r="N376" s="32">
        <v>4.9000000000000002E-2</v>
      </c>
      <c r="O376" s="32">
        <v>0.997</v>
      </c>
      <c r="AH376" s="5">
        <v>31</v>
      </c>
    </row>
    <row r="377" spans="1:34" ht="15.75" customHeight="1" x14ac:dyDescent="0.2">
      <c r="A377" t="s">
        <v>657</v>
      </c>
      <c r="C377" s="5" t="s">
        <v>15</v>
      </c>
      <c r="D377" s="5" t="s">
        <v>50</v>
      </c>
      <c r="E377" s="5"/>
      <c r="F377" s="29" t="s">
        <v>17</v>
      </c>
      <c r="G377" s="30"/>
      <c r="H377" s="34" t="s">
        <v>26</v>
      </c>
      <c r="J377" s="33"/>
      <c r="L377" t="s">
        <v>657</v>
      </c>
      <c r="M377" s="32">
        <v>0.76700000000000002</v>
      </c>
      <c r="N377" s="32">
        <v>0.214</v>
      </c>
      <c r="O377" s="32">
        <v>0.98399999999999999</v>
      </c>
      <c r="AH377" s="5">
        <v>33</v>
      </c>
    </row>
    <row r="378" spans="1:34" x14ac:dyDescent="0.2">
      <c r="A378" t="s">
        <v>658</v>
      </c>
      <c r="C378" s="5" t="s">
        <v>15</v>
      </c>
      <c r="D378" s="6" t="s">
        <v>546</v>
      </c>
      <c r="F378" s="29" t="s">
        <v>17</v>
      </c>
      <c r="G378" s="38" t="s">
        <v>25</v>
      </c>
      <c r="H378" s="31" t="s">
        <v>18</v>
      </c>
      <c r="J378" s="33"/>
      <c r="L378" t="s">
        <v>890</v>
      </c>
      <c r="M378" s="35">
        <v>0.57999999999999996</v>
      </c>
      <c r="N378" s="35">
        <v>0.12</v>
      </c>
      <c r="O378" s="32">
        <v>0.89</v>
      </c>
      <c r="AH378" s="5">
        <v>37</v>
      </c>
    </row>
    <row r="379" spans="1:34" x14ac:dyDescent="0.2">
      <c r="A379" t="s">
        <v>659</v>
      </c>
      <c r="C379" s="5" t="s">
        <v>15</v>
      </c>
      <c r="D379" s="6" t="s">
        <v>660</v>
      </c>
      <c r="F379" s="29" t="s">
        <v>17</v>
      </c>
      <c r="G379" s="38" t="s">
        <v>25</v>
      </c>
      <c r="H379" s="31" t="s">
        <v>18</v>
      </c>
      <c r="J379" s="33"/>
      <c r="L379" t="s">
        <v>891</v>
      </c>
      <c r="M379" s="35">
        <v>0.65</v>
      </c>
      <c r="N379" s="35">
        <v>0.12</v>
      </c>
      <c r="O379" s="32">
        <v>0.82</v>
      </c>
      <c r="AH379" s="5">
        <v>25</v>
      </c>
    </row>
    <row r="380" spans="1:34" x14ac:dyDescent="0.2">
      <c r="A380" t="s">
        <v>661</v>
      </c>
      <c r="C380" s="5" t="s">
        <v>95</v>
      </c>
      <c r="D380" s="6" t="s">
        <v>662</v>
      </c>
      <c r="F380" s="29" t="s">
        <v>17</v>
      </c>
      <c r="G380" s="38" t="s">
        <v>25</v>
      </c>
      <c r="H380" s="34" t="s">
        <v>26</v>
      </c>
      <c r="J380" s="33"/>
      <c r="L380" t="s">
        <v>661</v>
      </c>
      <c r="M380" s="35">
        <v>0.31</v>
      </c>
      <c r="N380" s="35">
        <v>0.49</v>
      </c>
      <c r="O380" s="32">
        <v>0.44</v>
      </c>
      <c r="AH380" s="5">
        <v>19</v>
      </c>
    </row>
    <row r="381" spans="1:34" x14ac:dyDescent="0.2">
      <c r="A381" t="s">
        <v>663</v>
      </c>
      <c r="C381" s="5" t="s">
        <v>23</v>
      </c>
      <c r="D381" s="5" t="s">
        <v>451</v>
      </c>
      <c r="E381" s="5"/>
      <c r="F381" s="29" t="s">
        <v>17</v>
      </c>
      <c r="G381" s="30"/>
      <c r="H381" s="31" t="s">
        <v>18</v>
      </c>
      <c r="J381" s="33"/>
      <c r="L381" t="s">
        <v>663</v>
      </c>
      <c r="M381" s="32">
        <v>0.247</v>
      </c>
      <c r="N381" s="32">
        <v>0.34699999999999998</v>
      </c>
      <c r="O381" s="32">
        <v>0.70799999999999996</v>
      </c>
      <c r="AH381" s="5">
        <v>144</v>
      </c>
    </row>
    <row r="382" spans="1:34" x14ac:dyDescent="0.2">
      <c r="A382" t="s">
        <v>664</v>
      </c>
      <c r="C382" s="5" t="s">
        <v>42</v>
      </c>
      <c r="D382" s="6" t="s">
        <v>378</v>
      </c>
      <c r="F382" s="29" t="s">
        <v>17</v>
      </c>
      <c r="G382" s="38" t="s">
        <v>25</v>
      </c>
      <c r="H382" s="31" t="s">
        <v>18</v>
      </c>
      <c r="J382" s="33"/>
      <c r="L382" t="s">
        <v>892</v>
      </c>
      <c r="M382" s="35">
        <v>0.06</v>
      </c>
      <c r="N382" s="35">
        <v>0.33</v>
      </c>
      <c r="O382" s="32">
        <v>0.84</v>
      </c>
      <c r="AH382" s="5">
        <v>53</v>
      </c>
    </row>
    <row r="383" spans="1:34" x14ac:dyDescent="0.2">
      <c r="A383" t="s">
        <v>665</v>
      </c>
      <c r="C383" s="5" t="s">
        <v>183</v>
      </c>
      <c r="D383" s="5" t="s">
        <v>666</v>
      </c>
      <c r="E383" s="5"/>
      <c r="F383" s="29" t="s">
        <v>17</v>
      </c>
      <c r="G383" s="30"/>
      <c r="H383" s="31" t="s">
        <v>18</v>
      </c>
      <c r="J383" s="33"/>
      <c r="L383" t="s">
        <v>665</v>
      </c>
      <c r="M383" s="32">
        <v>0.86199999999999999</v>
      </c>
      <c r="N383" s="32">
        <v>0.19</v>
      </c>
      <c r="O383" s="32">
        <v>0.86799999999999999</v>
      </c>
      <c r="AH383" s="5">
        <v>24</v>
      </c>
    </row>
    <row r="384" spans="1:34" x14ac:dyDescent="0.2">
      <c r="A384" t="s">
        <v>667</v>
      </c>
      <c r="C384" s="5" t="s">
        <v>55</v>
      </c>
      <c r="D384" s="5" t="s">
        <v>569</v>
      </c>
      <c r="E384" s="5"/>
      <c r="F384" s="29" t="s">
        <v>17</v>
      </c>
      <c r="G384" s="30"/>
      <c r="H384" s="31" t="s">
        <v>18</v>
      </c>
      <c r="J384" s="33"/>
      <c r="L384" t="s">
        <v>667</v>
      </c>
      <c r="M384" s="32">
        <v>0.95699999999999996</v>
      </c>
      <c r="N384" s="32">
        <v>0.33300000000000002</v>
      </c>
      <c r="O384" s="32">
        <v>0.95199999999999996</v>
      </c>
      <c r="AH384" s="5">
        <v>5</v>
      </c>
    </row>
    <row r="385" spans="1:39" x14ac:dyDescent="0.2">
      <c r="A385" t="s">
        <v>668</v>
      </c>
      <c r="C385" s="5" t="s">
        <v>23</v>
      </c>
      <c r="D385" s="6" t="s">
        <v>325</v>
      </c>
      <c r="F385" s="29" t="s">
        <v>17</v>
      </c>
      <c r="G385" s="38" t="s">
        <v>25</v>
      </c>
      <c r="H385" s="34" t="s">
        <v>26</v>
      </c>
      <c r="J385" s="33"/>
      <c r="L385" t="s">
        <v>668</v>
      </c>
      <c r="M385" s="35">
        <v>0.77</v>
      </c>
      <c r="N385" s="35">
        <v>0.32</v>
      </c>
      <c r="O385" s="32">
        <v>0.77</v>
      </c>
      <c r="AH385" s="5">
        <v>80</v>
      </c>
    </row>
    <row r="386" spans="1:39" x14ac:dyDescent="0.2">
      <c r="A386" t="s">
        <v>669</v>
      </c>
      <c r="C386" s="5" t="s">
        <v>90</v>
      </c>
      <c r="D386" s="6" t="s">
        <v>91</v>
      </c>
      <c r="F386" s="29" t="s">
        <v>17</v>
      </c>
      <c r="G386" s="38" t="s">
        <v>25</v>
      </c>
      <c r="H386" s="31" t="s">
        <v>18</v>
      </c>
      <c r="J386" s="33"/>
      <c r="L386" t="s">
        <v>669</v>
      </c>
      <c r="M386" s="35">
        <v>0.26</v>
      </c>
      <c r="N386" s="35">
        <v>0.9</v>
      </c>
      <c r="O386" s="32">
        <v>0.14000000000000001</v>
      </c>
      <c r="AH386" s="5">
        <v>123</v>
      </c>
    </row>
    <row r="387" spans="1:39" x14ac:dyDescent="0.2">
      <c r="A387" t="s">
        <v>670</v>
      </c>
      <c r="C387" s="5" t="s">
        <v>90</v>
      </c>
      <c r="D387" s="6" t="s">
        <v>91</v>
      </c>
      <c r="F387" s="29" t="s">
        <v>17</v>
      </c>
      <c r="G387" s="38" t="s">
        <v>25</v>
      </c>
      <c r="H387" s="31" t="s">
        <v>18</v>
      </c>
      <c r="J387" s="33"/>
      <c r="L387" t="s">
        <v>670</v>
      </c>
      <c r="M387" s="35">
        <v>0.26</v>
      </c>
      <c r="N387" s="35">
        <v>0.9</v>
      </c>
      <c r="O387" s="32">
        <v>0.14000000000000001</v>
      </c>
      <c r="AH387" s="5">
        <v>61</v>
      </c>
    </row>
    <row r="388" spans="1:39" x14ac:dyDescent="0.2">
      <c r="A388" t="s">
        <v>671</v>
      </c>
      <c r="C388" s="5" t="s">
        <v>64</v>
      </c>
      <c r="D388" s="5" t="s">
        <v>462</v>
      </c>
      <c r="E388" s="5"/>
      <c r="F388" s="29" t="s">
        <v>17</v>
      </c>
      <c r="G388" s="30"/>
      <c r="H388" s="31" t="s">
        <v>18</v>
      </c>
      <c r="J388" s="33"/>
      <c r="L388" t="s">
        <v>671</v>
      </c>
      <c r="M388" s="32">
        <v>0.21099999999999999</v>
      </c>
      <c r="N388" s="32">
        <v>0.379</v>
      </c>
      <c r="O388" s="32">
        <v>0.17799999999999999</v>
      </c>
      <c r="AH388" s="5">
        <v>5</v>
      </c>
    </row>
    <row r="389" spans="1:39" x14ac:dyDescent="0.2">
      <c r="A389" t="s">
        <v>672</v>
      </c>
      <c r="C389" s="5" t="s">
        <v>55</v>
      </c>
      <c r="D389" s="5" t="s">
        <v>56</v>
      </c>
      <c r="E389" s="5"/>
      <c r="F389" s="29" t="s">
        <v>17</v>
      </c>
      <c r="G389" s="38" t="s">
        <v>25</v>
      </c>
      <c r="H389" s="31" t="s">
        <v>18</v>
      </c>
      <c r="J389" s="33"/>
      <c r="L389" t="s">
        <v>672</v>
      </c>
      <c r="M389" s="32">
        <v>0.82099999999999995</v>
      </c>
      <c r="N389" s="32">
        <v>0.34599999999999997</v>
      </c>
      <c r="O389" s="32">
        <v>0.115</v>
      </c>
      <c r="AH389" s="5">
        <v>170</v>
      </c>
    </row>
    <row r="390" spans="1:39" x14ac:dyDescent="0.2">
      <c r="A390" t="s">
        <v>673</v>
      </c>
      <c r="C390" s="5" t="s">
        <v>103</v>
      </c>
      <c r="D390" s="6" t="s">
        <v>162</v>
      </c>
      <c r="F390" s="29" t="s">
        <v>17</v>
      </c>
      <c r="G390" s="38" t="s">
        <v>25</v>
      </c>
      <c r="H390" s="31" t="s">
        <v>18</v>
      </c>
      <c r="J390" s="33"/>
      <c r="L390" t="s">
        <v>673</v>
      </c>
      <c r="M390" s="35">
        <v>0.7</v>
      </c>
      <c r="N390" s="35">
        <v>0.28999999999999998</v>
      </c>
      <c r="O390" s="32">
        <v>0.6</v>
      </c>
      <c r="AH390" s="5">
        <v>94</v>
      </c>
    </row>
    <row r="391" spans="1:39" x14ac:dyDescent="0.2">
      <c r="A391" t="s">
        <v>674</v>
      </c>
      <c r="C391" s="5" t="s">
        <v>30</v>
      </c>
      <c r="D391" s="5" t="s">
        <v>120</v>
      </c>
      <c r="E391" s="5"/>
      <c r="F391" s="29" t="s">
        <v>17</v>
      </c>
      <c r="G391" s="38" t="s">
        <v>25</v>
      </c>
      <c r="H391" s="31" t="s">
        <v>18</v>
      </c>
      <c r="J391" s="33"/>
      <c r="L391" t="s">
        <v>674</v>
      </c>
      <c r="M391" s="32">
        <v>0.221</v>
      </c>
      <c r="N391" s="32">
        <v>0.59899999999999998</v>
      </c>
      <c r="O391" s="32">
        <v>0.98799999999999999</v>
      </c>
      <c r="AH391" s="5">
        <v>17</v>
      </c>
    </row>
    <row r="392" spans="1:39" x14ac:dyDescent="0.2">
      <c r="A392" t="s">
        <v>675</v>
      </c>
      <c r="C392" s="5" t="s">
        <v>30</v>
      </c>
      <c r="D392" s="5" t="s">
        <v>676</v>
      </c>
      <c r="E392" s="5"/>
      <c r="F392" s="29" t="s">
        <v>17</v>
      </c>
      <c r="G392" s="38" t="s">
        <v>25</v>
      </c>
      <c r="H392" s="31" t="s">
        <v>18</v>
      </c>
      <c r="J392" s="33"/>
      <c r="L392" t="s">
        <v>675</v>
      </c>
      <c r="M392" s="32">
        <v>0.48799999999999999</v>
      </c>
      <c r="N392" s="32">
        <v>0.72199999999999998</v>
      </c>
      <c r="O392" s="32">
        <v>0.36299999999999999</v>
      </c>
      <c r="AH392" s="5">
        <v>89</v>
      </c>
    </row>
    <row r="393" spans="1:39" x14ac:dyDescent="0.2">
      <c r="A393" t="s">
        <v>677</v>
      </c>
      <c r="C393" s="5" t="s">
        <v>15</v>
      </c>
      <c r="D393" s="5" t="s">
        <v>804</v>
      </c>
      <c r="E393" s="5"/>
      <c r="F393" s="29" t="s">
        <v>17</v>
      </c>
      <c r="G393" s="30"/>
      <c r="H393" s="31" t="s">
        <v>18</v>
      </c>
      <c r="J393" s="33"/>
      <c r="L393" t="s">
        <v>677</v>
      </c>
      <c r="M393" s="32"/>
      <c r="N393" s="32"/>
      <c r="O393" s="32"/>
      <c r="AH393" s="5">
        <v>16</v>
      </c>
    </row>
    <row r="394" spans="1:39" x14ac:dyDescent="0.2">
      <c r="A394" t="s">
        <v>679</v>
      </c>
      <c r="C394" s="5" t="s">
        <v>45</v>
      </c>
      <c r="D394" s="5" t="s">
        <v>453</v>
      </c>
      <c r="E394" s="5"/>
      <c r="F394" s="29" t="s">
        <v>17</v>
      </c>
      <c r="G394" s="30"/>
      <c r="H394" s="31" t="s">
        <v>18</v>
      </c>
      <c r="J394" s="33"/>
      <c r="L394" t="s">
        <v>679</v>
      </c>
      <c r="M394" s="32">
        <v>0.68899999999999995</v>
      </c>
      <c r="N394" s="32">
        <v>0.13900000000000001</v>
      </c>
      <c r="O394" s="32">
        <v>0.90300000000000002</v>
      </c>
      <c r="AH394" s="5">
        <v>400</v>
      </c>
    </row>
    <row r="395" spans="1:39" x14ac:dyDescent="0.2">
      <c r="A395" t="s">
        <v>680</v>
      </c>
      <c r="C395" s="5" t="s">
        <v>30</v>
      </c>
      <c r="D395" s="6" t="s">
        <v>120</v>
      </c>
      <c r="F395" s="29" t="s">
        <v>17</v>
      </c>
      <c r="G395" s="30" t="s">
        <v>25</v>
      </c>
      <c r="H395" s="34" t="s">
        <v>39</v>
      </c>
      <c r="I395" s="7" t="s">
        <v>18</v>
      </c>
      <c r="J395" s="33"/>
      <c r="K395" t="s">
        <v>832</v>
      </c>
      <c r="L395" t="s">
        <v>680</v>
      </c>
      <c r="M395" s="35">
        <v>0.22</v>
      </c>
      <c r="N395" s="35">
        <v>0.6</v>
      </c>
      <c r="O395" s="32">
        <v>0.99</v>
      </c>
      <c r="P395" t="s">
        <v>833</v>
      </c>
      <c r="Q395" t="s">
        <v>849</v>
      </c>
      <c r="R395" t="s">
        <v>834</v>
      </c>
      <c r="S395" t="s">
        <v>835</v>
      </c>
      <c r="T395">
        <v>51</v>
      </c>
      <c r="U395">
        <v>15</v>
      </c>
      <c r="V395">
        <v>0</v>
      </c>
      <c r="W395">
        <v>0</v>
      </c>
      <c r="X395">
        <v>0</v>
      </c>
      <c r="Y395">
        <v>155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206</v>
      </c>
      <c r="AF395">
        <v>0</v>
      </c>
      <c r="AG395">
        <v>0</v>
      </c>
      <c r="AL395">
        <v>192</v>
      </c>
      <c r="AM395" s="36" t="e">
        <f>AL395/AH395</f>
        <v>#DIV/0!</v>
      </c>
    </row>
    <row r="396" spans="1:39" x14ac:dyDescent="0.2">
      <c r="A396" t="s">
        <v>681</v>
      </c>
      <c r="C396" s="5" t="s">
        <v>15</v>
      </c>
      <c r="D396" s="6" t="s">
        <v>471</v>
      </c>
      <c r="F396" s="29" t="s">
        <v>17</v>
      </c>
      <c r="G396" s="38" t="s">
        <v>25</v>
      </c>
      <c r="H396" s="31" t="s">
        <v>18</v>
      </c>
      <c r="J396" s="33"/>
      <c r="L396" t="s">
        <v>681</v>
      </c>
      <c r="M396" s="35">
        <v>0.94</v>
      </c>
      <c r="N396" s="35">
        <v>0.05</v>
      </c>
      <c r="O396" s="32">
        <v>0.99</v>
      </c>
      <c r="AH396" s="5">
        <v>44</v>
      </c>
      <c r="AI396" s="5">
        <v>16</v>
      </c>
    </row>
    <row r="397" spans="1:39" x14ac:dyDescent="0.2">
      <c r="A397" t="s">
        <v>682</v>
      </c>
      <c r="C397" s="5" t="s">
        <v>610</v>
      </c>
      <c r="D397" s="5" t="s">
        <v>611</v>
      </c>
      <c r="E397" s="5"/>
      <c r="F397" s="29" t="s">
        <v>17</v>
      </c>
      <c r="G397" s="30" t="s">
        <v>25</v>
      </c>
      <c r="H397" s="34" t="s">
        <v>26</v>
      </c>
      <c r="I397" s="7" t="s">
        <v>39</v>
      </c>
      <c r="J397" s="33"/>
      <c r="L397" t="s">
        <v>682</v>
      </c>
      <c r="M397" s="32">
        <v>0.251</v>
      </c>
      <c r="N397" s="32">
        <v>0.66400000000000003</v>
      </c>
      <c r="O397" s="32">
        <v>0.49299999999999999</v>
      </c>
      <c r="AH397" s="5" t="s">
        <v>683</v>
      </c>
    </row>
    <row r="398" spans="1:39" x14ac:dyDescent="0.2">
      <c r="A398" t="s">
        <v>684</v>
      </c>
      <c r="C398" s="5" t="s">
        <v>30</v>
      </c>
      <c r="D398" s="5" t="s">
        <v>48</v>
      </c>
      <c r="E398" s="5"/>
      <c r="F398" s="29" t="s">
        <v>17</v>
      </c>
      <c r="G398" s="30"/>
      <c r="H398" s="34" t="s">
        <v>26</v>
      </c>
      <c r="J398" s="33"/>
      <c r="L398" t="s">
        <v>684</v>
      </c>
      <c r="M398" s="32">
        <v>0.64300000000000002</v>
      </c>
      <c r="N398" s="32">
        <v>0.63100000000000001</v>
      </c>
      <c r="O398" s="32">
        <v>0.13600000000000001</v>
      </c>
      <c r="AH398" s="5">
        <v>116</v>
      </c>
    </row>
    <row r="399" spans="1:39" x14ac:dyDescent="0.2">
      <c r="A399" t="s">
        <v>685</v>
      </c>
      <c r="C399" s="5" t="s">
        <v>145</v>
      </c>
      <c r="D399" s="5" t="s">
        <v>686</v>
      </c>
      <c r="E399" s="5"/>
      <c r="F399" s="29" t="s">
        <v>17</v>
      </c>
      <c r="G399" s="30"/>
      <c r="H399" s="34" t="s">
        <v>26</v>
      </c>
      <c r="J399" s="33"/>
      <c r="L399" t="s">
        <v>685</v>
      </c>
      <c r="M399" s="32">
        <v>0.879</v>
      </c>
      <c r="N399" s="32">
        <v>0.77100000000000002</v>
      </c>
      <c r="O399" s="32">
        <v>0.4</v>
      </c>
      <c r="AH399" s="5">
        <v>154</v>
      </c>
    </row>
    <row r="400" spans="1:39" x14ac:dyDescent="0.2">
      <c r="A400" t="s">
        <v>687</v>
      </c>
      <c r="C400" s="5" t="s">
        <v>30</v>
      </c>
      <c r="D400" s="6" t="s">
        <v>120</v>
      </c>
      <c r="F400" s="29" t="s">
        <v>17</v>
      </c>
      <c r="G400" s="38" t="s">
        <v>25</v>
      </c>
      <c r="H400" s="31" t="s">
        <v>18</v>
      </c>
      <c r="J400" s="33"/>
      <c r="K400" t="s">
        <v>832</v>
      </c>
      <c r="L400" t="s">
        <v>687</v>
      </c>
      <c r="M400" s="35">
        <v>0.22</v>
      </c>
      <c r="N400" s="35">
        <v>0.6</v>
      </c>
      <c r="O400" s="32">
        <v>0.99</v>
      </c>
      <c r="P400" t="s">
        <v>833</v>
      </c>
      <c r="Q400" t="s">
        <v>849</v>
      </c>
      <c r="R400" t="s">
        <v>834</v>
      </c>
      <c r="S400" t="s">
        <v>835</v>
      </c>
      <c r="T400">
        <v>51</v>
      </c>
      <c r="U400">
        <v>15</v>
      </c>
      <c r="V400">
        <v>0</v>
      </c>
      <c r="W400">
        <v>0</v>
      </c>
      <c r="X400">
        <v>0</v>
      </c>
      <c r="Y400">
        <v>155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206</v>
      </c>
      <c r="AF400">
        <v>0</v>
      </c>
      <c r="AG400">
        <v>0</v>
      </c>
      <c r="AH400" s="5">
        <v>20</v>
      </c>
      <c r="AL400">
        <v>192</v>
      </c>
      <c r="AM400" s="36">
        <f>AL400/AH400</f>
        <v>9.6</v>
      </c>
    </row>
    <row r="401" spans="1:39" x14ac:dyDescent="0.2">
      <c r="A401" t="s">
        <v>688</v>
      </c>
      <c r="C401" s="5" t="s">
        <v>95</v>
      </c>
      <c r="D401" s="6" t="s">
        <v>662</v>
      </c>
      <c r="F401" s="29" t="s">
        <v>17</v>
      </c>
      <c r="G401" s="30" t="s">
        <v>25</v>
      </c>
      <c r="H401" s="31" t="s">
        <v>18</v>
      </c>
      <c r="J401" s="33"/>
      <c r="L401" t="s">
        <v>688</v>
      </c>
      <c r="M401" s="35">
        <v>0.31</v>
      </c>
      <c r="N401" s="35">
        <v>0.49</v>
      </c>
      <c r="O401" s="32">
        <v>0.44</v>
      </c>
      <c r="AH401" s="5">
        <v>260</v>
      </c>
    </row>
    <row r="402" spans="1:39" x14ac:dyDescent="0.2">
      <c r="A402" t="s">
        <v>689</v>
      </c>
      <c r="B402" s="5" t="s">
        <v>871</v>
      </c>
      <c r="C402" s="5" t="s">
        <v>335</v>
      </c>
      <c r="D402" s="6" t="s">
        <v>432</v>
      </c>
      <c r="F402" s="29" t="s">
        <v>17</v>
      </c>
      <c r="G402" s="30" t="s">
        <v>25</v>
      </c>
      <c r="H402" s="34" t="s">
        <v>26</v>
      </c>
      <c r="I402" s="7" t="s">
        <v>39</v>
      </c>
      <c r="J402" s="33"/>
      <c r="K402" t="s">
        <v>839</v>
      </c>
      <c r="L402" t="s">
        <v>689</v>
      </c>
      <c r="M402" s="35">
        <v>0.34</v>
      </c>
      <c r="N402" s="35">
        <v>0.85</v>
      </c>
      <c r="O402" s="32">
        <v>7.0000000000000007E-2</v>
      </c>
      <c r="P402" t="s">
        <v>833</v>
      </c>
      <c r="R402" t="s">
        <v>834</v>
      </c>
      <c r="S402" t="s">
        <v>835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7</v>
      </c>
      <c r="AF402">
        <v>0</v>
      </c>
      <c r="AG402">
        <v>0</v>
      </c>
      <c r="AH402" s="14"/>
      <c r="AI402" s="5">
        <v>7</v>
      </c>
      <c r="AL402">
        <v>6</v>
      </c>
      <c r="AM402" s="36" t="e">
        <f>AL402/AH402</f>
        <v>#DIV/0!</v>
      </c>
    </row>
    <row r="403" spans="1:39" x14ac:dyDescent="0.2">
      <c r="A403" t="s">
        <v>690</v>
      </c>
      <c r="C403" s="5" t="s">
        <v>15</v>
      </c>
      <c r="D403" s="5" t="s">
        <v>134</v>
      </c>
      <c r="E403" s="5"/>
      <c r="F403" s="29" t="s">
        <v>17</v>
      </c>
      <c r="G403" s="30" t="s">
        <v>691</v>
      </c>
      <c r="H403" s="31" t="s">
        <v>18</v>
      </c>
      <c r="J403" s="33"/>
      <c r="L403" t="s">
        <v>690</v>
      </c>
      <c r="M403" s="32">
        <v>0.40300000000000002</v>
      </c>
      <c r="N403" s="32">
        <v>0.17899999999999999</v>
      </c>
      <c r="O403" s="32">
        <v>0.19600000000000001</v>
      </c>
      <c r="AH403" s="5">
        <v>276</v>
      </c>
    </row>
    <row r="404" spans="1:39" x14ac:dyDescent="0.2">
      <c r="A404" t="s">
        <v>692</v>
      </c>
      <c r="B404" s="5" t="s">
        <v>893</v>
      </c>
      <c r="C404" s="5" t="s">
        <v>95</v>
      </c>
      <c r="D404" s="6" t="s">
        <v>549</v>
      </c>
      <c r="F404" s="29" t="s">
        <v>17</v>
      </c>
      <c r="G404" s="30" t="s">
        <v>25</v>
      </c>
      <c r="H404" s="34" t="s">
        <v>105</v>
      </c>
      <c r="I404" s="7" t="s">
        <v>18</v>
      </c>
      <c r="J404" s="33"/>
      <c r="K404" t="s">
        <v>894</v>
      </c>
      <c r="L404" t="s">
        <v>692</v>
      </c>
      <c r="M404" s="35">
        <v>0.38</v>
      </c>
      <c r="N404" s="35">
        <v>0.26</v>
      </c>
      <c r="O404" s="32">
        <v>0.69</v>
      </c>
      <c r="P404" t="s">
        <v>833</v>
      </c>
      <c r="R404" t="s">
        <v>834</v>
      </c>
      <c r="S404" t="s">
        <v>835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19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19</v>
      </c>
      <c r="AF404">
        <v>0</v>
      </c>
      <c r="AG404">
        <v>0</v>
      </c>
      <c r="AH404" s="14"/>
      <c r="AL404">
        <v>19</v>
      </c>
      <c r="AM404" s="36" t="e">
        <f>AL404/AH404</f>
        <v>#DIV/0!</v>
      </c>
    </row>
    <row r="405" spans="1:39" x14ac:dyDescent="0.2">
      <c r="A405" t="s">
        <v>693</v>
      </c>
      <c r="C405" s="5" t="s">
        <v>30</v>
      </c>
      <c r="D405" s="6" t="s">
        <v>497</v>
      </c>
      <c r="F405" s="29" t="s">
        <v>17</v>
      </c>
      <c r="G405" s="38" t="s">
        <v>25</v>
      </c>
      <c r="H405" s="31" t="s">
        <v>18</v>
      </c>
      <c r="J405" s="33"/>
      <c r="K405" t="s">
        <v>832</v>
      </c>
      <c r="L405" t="s">
        <v>693</v>
      </c>
      <c r="M405" s="35">
        <v>0.21</v>
      </c>
      <c r="N405" s="35">
        <v>0.85</v>
      </c>
      <c r="O405" s="32">
        <v>0.57999999999999996</v>
      </c>
      <c r="AH405" s="5" t="s">
        <v>694</v>
      </c>
    </row>
    <row r="406" spans="1:39" x14ac:dyDescent="0.2">
      <c r="A406" t="s">
        <v>695</v>
      </c>
      <c r="C406" s="5" t="s">
        <v>64</v>
      </c>
      <c r="D406" s="5" t="s">
        <v>445</v>
      </c>
      <c r="E406" s="5"/>
      <c r="F406" s="29" t="s">
        <v>17</v>
      </c>
      <c r="G406" s="30"/>
      <c r="H406" s="31" t="s">
        <v>18</v>
      </c>
      <c r="J406" s="33"/>
      <c r="L406" t="s">
        <v>695</v>
      </c>
      <c r="M406" s="32">
        <v>0.31</v>
      </c>
      <c r="N406" s="32">
        <v>0.95499999999999996</v>
      </c>
      <c r="O406" s="32">
        <v>8.0000000000000002E-3</v>
      </c>
      <c r="AH406" s="5">
        <v>26</v>
      </c>
    </row>
    <row r="407" spans="1:39" x14ac:dyDescent="0.2">
      <c r="A407" t="s">
        <v>696</v>
      </c>
      <c r="C407" s="5" t="s">
        <v>90</v>
      </c>
      <c r="D407" s="6" t="s">
        <v>298</v>
      </c>
      <c r="F407" s="29" t="s">
        <v>17</v>
      </c>
      <c r="G407" s="38" t="s">
        <v>25</v>
      </c>
      <c r="H407" s="31" t="s">
        <v>18</v>
      </c>
      <c r="J407" s="33"/>
      <c r="L407" t="s">
        <v>696</v>
      </c>
      <c r="M407" s="35">
        <v>0.64</v>
      </c>
      <c r="N407" s="35">
        <v>0.53</v>
      </c>
      <c r="O407" s="32">
        <v>0.37</v>
      </c>
      <c r="AH407" s="5">
        <v>71</v>
      </c>
    </row>
    <row r="408" spans="1:39" x14ac:dyDescent="0.2">
      <c r="A408" t="s">
        <v>697</v>
      </c>
      <c r="C408" s="5" t="s">
        <v>30</v>
      </c>
      <c r="D408" s="5" t="s">
        <v>120</v>
      </c>
      <c r="E408" s="5"/>
      <c r="F408" s="29" t="s">
        <v>17</v>
      </c>
      <c r="G408" s="38" t="s">
        <v>25</v>
      </c>
      <c r="H408" s="31" t="s">
        <v>18</v>
      </c>
      <c r="J408" s="33"/>
      <c r="L408" t="s">
        <v>895</v>
      </c>
      <c r="M408" s="32">
        <v>0.221</v>
      </c>
      <c r="N408" s="32">
        <v>0.59899999999999998</v>
      </c>
      <c r="O408" s="32">
        <v>0.98799999999999999</v>
      </c>
      <c r="AH408" s="5">
        <v>38</v>
      </c>
    </row>
    <row r="409" spans="1:39" x14ac:dyDescent="0.2">
      <c r="A409" t="s">
        <v>698</v>
      </c>
      <c r="C409" s="5" t="s">
        <v>20</v>
      </c>
      <c r="D409" s="5" t="s">
        <v>78</v>
      </c>
      <c r="E409" s="5"/>
      <c r="F409" s="29" t="s">
        <v>17</v>
      </c>
      <c r="G409" s="38" t="s">
        <v>25</v>
      </c>
      <c r="H409" s="34" t="s">
        <v>26</v>
      </c>
      <c r="J409" s="33"/>
      <c r="L409" t="s">
        <v>698</v>
      </c>
      <c r="M409" s="32">
        <v>0.495</v>
      </c>
      <c r="N409" s="32">
        <v>3.2000000000000001E-2</v>
      </c>
      <c r="O409" s="32">
        <v>0.88900000000000001</v>
      </c>
      <c r="AH409" s="5">
        <v>268</v>
      </c>
    </row>
    <row r="410" spans="1:39" x14ac:dyDescent="0.2">
      <c r="A410" t="s">
        <v>699</v>
      </c>
      <c r="C410" s="5" t="s">
        <v>23</v>
      </c>
      <c r="D410" s="5" t="s">
        <v>153</v>
      </c>
      <c r="E410" s="5"/>
      <c r="F410" s="29" t="s">
        <v>17</v>
      </c>
      <c r="G410" s="30"/>
      <c r="H410" s="31" t="s">
        <v>18</v>
      </c>
      <c r="J410" s="33"/>
      <c r="L410" t="s">
        <v>699</v>
      </c>
      <c r="M410" s="32">
        <v>0.59699999999999998</v>
      </c>
      <c r="N410" s="32">
        <v>3.1E-2</v>
      </c>
      <c r="O410" s="32">
        <v>0.95299999999999996</v>
      </c>
      <c r="AH410" s="5">
        <v>14</v>
      </c>
    </row>
    <row r="411" spans="1:39" x14ac:dyDescent="0.2">
      <c r="A411" t="s">
        <v>896</v>
      </c>
      <c r="C411" s="5" t="s">
        <v>42</v>
      </c>
      <c r="D411" s="16" t="s">
        <v>212</v>
      </c>
      <c r="E411" s="16"/>
      <c r="F411" s="29" t="s">
        <v>17</v>
      </c>
      <c r="G411" s="30"/>
      <c r="H411" s="31" t="s">
        <v>18</v>
      </c>
      <c r="J411" s="33"/>
      <c r="L411" t="s">
        <v>897</v>
      </c>
      <c r="M411" s="35">
        <v>0.13</v>
      </c>
      <c r="N411" s="35">
        <v>0.25</v>
      </c>
      <c r="O411" s="32">
        <v>0.55000000000000004</v>
      </c>
      <c r="AH411" s="5">
        <v>51</v>
      </c>
      <c r="AI411" s="5">
        <v>50</v>
      </c>
      <c r="AK411" s="5" t="s">
        <v>214</v>
      </c>
    </row>
    <row r="412" spans="1:39" x14ac:dyDescent="0.2">
      <c r="A412" t="s">
        <v>700</v>
      </c>
      <c r="C412" s="5" t="s">
        <v>30</v>
      </c>
      <c r="D412" s="6" t="s">
        <v>221</v>
      </c>
      <c r="F412" s="29" t="s">
        <v>17</v>
      </c>
      <c r="G412" s="38" t="s">
        <v>25</v>
      </c>
      <c r="H412" s="31" t="s">
        <v>18</v>
      </c>
      <c r="J412" s="33"/>
      <c r="K412" t="s">
        <v>832</v>
      </c>
      <c r="L412" t="s">
        <v>700</v>
      </c>
      <c r="M412" s="35">
        <v>0.54</v>
      </c>
      <c r="N412" s="35">
        <v>0.53</v>
      </c>
      <c r="O412" s="32">
        <v>0.97</v>
      </c>
      <c r="AH412" s="5">
        <v>84</v>
      </c>
    </row>
    <row r="413" spans="1:39" x14ac:dyDescent="0.2">
      <c r="A413" t="s">
        <v>701</v>
      </c>
      <c r="C413" s="5" t="s">
        <v>64</v>
      </c>
      <c r="D413" s="5" t="s">
        <v>389</v>
      </c>
      <c r="E413" s="5"/>
      <c r="F413" s="29" t="s">
        <v>17</v>
      </c>
      <c r="G413" s="30"/>
      <c r="H413" s="31" t="s">
        <v>18</v>
      </c>
      <c r="J413" s="33"/>
      <c r="L413" t="s">
        <v>701</v>
      </c>
      <c r="M413" s="32">
        <v>0.53300000000000003</v>
      </c>
      <c r="N413" s="32">
        <v>0.63600000000000001</v>
      </c>
      <c r="O413" s="32">
        <v>1.4999999999999999E-2</v>
      </c>
      <c r="AH413" s="5">
        <v>12</v>
      </c>
    </row>
    <row r="414" spans="1:39" x14ac:dyDescent="0.2">
      <c r="A414" t="s">
        <v>702</v>
      </c>
      <c r="C414" s="5" t="s">
        <v>42</v>
      </c>
      <c r="D414" s="5" t="s">
        <v>238</v>
      </c>
      <c r="E414" s="5"/>
      <c r="F414" s="29" t="s">
        <v>17</v>
      </c>
      <c r="G414" s="30"/>
      <c r="H414" s="31" t="s">
        <v>18</v>
      </c>
      <c r="J414" s="33"/>
      <c r="L414" t="s">
        <v>702</v>
      </c>
      <c r="M414" s="32">
        <v>0.30099999999999999</v>
      </c>
      <c r="N414" s="32">
        <v>2.1999999999999999E-2</v>
      </c>
      <c r="O414" s="32">
        <v>0.93600000000000005</v>
      </c>
      <c r="AH414" s="5">
        <v>48</v>
      </c>
    </row>
    <row r="415" spans="1:39" x14ac:dyDescent="0.2">
      <c r="A415" t="s">
        <v>703</v>
      </c>
      <c r="C415" s="5" t="s">
        <v>95</v>
      </c>
      <c r="D415" s="5" t="s">
        <v>357</v>
      </c>
      <c r="E415" s="5"/>
      <c r="F415" s="29" t="s">
        <v>17</v>
      </c>
      <c r="G415" s="38" t="s">
        <v>25</v>
      </c>
      <c r="H415" s="34" t="s">
        <v>26</v>
      </c>
      <c r="J415" s="33"/>
      <c r="L415" t="s">
        <v>703</v>
      </c>
      <c r="M415" s="32">
        <v>0.19600000000000001</v>
      </c>
      <c r="N415" s="32">
        <v>0.21099999999999999</v>
      </c>
      <c r="O415" s="32">
        <v>0.70399999999999996</v>
      </c>
      <c r="AH415" s="5">
        <v>75</v>
      </c>
    </row>
    <row r="416" spans="1:39" x14ac:dyDescent="0.2">
      <c r="A416" t="s">
        <v>704</v>
      </c>
      <c r="C416" s="5" t="s">
        <v>23</v>
      </c>
      <c r="D416" s="5" t="s">
        <v>153</v>
      </c>
      <c r="E416" s="5"/>
      <c r="F416" s="29" t="s">
        <v>17</v>
      </c>
      <c r="G416" s="30"/>
      <c r="H416" s="31" t="s">
        <v>18</v>
      </c>
      <c r="J416" s="33"/>
      <c r="L416" t="s">
        <v>704</v>
      </c>
      <c r="M416" s="32">
        <v>0.59699999999999998</v>
      </c>
      <c r="N416" s="32">
        <v>3.1E-2</v>
      </c>
      <c r="O416" s="32">
        <v>0.95299999999999996</v>
      </c>
      <c r="AH416" s="5">
        <v>144</v>
      </c>
    </row>
    <row r="417" spans="1:39" x14ac:dyDescent="0.2">
      <c r="A417" t="s">
        <v>705</v>
      </c>
      <c r="C417" s="5" t="s">
        <v>30</v>
      </c>
      <c r="D417" s="6" t="s">
        <v>706</v>
      </c>
      <c r="F417" s="29" t="s">
        <v>17</v>
      </c>
      <c r="G417" s="38" t="s">
        <v>25</v>
      </c>
      <c r="H417" s="31" t="s">
        <v>18</v>
      </c>
      <c r="J417" s="33"/>
      <c r="K417" t="s">
        <v>832</v>
      </c>
      <c r="L417" t="s">
        <v>705</v>
      </c>
      <c r="M417" s="35">
        <v>0.38</v>
      </c>
      <c r="N417" s="35">
        <v>0.4</v>
      </c>
      <c r="O417" s="32">
        <v>0.84</v>
      </c>
      <c r="AH417" s="5">
        <v>21</v>
      </c>
    </row>
    <row r="418" spans="1:39" x14ac:dyDescent="0.2">
      <c r="A418" t="s">
        <v>707</v>
      </c>
      <c r="B418" s="5" t="s">
        <v>845</v>
      </c>
      <c r="C418" s="5" t="s">
        <v>15</v>
      </c>
      <c r="D418" s="6" t="s">
        <v>72</v>
      </c>
      <c r="F418" s="29" t="s">
        <v>17</v>
      </c>
      <c r="G418" s="38" t="s">
        <v>25</v>
      </c>
      <c r="H418" s="34" t="s">
        <v>26</v>
      </c>
      <c r="J418" s="33"/>
      <c r="K418" t="s">
        <v>898</v>
      </c>
      <c r="L418" t="s">
        <v>707</v>
      </c>
      <c r="M418" s="35">
        <v>0.09</v>
      </c>
      <c r="N418" s="35">
        <v>0.34</v>
      </c>
      <c r="O418" s="32">
        <v>0.59</v>
      </c>
      <c r="P418" t="s">
        <v>833</v>
      </c>
      <c r="R418" t="s">
        <v>834</v>
      </c>
      <c r="S418" t="s">
        <v>835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14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14</v>
      </c>
      <c r="AF418">
        <v>0</v>
      </c>
      <c r="AG418">
        <v>0</v>
      </c>
      <c r="AH418" s="5">
        <v>59</v>
      </c>
      <c r="AL418">
        <v>13</v>
      </c>
      <c r="AM418" s="36">
        <f>AL418/AH418</f>
        <v>0.22033898305084745</v>
      </c>
    </row>
    <row r="419" spans="1:39" x14ac:dyDescent="0.2">
      <c r="A419" t="s">
        <v>708</v>
      </c>
      <c r="C419" s="5" t="s">
        <v>30</v>
      </c>
      <c r="D419" s="6" t="s">
        <v>31</v>
      </c>
      <c r="F419" s="29" t="s">
        <v>17</v>
      </c>
      <c r="G419" s="38" t="s">
        <v>25</v>
      </c>
      <c r="H419" s="31" t="s">
        <v>18</v>
      </c>
      <c r="J419" s="33"/>
      <c r="K419" t="s">
        <v>832</v>
      </c>
      <c r="L419" t="s">
        <v>708</v>
      </c>
      <c r="M419" s="35">
        <v>0.76</v>
      </c>
      <c r="N419" s="35">
        <v>0.05</v>
      </c>
      <c r="O419" s="32">
        <v>1</v>
      </c>
      <c r="AH419" s="14"/>
    </row>
    <row r="420" spans="1:39" x14ac:dyDescent="0.2">
      <c r="A420" t="s">
        <v>709</v>
      </c>
      <c r="C420" s="5" t="s">
        <v>273</v>
      </c>
      <c r="D420" s="6" t="s">
        <v>221</v>
      </c>
      <c r="F420" s="29" t="s">
        <v>17</v>
      </c>
      <c r="G420" s="38" t="s">
        <v>25</v>
      </c>
      <c r="H420" s="31" t="s">
        <v>18</v>
      </c>
      <c r="J420" s="33"/>
      <c r="L420" t="s">
        <v>709</v>
      </c>
      <c r="M420" s="35">
        <v>0.54</v>
      </c>
      <c r="N420" s="35">
        <v>0.53</v>
      </c>
      <c r="O420" s="32">
        <v>0.97</v>
      </c>
      <c r="P420" t="s">
        <v>833</v>
      </c>
      <c r="Q420" t="s">
        <v>849</v>
      </c>
      <c r="R420" t="s">
        <v>834</v>
      </c>
      <c r="S420" t="s">
        <v>835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100</v>
      </c>
      <c r="AF420">
        <v>0</v>
      </c>
      <c r="AG420">
        <v>0</v>
      </c>
      <c r="AH420" s="5">
        <v>46</v>
      </c>
      <c r="AL420">
        <v>91</v>
      </c>
      <c r="AM420" s="36">
        <f>AL420/AH420</f>
        <v>1.9782608695652173</v>
      </c>
    </row>
    <row r="421" spans="1:39" x14ac:dyDescent="0.2">
      <c r="A421" t="s">
        <v>710</v>
      </c>
      <c r="C421" s="5" t="s">
        <v>273</v>
      </c>
      <c r="D421" s="6" t="s">
        <v>221</v>
      </c>
      <c r="F421" s="29" t="s">
        <v>17</v>
      </c>
      <c r="G421" s="38" t="s">
        <v>25</v>
      </c>
      <c r="H421" s="34" t="s">
        <v>18</v>
      </c>
      <c r="J421" s="33"/>
      <c r="L421" t="s">
        <v>710</v>
      </c>
      <c r="M421" s="35">
        <v>0.54</v>
      </c>
      <c r="N421" s="35">
        <v>0.53</v>
      </c>
      <c r="O421" s="32">
        <v>0.97</v>
      </c>
      <c r="P421" t="s">
        <v>833</v>
      </c>
      <c r="Q421" t="s">
        <v>849</v>
      </c>
      <c r="R421" t="s">
        <v>834</v>
      </c>
      <c r="S421" t="s">
        <v>835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100</v>
      </c>
      <c r="AF421">
        <v>0</v>
      </c>
      <c r="AG421">
        <v>0</v>
      </c>
      <c r="AH421" s="5">
        <v>45</v>
      </c>
      <c r="AL421">
        <v>91</v>
      </c>
      <c r="AM421" s="36">
        <f>AL421/AH421</f>
        <v>2.0222222222222221</v>
      </c>
    </row>
    <row r="422" spans="1:39" x14ac:dyDescent="0.2">
      <c r="A422" t="s">
        <v>711</v>
      </c>
      <c r="B422" s="5" t="s">
        <v>893</v>
      </c>
      <c r="C422" s="5" t="s">
        <v>95</v>
      </c>
      <c r="D422" s="6" t="s">
        <v>246</v>
      </c>
      <c r="F422" s="29" t="s">
        <v>17</v>
      </c>
      <c r="G422" s="30"/>
      <c r="H422" s="31" t="s">
        <v>18</v>
      </c>
      <c r="J422" s="33"/>
      <c r="K422" t="s">
        <v>842</v>
      </c>
      <c r="L422" t="s">
        <v>711</v>
      </c>
      <c r="M422" s="35">
        <v>0.51</v>
      </c>
      <c r="N422" s="35">
        <v>0.28999999999999998</v>
      </c>
      <c r="O422" s="32">
        <v>0.22</v>
      </c>
      <c r="P422" t="s">
        <v>833</v>
      </c>
      <c r="R422" t="s">
        <v>834</v>
      </c>
      <c r="S422" t="s">
        <v>835</v>
      </c>
      <c r="T422">
        <v>26</v>
      </c>
      <c r="U422">
        <v>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26</v>
      </c>
      <c r="AF422">
        <v>0</v>
      </c>
      <c r="AG422">
        <v>0</v>
      </c>
      <c r="AH422" s="5">
        <v>26</v>
      </c>
      <c r="AL422">
        <v>28</v>
      </c>
      <c r="AM422" s="36">
        <f>AL422/AH422</f>
        <v>1.0769230769230769</v>
      </c>
    </row>
    <row r="423" spans="1:39" x14ac:dyDescent="0.2">
      <c r="A423" t="s">
        <v>712</v>
      </c>
      <c r="C423" s="5" t="s">
        <v>23</v>
      </c>
      <c r="D423" s="5" t="s">
        <v>713</v>
      </c>
      <c r="E423" s="5"/>
      <c r="F423" s="29" t="s">
        <v>17</v>
      </c>
      <c r="G423" s="30"/>
      <c r="H423" s="34" t="s">
        <v>26</v>
      </c>
      <c r="J423" s="33"/>
      <c r="L423" t="s">
        <v>712</v>
      </c>
      <c r="M423" s="32">
        <v>1</v>
      </c>
      <c r="N423" s="32">
        <v>0.26300000000000001</v>
      </c>
      <c r="O423" s="32">
        <v>0.68400000000000005</v>
      </c>
      <c r="AH423" s="5">
        <v>36</v>
      </c>
    </row>
    <row r="424" spans="1:39" x14ac:dyDescent="0.2">
      <c r="A424" t="s">
        <v>714</v>
      </c>
      <c r="C424" s="5" t="s">
        <v>103</v>
      </c>
      <c r="D424" s="5" t="s">
        <v>162</v>
      </c>
      <c r="E424" s="5"/>
      <c r="F424" s="29" t="s">
        <v>17</v>
      </c>
      <c r="G424" s="30"/>
      <c r="H424" s="34" t="s">
        <v>26</v>
      </c>
      <c r="J424" s="33"/>
      <c r="L424" t="s">
        <v>714</v>
      </c>
      <c r="M424" s="32">
        <v>0.69799999999999995</v>
      </c>
      <c r="N424" s="32">
        <v>0.28999999999999998</v>
      </c>
      <c r="O424" s="32">
        <v>0.60299999999999998</v>
      </c>
      <c r="AH424" s="5">
        <v>94</v>
      </c>
    </row>
    <row r="425" spans="1:39" x14ac:dyDescent="0.2">
      <c r="A425" t="s">
        <v>715</v>
      </c>
      <c r="C425" s="5" t="s">
        <v>225</v>
      </c>
      <c r="D425" s="5" t="s">
        <v>716</v>
      </c>
      <c r="E425" s="5"/>
      <c r="F425" s="29" t="s">
        <v>17</v>
      </c>
      <c r="G425" s="30"/>
      <c r="H425" s="34" t="s">
        <v>26</v>
      </c>
      <c r="J425" s="33"/>
      <c r="L425" t="s">
        <v>715</v>
      </c>
      <c r="M425" s="32">
        <v>0.38500000000000001</v>
      </c>
      <c r="N425" s="32">
        <v>0.80500000000000005</v>
      </c>
      <c r="O425" s="32">
        <v>0.372</v>
      </c>
      <c r="AH425" s="5">
        <v>125</v>
      </c>
    </row>
    <row r="426" spans="1:39" x14ac:dyDescent="0.2">
      <c r="A426" t="s">
        <v>717</v>
      </c>
      <c r="C426" s="5" t="s">
        <v>718</v>
      </c>
      <c r="D426" s="5" t="s">
        <v>719</v>
      </c>
      <c r="E426" s="5"/>
      <c r="F426" s="29" t="s">
        <v>17</v>
      </c>
      <c r="G426" s="30"/>
      <c r="H426" s="31" t="s">
        <v>18</v>
      </c>
      <c r="J426" s="33"/>
      <c r="L426" t="s">
        <v>717</v>
      </c>
      <c r="M426" s="32">
        <v>0.59099999999999997</v>
      </c>
      <c r="N426" s="32">
        <v>0.49399999999999999</v>
      </c>
      <c r="O426" s="32">
        <v>0.154</v>
      </c>
      <c r="AH426" s="5">
        <v>23</v>
      </c>
    </row>
    <row r="427" spans="1:39" x14ac:dyDescent="0.2">
      <c r="A427" t="s">
        <v>720</v>
      </c>
      <c r="C427" s="5" t="s">
        <v>15</v>
      </c>
      <c r="D427" s="6" t="s">
        <v>160</v>
      </c>
      <c r="F427" s="29" t="s">
        <v>17</v>
      </c>
      <c r="G427" s="30" t="s">
        <v>25</v>
      </c>
      <c r="H427" s="34" t="s">
        <v>26</v>
      </c>
      <c r="J427" s="33"/>
      <c r="L427" t="s">
        <v>720</v>
      </c>
      <c r="M427" s="35">
        <v>1</v>
      </c>
      <c r="N427" s="35">
        <v>0.21</v>
      </c>
      <c r="O427" s="32">
        <v>0.93</v>
      </c>
      <c r="AH427" s="5" t="s">
        <v>721</v>
      </c>
    </row>
    <row r="428" spans="1:39" x14ac:dyDescent="0.2">
      <c r="A428" t="s">
        <v>722</v>
      </c>
      <c r="C428" s="5" t="s">
        <v>52</v>
      </c>
      <c r="D428" s="5" t="s">
        <v>479</v>
      </c>
      <c r="E428" s="5"/>
      <c r="F428" s="29" t="s">
        <v>17</v>
      </c>
      <c r="G428" s="30"/>
      <c r="H428" s="31" t="s">
        <v>18</v>
      </c>
      <c r="J428" s="33"/>
      <c r="L428" t="s">
        <v>722</v>
      </c>
      <c r="M428" s="32">
        <v>0.82899999999999996</v>
      </c>
      <c r="N428" s="32">
        <v>0.34399999999999997</v>
      </c>
      <c r="O428" s="32">
        <v>0.68200000000000005</v>
      </c>
      <c r="AH428" s="5">
        <v>12</v>
      </c>
    </row>
    <row r="429" spans="1:39" x14ac:dyDescent="0.2">
      <c r="A429" t="s">
        <v>723</v>
      </c>
      <c r="C429" s="5" t="s">
        <v>15</v>
      </c>
      <c r="D429" s="5" t="s">
        <v>606</v>
      </c>
      <c r="E429" s="5"/>
      <c r="F429" s="29" t="s">
        <v>17</v>
      </c>
      <c r="G429" s="30"/>
      <c r="H429" s="34" t="s">
        <v>26</v>
      </c>
      <c r="J429" s="33"/>
      <c r="L429" t="s">
        <v>723</v>
      </c>
      <c r="M429" s="32">
        <v>0.85899999999999999</v>
      </c>
      <c r="N429" s="32">
        <v>8.5999999999999993E-2</v>
      </c>
      <c r="O429" s="32">
        <v>0.223</v>
      </c>
      <c r="AH429" s="5">
        <v>6</v>
      </c>
    </row>
    <row r="430" spans="1:39" x14ac:dyDescent="0.2">
      <c r="A430" t="s">
        <v>724</v>
      </c>
      <c r="C430" s="5" t="s">
        <v>42</v>
      </c>
      <c r="D430" s="5" t="s">
        <v>725</v>
      </c>
      <c r="E430" s="5"/>
      <c r="F430" s="29" t="s">
        <v>17</v>
      </c>
      <c r="G430" s="30"/>
      <c r="H430" s="31" t="s">
        <v>18</v>
      </c>
      <c r="J430" s="33"/>
      <c r="L430" t="s">
        <v>724</v>
      </c>
      <c r="M430" s="32">
        <v>0.751</v>
      </c>
      <c r="N430" s="32">
        <v>0.17299999999999999</v>
      </c>
      <c r="O430" s="32">
        <v>0.79</v>
      </c>
      <c r="AH430" s="5">
        <v>114</v>
      </c>
    </row>
    <row r="431" spans="1:39" x14ac:dyDescent="0.2">
      <c r="A431" t="s">
        <v>726</v>
      </c>
      <c r="C431" s="5" t="s">
        <v>30</v>
      </c>
      <c r="D431" s="5" t="s">
        <v>727</v>
      </c>
      <c r="E431" s="5"/>
      <c r="F431" s="29" t="s">
        <v>17</v>
      </c>
      <c r="G431" s="38" t="s">
        <v>25</v>
      </c>
      <c r="H431" s="31" t="s">
        <v>18</v>
      </c>
      <c r="J431" s="33"/>
      <c r="L431" t="s">
        <v>899</v>
      </c>
      <c r="M431" s="32">
        <v>0.54400000000000004</v>
      </c>
      <c r="N431" s="32">
        <v>0.88900000000000001</v>
      </c>
      <c r="O431" s="32">
        <v>0.28599999999999998</v>
      </c>
      <c r="AH431" s="5">
        <v>24</v>
      </c>
    </row>
    <row r="432" spans="1:39" x14ac:dyDescent="0.2">
      <c r="A432" t="s">
        <v>728</v>
      </c>
      <c r="C432" s="5" t="s">
        <v>68</v>
      </c>
      <c r="D432" s="6" t="s">
        <v>729</v>
      </c>
      <c r="F432" s="29" t="s">
        <v>17</v>
      </c>
      <c r="G432" s="38" t="s">
        <v>25</v>
      </c>
      <c r="H432" s="31" t="s">
        <v>18</v>
      </c>
      <c r="J432" s="33"/>
      <c r="L432" t="s">
        <v>728</v>
      </c>
      <c r="M432" s="35">
        <v>0.92</v>
      </c>
      <c r="N432" s="35">
        <v>0.05</v>
      </c>
      <c r="O432" s="32">
        <v>0.96</v>
      </c>
      <c r="AH432" s="5">
        <v>54</v>
      </c>
    </row>
    <row r="433" spans="1:39" x14ac:dyDescent="0.2">
      <c r="A433" t="s">
        <v>730</v>
      </c>
      <c r="C433" s="5" t="s">
        <v>95</v>
      </c>
      <c r="D433" s="5" t="s">
        <v>731</v>
      </c>
      <c r="E433" s="5"/>
      <c r="F433" s="29" t="s">
        <v>17</v>
      </c>
      <c r="G433" s="30"/>
      <c r="H433" s="31" t="s">
        <v>18</v>
      </c>
      <c r="J433" s="33"/>
      <c r="L433" t="s">
        <v>730</v>
      </c>
      <c r="M433" s="32">
        <v>0.307</v>
      </c>
      <c r="N433" s="32">
        <v>0.79300000000000004</v>
      </c>
      <c r="O433" s="32">
        <v>0.435</v>
      </c>
      <c r="AH433" s="5">
        <v>5</v>
      </c>
    </row>
    <row r="434" spans="1:39" x14ac:dyDescent="0.2">
      <c r="A434" t="s">
        <v>732</v>
      </c>
      <c r="C434" s="5" t="s">
        <v>610</v>
      </c>
      <c r="D434" s="5" t="s">
        <v>611</v>
      </c>
      <c r="E434" s="5"/>
      <c r="F434" s="29" t="s">
        <v>17</v>
      </c>
      <c r="G434" s="38" t="s">
        <v>25</v>
      </c>
      <c r="H434" s="34" t="s">
        <v>26</v>
      </c>
      <c r="J434" s="33"/>
      <c r="L434" t="s">
        <v>900</v>
      </c>
      <c r="M434" s="32">
        <v>0.251</v>
      </c>
      <c r="N434" s="32">
        <v>0.66400000000000003</v>
      </c>
      <c r="O434" s="32">
        <v>0.49299999999999999</v>
      </c>
      <c r="AH434" s="5">
        <v>66</v>
      </c>
    </row>
    <row r="435" spans="1:39" x14ac:dyDescent="0.2">
      <c r="A435" t="s">
        <v>733</v>
      </c>
      <c r="C435" s="5" t="s">
        <v>225</v>
      </c>
      <c r="D435" s="6" t="s">
        <v>226</v>
      </c>
      <c r="F435" s="29" t="s">
        <v>17</v>
      </c>
      <c r="G435" s="38" t="s">
        <v>25</v>
      </c>
      <c r="H435" s="31" t="s">
        <v>18</v>
      </c>
      <c r="J435" s="33"/>
      <c r="K435" t="s">
        <v>837</v>
      </c>
      <c r="L435" t="s">
        <v>733</v>
      </c>
      <c r="M435" s="35">
        <v>0.44</v>
      </c>
      <c r="N435" s="35">
        <v>0.8</v>
      </c>
      <c r="O435" s="32">
        <v>0.31</v>
      </c>
      <c r="P435" t="s">
        <v>833</v>
      </c>
      <c r="R435" t="s">
        <v>834</v>
      </c>
      <c r="S435" t="s">
        <v>835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</v>
      </c>
      <c r="AF435">
        <v>0</v>
      </c>
      <c r="AG435">
        <v>0</v>
      </c>
      <c r="AH435" s="5">
        <v>75</v>
      </c>
      <c r="AL435">
        <v>2</v>
      </c>
      <c r="AM435" s="36">
        <f>AL435/AH435</f>
        <v>2.6666666666666668E-2</v>
      </c>
    </row>
    <row r="436" spans="1:39" x14ac:dyDescent="0.2">
      <c r="A436" t="s">
        <v>734</v>
      </c>
      <c r="C436" s="5" t="s">
        <v>30</v>
      </c>
      <c r="D436" s="5" t="s">
        <v>221</v>
      </c>
      <c r="E436" s="5"/>
      <c r="F436" s="29" t="s">
        <v>17</v>
      </c>
      <c r="G436" s="38" t="s">
        <v>25</v>
      </c>
      <c r="H436" s="34" t="s">
        <v>18</v>
      </c>
      <c r="J436" s="33"/>
      <c r="L436" t="s">
        <v>734</v>
      </c>
      <c r="M436" s="32">
        <v>0.54200000000000004</v>
      </c>
      <c r="N436" s="32">
        <v>0.52600000000000002</v>
      </c>
      <c r="O436" s="32">
        <v>0.97099999999999997</v>
      </c>
      <c r="AH436" s="5">
        <v>149</v>
      </c>
    </row>
    <row r="437" spans="1:39" x14ac:dyDescent="0.2">
      <c r="A437" t="s">
        <v>735</v>
      </c>
      <c r="B437" s="5" t="s">
        <v>893</v>
      </c>
      <c r="C437" s="5" t="s">
        <v>95</v>
      </c>
      <c r="D437" s="6" t="s">
        <v>549</v>
      </c>
      <c r="F437" s="29" t="s">
        <v>17</v>
      </c>
      <c r="G437" s="38" t="s">
        <v>25</v>
      </c>
      <c r="H437" s="31" t="s">
        <v>18</v>
      </c>
      <c r="J437" s="33"/>
      <c r="K437" t="s">
        <v>842</v>
      </c>
      <c r="L437" t="s">
        <v>735</v>
      </c>
      <c r="M437" s="35">
        <v>0.38</v>
      </c>
      <c r="N437" s="35">
        <v>0.26</v>
      </c>
      <c r="O437" s="32">
        <v>0.69</v>
      </c>
      <c r="P437" t="s">
        <v>833</v>
      </c>
      <c r="R437" t="s">
        <v>834</v>
      </c>
      <c r="S437" t="s">
        <v>835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19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19</v>
      </c>
      <c r="AF437">
        <v>0</v>
      </c>
      <c r="AG437">
        <v>0</v>
      </c>
      <c r="AH437" s="14"/>
      <c r="AI437" s="5">
        <v>19</v>
      </c>
      <c r="AL437">
        <v>19</v>
      </c>
      <c r="AM437" s="36" t="e">
        <f>AL437/AH437</f>
        <v>#DIV/0!</v>
      </c>
    </row>
    <row r="438" spans="1:39" x14ac:dyDescent="0.2">
      <c r="A438" t="s">
        <v>736</v>
      </c>
      <c r="C438" s="5" t="s">
        <v>15</v>
      </c>
      <c r="D438" s="5" t="s">
        <v>134</v>
      </c>
      <c r="E438" s="5"/>
      <c r="F438" s="29" t="s">
        <v>17</v>
      </c>
      <c r="G438" s="30" t="s">
        <v>25</v>
      </c>
      <c r="H438" s="34" t="s">
        <v>26</v>
      </c>
      <c r="I438" s="7" t="s">
        <v>105</v>
      </c>
      <c r="J438" s="33"/>
      <c r="L438" t="s">
        <v>901</v>
      </c>
      <c r="M438" s="32">
        <v>0.40300000000000002</v>
      </c>
      <c r="N438" s="32">
        <v>0.17899999999999999</v>
      </c>
      <c r="O438" s="32">
        <v>0.19600000000000001</v>
      </c>
      <c r="AH438" s="5">
        <v>99</v>
      </c>
    </row>
    <row r="439" spans="1:39" x14ac:dyDescent="0.2">
      <c r="A439" t="s">
        <v>737</v>
      </c>
      <c r="C439" s="5" t="s">
        <v>400</v>
      </c>
      <c r="D439" s="5" t="s">
        <v>738</v>
      </c>
      <c r="E439" s="5"/>
      <c r="F439" s="29" t="s">
        <v>17</v>
      </c>
      <c r="G439" s="30"/>
      <c r="H439" s="31" t="s">
        <v>18</v>
      </c>
      <c r="J439" s="33"/>
      <c r="L439" t="s">
        <v>737</v>
      </c>
      <c r="M439" s="32">
        <v>0.54</v>
      </c>
      <c r="N439" s="32">
        <v>0.36299999999999999</v>
      </c>
      <c r="O439" s="32">
        <v>0.124</v>
      </c>
      <c r="AH439" s="5">
        <v>100</v>
      </c>
    </row>
    <row r="440" spans="1:39" x14ac:dyDescent="0.2">
      <c r="A440" t="s">
        <v>739</v>
      </c>
      <c r="C440" s="5" t="s">
        <v>183</v>
      </c>
      <c r="D440" s="5" t="s">
        <v>202</v>
      </c>
      <c r="E440" s="5"/>
      <c r="F440" s="29" t="s">
        <v>17</v>
      </c>
      <c r="G440" s="30"/>
      <c r="H440" s="31" t="s">
        <v>18</v>
      </c>
      <c r="J440" s="33"/>
      <c r="L440" t="s">
        <v>739</v>
      </c>
      <c r="M440" s="32">
        <v>0.754</v>
      </c>
      <c r="N440" s="32">
        <v>7.2999999999999995E-2</v>
      </c>
      <c r="O440" s="32">
        <v>0.90900000000000003</v>
      </c>
      <c r="AH440" s="5">
        <v>4</v>
      </c>
    </row>
    <row r="441" spans="1:39" x14ac:dyDescent="0.2">
      <c r="A441" t="s">
        <v>740</v>
      </c>
      <c r="C441" s="5" t="s">
        <v>15</v>
      </c>
      <c r="D441" s="6" t="s">
        <v>134</v>
      </c>
      <c r="F441" s="29" t="s">
        <v>17</v>
      </c>
      <c r="G441" s="38" t="s">
        <v>25</v>
      </c>
      <c r="H441" s="31" t="s">
        <v>18</v>
      </c>
      <c r="J441" s="33"/>
      <c r="L441" t="s">
        <v>902</v>
      </c>
      <c r="M441" s="35">
        <v>0.4</v>
      </c>
      <c r="N441" s="35">
        <v>0.18</v>
      </c>
      <c r="O441" s="32">
        <v>0.2</v>
      </c>
      <c r="AH441" s="5">
        <v>59</v>
      </c>
    </row>
    <row r="442" spans="1:39" x14ac:dyDescent="0.2">
      <c r="A442" t="s">
        <v>741</v>
      </c>
      <c r="C442" s="5" t="s">
        <v>15</v>
      </c>
      <c r="D442" s="5" t="s">
        <v>100</v>
      </c>
      <c r="E442" s="5"/>
      <c r="F442" s="29" t="s">
        <v>17</v>
      </c>
      <c r="G442" s="30"/>
      <c r="H442" s="34" t="s">
        <v>26</v>
      </c>
      <c r="J442" s="33"/>
      <c r="L442" t="s">
        <v>741</v>
      </c>
      <c r="M442" s="32">
        <v>0.53</v>
      </c>
      <c r="N442" s="32">
        <v>0.19900000000000001</v>
      </c>
      <c r="O442" s="32">
        <v>0.89</v>
      </c>
      <c r="AH442" s="5">
        <v>21</v>
      </c>
    </row>
    <row r="443" spans="1:39" x14ac:dyDescent="0.2">
      <c r="A443" t="s">
        <v>742</v>
      </c>
      <c r="C443" s="5" t="s">
        <v>225</v>
      </c>
      <c r="D443" s="6" t="s">
        <v>716</v>
      </c>
      <c r="F443" s="29" t="s">
        <v>17</v>
      </c>
      <c r="G443" s="38" t="s">
        <v>25</v>
      </c>
      <c r="H443" s="31" t="s">
        <v>18</v>
      </c>
      <c r="J443" s="33"/>
      <c r="L443" t="s">
        <v>742</v>
      </c>
      <c r="M443" s="35">
        <v>0.39</v>
      </c>
      <c r="N443" s="35">
        <v>0.81</v>
      </c>
      <c r="O443" s="32">
        <v>0.37</v>
      </c>
      <c r="AH443" s="5">
        <v>124</v>
      </c>
    </row>
    <row r="444" spans="1:39" x14ac:dyDescent="0.2">
      <c r="A444" t="s">
        <v>743</v>
      </c>
      <c r="C444" s="5" t="s">
        <v>64</v>
      </c>
      <c r="D444" s="6" t="s">
        <v>744</v>
      </c>
      <c r="F444" s="29" t="s">
        <v>17</v>
      </c>
      <c r="G444" s="38" t="s">
        <v>25</v>
      </c>
      <c r="H444" s="34" t="s">
        <v>26</v>
      </c>
      <c r="J444" s="33"/>
      <c r="L444" t="s">
        <v>743</v>
      </c>
      <c r="M444" s="35">
        <v>0.56000000000000005</v>
      </c>
      <c r="N444" s="35">
        <v>0.59</v>
      </c>
      <c r="O444" s="32">
        <v>0.34</v>
      </c>
      <c r="AH444" s="5">
        <v>105</v>
      </c>
    </row>
    <row r="445" spans="1:39" x14ac:dyDescent="0.2">
      <c r="A445" t="s">
        <v>745</v>
      </c>
      <c r="C445" s="5" t="s">
        <v>15</v>
      </c>
      <c r="D445" s="5" t="s">
        <v>333</v>
      </c>
      <c r="E445" s="5"/>
      <c r="F445" s="29" t="s">
        <v>17</v>
      </c>
      <c r="G445" s="30"/>
      <c r="H445" s="31" t="s">
        <v>18</v>
      </c>
      <c r="J445" s="33"/>
      <c r="L445" t="s">
        <v>745</v>
      </c>
      <c r="M445" s="32">
        <v>0.79200000000000004</v>
      </c>
      <c r="N445" s="32">
        <v>6.8000000000000005E-2</v>
      </c>
      <c r="O445" s="32">
        <v>0.75600000000000001</v>
      </c>
      <c r="AH445" s="5">
        <v>91</v>
      </c>
    </row>
    <row r="446" spans="1:39" x14ac:dyDescent="0.2">
      <c r="A446" t="s">
        <v>746</v>
      </c>
      <c r="C446" s="5" t="s">
        <v>90</v>
      </c>
      <c r="D446" s="6" t="s">
        <v>747</v>
      </c>
      <c r="F446" s="29" t="s">
        <v>17</v>
      </c>
      <c r="G446" s="38" t="s">
        <v>25</v>
      </c>
      <c r="H446" s="34" t="s">
        <v>26</v>
      </c>
      <c r="J446" s="33"/>
      <c r="L446" t="s">
        <v>746</v>
      </c>
      <c r="M446" s="35">
        <v>0.94</v>
      </c>
      <c r="N446" s="35">
        <v>0.41</v>
      </c>
      <c r="O446" s="32">
        <v>0.09</v>
      </c>
      <c r="AH446" s="5">
        <v>120</v>
      </c>
    </row>
    <row r="447" spans="1:39" x14ac:dyDescent="0.2">
      <c r="A447" t="s">
        <v>748</v>
      </c>
      <c r="C447" s="5" t="s">
        <v>148</v>
      </c>
      <c r="D447" s="5" t="s">
        <v>749</v>
      </c>
      <c r="E447" s="5"/>
      <c r="F447" s="29" t="s">
        <v>17</v>
      </c>
      <c r="G447" s="30"/>
      <c r="H447" s="34" t="s">
        <v>26</v>
      </c>
      <c r="J447" s="33"/>
      <c r="L447" t="s">
        <v>748</v>
      </c>
      <c r="M447" s="32">
        <v>0.51800000000000002</v>
      </c>
      <c r="N447" s="32">
        <v>0.86</v>
      </c>
      <c r="O447" s="32">
        <v>0.159</v>
      </c>
      <c r="AH447" s="5">
        <v>70</v>
      </c>
    </row>
    <row r="448" spans="1:39" x14ac:dyDescent="0.2">
      <c r="A448" t="s">
        <v>750</v>
      </c>
      <c r="C448" s="5" t="s">
        <v>42</v>
      </c>
      <c r="D448" s="6" t="s">
        <v>751</v>
      </c>
      <c r="F448" s="29" t="s">
        <v>17</v>
      </c>
      <c r="G448" s="38" t="s">
        <v>25</v>
      </c>
      <c r="H448" s="31" t="s">
        <v>18</v>
      </c>
      <c r="J448" s="33"/>
      <c r="L448" t="s">
        <v>750</v>
      </c>
      <c r="M448" s="35">
        <v>0.55000000000000004</v>
      </c>
      <c r="N448" s="35">
        <v>0.67</v>
      </c>
      <c r="O448" s="32">
        <v>0.53</v>
      </c>
      <c r="AH448" s="5">
        <v>40</v>
      </c>
    </row>
    <row r="449" spans="1:39" x14ac:dyDescent="0.2">
      <c r="A449" t="s">
        <v>752</v>
      </c>
      <c r="C449" s="5" t="s">
        <v>58</v>
      </c>
      <c r="D449" s="6" t="s">
        <v>151</v>
      </c>
      <c r="F449" s="29" t="s">
        <v>17</v>
      </c>
      <c r="G449" s="38" t="s">
        <v>25</v>
      </c>
      <c r="H449" s="31" t="s">
        <v>18</v>
      </c>
      <c r="J449" s="33"/>
      <c r="L449" t="s">
        <v>752</v>
      </c>
      <c r="M449" s="35">
        <v>0.56999999999999995</v>
      </c>
      <c r="N449" s="35">
        <v>0.2</v>
      </c>
      <c r="O449" s="32">
        <v>0.4</v>
      </c>
      <c r="AH449" s="5">
        <v>185</v>
      </c>
    </row>
    <row r="450" spans="1:39" x14ac:dyDescent="0.2">
      <c r="A450" t="s">
        <v>753</v>
      </c>
      <c r="C450" s="5" t="s">
        <v>20</v>
      </c>
      <c r="D450" s="5" t="s">
        <v>78</v>
      </c>
      <c r="E450" s="5"/>
      <c r="F450" s="29" t="s">
        <v>17</v>
      </c>
      <c r="G450" s="30"/>
      <c r="H450" s="31" t="s">
        <v>18</v>
      </c>
      <c r="J450" s="33"/>
      <c r="L450" t="s">
        <v>753</v>
      </c>
      <c r="M450" s="32">
        <v>0.495</v>
      </c>
      <c r="N450" s="32">
        <v>3.2000000000000001E-2</v>
      </c>
      <c r="O450" s="32">
        <v>0.88900000000000001</v>
      </c>
      <c r="AH450" s="5">
        <v>5</v>
      </c>
    </row>
    <row r="451" spans="1:39" x14ac:dyDescent="0.2">
      <c r="A451" t="s">
        <v>754</v>
      </c>
      <c r="C451" s="5" t="s">
        <v>95</v>
      </c>
      <c r="D451" s="5" t="s">
        <v>755</v>
      </c>
      <c r="E451" s="5"/>
      <c r="F451" s="29" t="s">
        <v>17</v>
      </c>
      <c r="G451" s="30"/>
      <c r="H451" s="31" t="s">
        <v>18</v>
      </c>
      <c r="J451" s="33"/>
      <c r="L451" t="s">
        <v>754</v>
      </c>
      <c r="M451" s="32">
        <v>0.318</v>
      </c>
      <c r="N451" s="32">
        <v>0.60399999999999998</v>
      </c>
      <c r="O451" s="32">
        <v>0.68899999999999995</v>
      </c>
      <c r="AH451" s="5">
        <v>7</v>
      </c>
    </row>
    <row r="452" spans="1:39" x14ac:dyDescent="0.2">
      <c r="A452" t="s">
        <v>756</v>
      </c>
      <c r="C452" s="5" t="s">
        <v>95</v>
      </c>
      <c r="D452" s="6" t="s">
        <v>755</v>
      </c>
      <c r="F452" s="29" t="s">
        <v>17</v>
      </c>
      <c r="G452" s="38" t="s">
        <v>25</v>
      </c>
      <c r="H452" s="34" t="s">
        <v>18</v>
      </c>
      <c r="J452" s="33"/>
      <c r="L452" t="s">
        <v>756</v>
      </c>
      <c r="M452" s="35">
        <v>0.32</v>
      </c>
      <c r="N452" s="35">
        <v>0.6</v>
      </c>
      <c r="O452" s="32">
        <v>0.69</v>
      </c>
      <c r="AH452" s="5">
        <v>22</v>
      </c>
    </row>
    <row r="453" spans="1:39" x14ac:dyDescent="0.2">
      <c r="A453" t="s">
        <v>757</v>
      </c>
      <c r="C453" s="5" t="s">
        <v>64</v>
      </c>
      <c r="D453" s="5" t="s">
        <v>65</v>
      </c>
      <c r="E453" s="5"/>
      <c r="F453" s="29" t="s">
        <v>17</v>
      </c>
      <c r="G453" s="38" t="s">
        <v>25</v>
      </c>
      <c r="H453" s="31" t="s">
        <v>18</v>
      </c>
      <c r="J453" s="33"/>
      <c r="L453" t="s">
        <v>757</v>
      </c>
      <c r="M453" s="32">
        <v>0.86499999999999999</v>
      </c>
      <c r="N453" s="32">
        <v>0.32800000000000001</v>
      </c>
      <c r="O453" s="32">
        <v>0.88300000000000001</v>
      </c>
      <c r="AH453" s="5">
        <v>47</v>
      </c>
    </row>
    <row r="454" spans="1:39" x14ac:dyDescent="0.2">
      <c r="A454" t="s">
        <v>758</v>
      </c>
      <c r="C454" s="5" t="s">
        <v>42</v>
      </c>
      <c r="D454" s="6" t="s">
        <v>558</v>
      </c>
      <c r="F454" s="29" t="s">
        <v>17</v>
      </c>
      <c r="G454" s="38" t="s">
        <v>25</v>
      </c>
      <c r="H454" s="31" t="s">
        <v>18</v>
      </c>
      <c r="J454" s="33"/>
      <c r="L454" t="s">
        <v>758</v>
      </c>
      <c r="M454" s="35">
        <v>0.19</v>
      </c>
      <c r="N454" s="35">
        <v>0.05</v>
      </c>
      <c r="O454" s="32">
        <v>0.78</v>
      </c>
      <c r="AH454" s="5">
        <v>500</v>
      </c>
    </row>
    <row r="455" spans="1:39" x14ac:dyDescent="0.2">
      <c r="A455" t="s">
        <v>759</v>
      </c>
      <c r="C455" s="5" t="s">
        <v>23</v>
      </c>
      <c r="D455" s="6" t="s">
        <v>391</v>
      </c>
      <c r="F455" s="29" t="s">
        <v>17</v>
      </c>
      <c r="G455" s="38" t="s">
        <v>25</v>
      </c>
      <c r="H455" s="31" t="s">
        <v>18</v>
      </c>
      <c r="J455" s="33"/>
      <c r="K455" t="s">
        <v>847</v>
      </c>
      <c r="L455" t="s">
        <v>759</v>
      </c>
      <c r="M455" s="35">
        <v>0.13</v>
      </c>
      <c r="N455" s="35">
        <v>0.23</v>
      </c>
      <c r="O455" s="32">
        <v>0.8</v>
      </c>
      <c r="AH455" s="5">
        <v>46</v>
      </c>
    </row>
    <row r="456" spans="1:39" x14ac:dyDescent="0.2">
      <c r="A456" t="s">
        <v>760</v>
      </c>
      <c r="C456" s="5" t="s">
        <v>15</v>
      </c>
      <c r="D456" s="5" t="s">
        <v>28</v>
      </c>
      <c r="E456" s="5"/>
      <c r="F456" s="29" t="s">
        <v>17</v>
      </c>
      <c r="G456" s="30"/>
      <c r="H456" s="31" t="s">
        <v>18</v>
      </c>
      <c r="J456" s="33"/>
      <c r="L456" t="s">
        <v>760</v>
      </c>
      <c r="M456" s="32">
        <v>0.76200000000000001</v>
      </c>
      <c r="N456" s="32">
        <v>0.01</v>
      </c>
      <c r="O456" s="32">
        <v>0.95799999999999996</v>
      </c>
      <c r="AH456" s="5">
        <v>64</v>
      </c>
    </row>
    <row r="457" spans="1:39" x14ac:dyDescent="0.2">
      <c r="A457" t="s">
        <v>761</v>
      </c>
      <c r="C457" s="5" t="s">
        <v>136</v>
      </c>
      <c r="D457" s="6" t="s">
        <v>411</v>
      </c>
      <c r="F457" s="29" t="s">
        <v>17</v>
      </c>
      <c r="G457" s="38" t="s">
        <v>25</v>
      </c>
      <c r="H457" s="31" t="s">
        <v>18</v>
      </c>
      <c r="J457" s="33"/>
      <c r="L457" t="s">
        <v>903</v>
      </c>
      <c r="M457" s="35">
        <v>0.43</v>
      </c>
      <c r="N457" s="35">
        <v>0.38</v>
      </c>
      <c r="O457" s="32">
        <v>0.33</v>
      </c>
      <c r="AH457" s="5">
        <v>149</v>
      </c>
    </row>
    <row r="458" spans="1:39" x14ac:dyDescent="0.2">
      <c r="A458" t="s">
        <v>762</v>
      </c>
      <c r="C458" s="5" t="s">
        <v>183</v>
      </c>
      <c r="D458" s="5" t="s">
        <v>202</v>
      </c>
      <c r="E458" s="5"/>
      <c r="F458" s="29" t="s">
        <v>17</v>
      </c>
      <c r="G458" s="30" t="s">
        <v>25</v>
      </c>
      <c r="H458" s="34" t="s">
        <v>39</v>
      </c>
      <c r="I458" s="7" t="s">
        <v>18</v>
      </c>
      <c r="J458" s="33"/>
      <c r="L458" t="s">
        <v>762</v>
      </c>
      <c r="M458" s="32">
        <v>0.754</v>
      </c>
      <c r="N458" s="32">
        <v>7.2999999999999995E-2</v>
      </c>
      <c r="O458" s="32">
        <v>0.90900000000000003</v>
      </c>
      <c r="AH458" s="14" t="s">
        <v>763</v>
      </c>
    </row>
    <row r="459" spans="1:39" x14ac:dyDescent="0.2">
      <c r="A459" t="s">
        <v>764</v>
      </c>
      <c r="C459" s="5" t="s">
        <v>183</v>
      </c>
      <c r="D459" s="6" t="s">
        <v>278</v>
      </c>
      <c r="F459" s="29" t="s">
        <v>17</v>
      </c>
      <c r="G459" s="38" t="s">
        <v>25</v>
      </c>
      <c r="H459" s="34" t="s">
        <v>26</v>
      </c>
      <c r="J459" s="33"/>
      <c r="L459" t="s">
        <v>764</v>
      </c>
      <c r="M459" s="35">
        <v>0.77</v>
      </c>
      <c r="N459" s="35">
        <v>0</v>
      </c>
      <c r="O459" s="32">
        <v>0.98</v>
      </c>
      <c r="AH459" s="5">
        <v>91</v>
      </c>
    </row>
    <row r="460" spans="1:39" x14ac:dyDescent="0.2">
      <c r="A460" t="s">
        <v>765</v>
      </c>
      <c r="C460" s="5" t="s">
        <v>15</v>
      </c>
      <c r="D460" s="23" t="s">
        <v>766</v>
      </c>
      <c r="E460" s="23"/>
      <c r="F460" s="29" t="s">
        <v>17</v>
      </c>
      <c r="G460" s="38" t="s">
        <v>25</v>
      </c>
      <c r="H460" s="31" t="s">
        <v>18</v>
      </c>
      <c r="J460" s="33"/>
      <c r="L460" t="s">
        <v>765</v>
      </c>
      <c r="M460" s="35">
        <v>0.27</v>
      </c>
      <c r="N460" s="35">
        <v>0.35</v>
      </c>
      <c r="O460" s="32">
        <v>0.84</v>
      </c>
      <c r="P460" t="s">
        <v>833</v>
      </c>
      <c r="Q460" t="s">
        <v>849</v>
      </c>
      <c r="R460" t="s">
        <v>834</v>
      </c>
      <c r="S460" t="s">
        <v>835</v>
      </c>
      <c r="T460">
        <v>52</v>
      </c>
      <c r="U460">
        <v>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52</v>
      </c>
      <c r="AF460">
        <v>0</v>
      </c>
      <c r="AG460">
        <v>0</v>
      </c>
      <c r="AH460" s="5">
        <v>11</v>
      </c>
      <c r="AL460">
        <v>42</v>
      </c>
      <c r="AM460" s="36">
        <f>AL460/AH460</f>
        <v>3.8181818181818183</v>
      </c>
    </row>
    <row r="461" spans="1:39" x14ac:dyDescent="0.2">
      <c r="A461" t="s">
        <v>767</v>
      </c>
      <c r="C461" s="5" t="s">
        <v>64</v>
      </c>
      <c r="D461" s="5" t="s">
        <v>449</v>
      </c>
      <c r="E461" s="5"/>
      <c r="F461" s="29" t="s">
        <v>17</v>
      </c>
      <c r="G461" s="30"/>
      <c r="H461" s="34" t="s">
        <v>26</v>
      </c>
      <c r="J461" s="33"/>
      <c r="L461" t="s">
        <v>767</v>
      </c>
      <c r="M461" s="32">
        <v>0.47899999999999998</v>
      </c>
      <c r="N461" s="32">
        <v>0.29499999999999998</v>
      </c>
      <c r="O461" s="32">
        <v>0.50900000000000001</v>
      </c>
      <c r="AH461" s="5">
        <v>28</v>
      </c>
    </row>
    <row r="462" spans="1:39" x14ac:dyDescent="0.2">
      <c r="A462" t="s">
        <v>768</v>
      </c>
      <c r="C462" s="5" t="s">
        <v>42</v>
      </c>
      <c r="D462" s="6" t="s">
        <v>769</v>
      </c>
      <c r="F462" s="29" t="s">
        <v>17</v>
      </c>
      <c r="G462" s="38" t="s">
        <v>25</v>
      </c>
      <c r="H462" s="31" t="s">
        <v>18</v>
      </c>
      <c r="J462" s="33"/>
      <c r="L462" t="s">
        <v>768</v>
      </c>
      <c r="M462" s="35">
        <v>0.6</v>
      </c>
      <c r="N462" s="35">
        <v>0.18</v>
      </c>
      <c r="O462" s="32">
        <v>0.56000000000000005</v>
      </c>
      <c r="AH462" s="5">
        <v>143</v>
      </c>
    </row>
    <row r="463" spans="1:39" x14ac:dyDescent="0.2">
      <c r="A463" t="s">
        <v>770</v>
      </c>
      <c r="C463" s="5" t="s">
        <v>95</v>
      </c>
      <c r="D463" s="5" t="s">
        <v>158</v>
      </c>
      <c r="E463" s="5"/>
      <c r="F463" s="29" t="s">
        <v>17</v>
      </c>
      <c r="G463" s="30"/>
      <c r="H463" s="31" t="s">
        <v>18</v>
      </c>
      <c r="J463" s="33"/>
      <c r="L463" t="s">
        <v>770</v>
      </c>
      <c r="M463" s="32">
        <v>0.92600000000000005</v>
      </c>
      <c r="N463" s="32">
        <v>0.502</v>
      </c>
      <c r="O463" s="32">
        <v>0.48899999999999999</v>
      </c>
      <c r="AH463" s="5">
        <v>20</v>
      </c>
    </row>
    <row r="464" spans="1:39" x14ac:dyDescent="0.2">
      <c r="A464" t="s">
        <v>771</v>
      </c>
      <c r="C464" s="5" t="s">
        <v>95</v>
      </c>
      <c r="D464" s="5" t="s">
        <v>158</v>
      </c>
      <c r="E464" s="5"/>
      <c r="F464" s="29" t="s">
        <v>17</v>
      </c>
      <c r="G464" s="30"/>
      <c r="H464" s="31" t="s">
        <v>18</v>
      </c>
      <c r="J464" s="33"/>
      <c r="L464" t="s">
        <v>771</v>
      </c>
      <c r="M464" s="32">
        <v>0.92600000000000005</v>
      </c>
      <c r="N464" s="32">
        <v>0.502</v>
      </c>
      <c r="O464" s="32">
        <v>0.48899999999999999</v>
      </c>
      <c r="AH464" s="5">
        <v>10</v>
      </c>
    </row>
    <row r="465" spans="1:40" x14ac:dyDescent="0.2">
      <c r="A465" t="s">
        <v>772</v>
      </c>
      <c r="C465" s="5" t="s">
        <v>95</v>
      </c>
      <c r="D465" s="5" t="s">
        <v>158</v>
      </c>
      <c r="E465" s="5"/>
      <c r="F465" s="29" t="s">
        <v>17</v>
      </c>
      <c r="G465" s="30"/>
      <c r="H465" s="31" t="s">
        <v>18</v>
      </c>
      <c r="J465" s="33"/>
      <c r="L465" t="s">
        <v>772</v>
      </c>
      <c r="M465" s="32">
        <v>0.92600000000000005</v>
      </c>
      <c r="N465" s="32">
        <v>0.502</v>
      </c>
      <c r="O465" s="32">
        <v>0.48899999999999999</v>
      </c>
      <c r="AH465" s="5">
        <v>10</v>
      </c>
    </row>
    <row r="466" spans="1:40" x14ac:dyDescent="0.2">
      <c r="A466" t="s">
        <v>773</v>
      </c>
      <c r="C466" s="5" t="s">
        <v>30</v>
      </c>
      <c r="D466" s="5" t="s">
        <v>804</v>
      </c>
      <c r="E466" s="5"/>
      <c r="F466" s="29" t="s">
        <v>17</v>
      </c>
      <c r="G466" s="38" t="s">
        <v>25</v>
      </c>
      <c r="H466" s="31" t="s">
        <v>18</v>
      </c>
      <c r="J466" s="33"/>
      <c r="L466" t="s">
        <v>773</v>
      </c>
      <c r="M466" s="32"/>
      <c r="N466" s="32"/>
      <c r="O466" s="32"/>
      <c r="AH466" s="5">
        <v>174</v>
      </c>
      <c r="AI466" s="5">
        <v>96</v>
      </c>
    </row>
    <row r="467" spans="1:40" x14ac:dyDescent="0.2">
      <c r="A467" t="s">
        <v>775</v>
      </c>
      <c r="C467" s="5" t="s">
        <v>183</v>
      </c>
      <c r="D467" s="6" t="s">
        <v>599</v>
      </c>
      <c r="F467" s="29" t="s">
        <v>17</v>
      </c>
      <c r="G467" s="38" t="s">
        <v>25</v>
      </c>
      <c r="H467" s="34" t="s">
        <v>26</v>
      </c>
      <c r="I467" s="7" t="s">
        <v>18</v>
      </c>
      <c r="J467" s="33"/>
      <c r="L467" t="s">
        <v>775</v>
      </c>
      <c r="M467" s="35">
        <v>0.53</v>
      </c>
      <c r="N467" s="35">
        <v>0.05</v>
      </c>
      <c r="O467" s="32">
        <v>0.91</v>
      </c>
      <c r="AH467" s="5">
        <v>85</v>
      </c>
    </row>
    <row r="468" spans="1:40" x14ac:dyDescent="0.2">
      <c r="A468" t="s">
        <v>776</v>
      </c>
      <c r="C468" s="5" t="s">
        <v>30</v>
      </c>
      <c r="D468" s="5" t="s">
        <v>727</v>
      </c>
      <c r="E468" s="5"/>
      <c r="F468" s="29" t="s">
        <v>17</v>
      </c>
      <c r="G468" s="38" t="s">
        <v>25</v>
      </c>
      <c r="H468" s="31" t="s">
        <v>18</v>
      </c>
      <c r="J468" s="33"/>
      <c r="L468" t="s">
        <v>776</v>
      </c>
      <c r="M468" s="32">
        <v>0.54400000000000004</v>
      </c>
      <c r="N468" s="32">
        <v>0.88900000000000001</v>
      </c>
      <c r="O468" s="32">
        <v>0.28599999999999998</v>
      </c>
      <c r="AH468" s="5">
        <v>16</v>
      </c>
    </row>
    <row r="469" spans="1:40" x14ac:dyDescent="0.2">
      <c r="A469" t="s">
        <v>777</v>
      </c>
      <c r="C469" s="5" t="s">
        <v>30</v>
      </c>
      <c r="D469" s="5" t="s">
        <v>727</v>
      </c>
      <c r="E469" s="5"/>
      <c r="F469" s="29" t="s">
        <v>17</v>
      </c>
      <c r="G469" s="38" t="s">
        <v>25</v>
      </c>
      <c r="H469" s="31" t="s">
        <v>18</v>
      </c>
      <c r="J469" s="33"/>
      <c r="L469" t="s">
        <v>777</v>
      </c>
      <c r="M469" s="32">
        <v>0.54400000000000004</v>
      </c>
      <c r="N469" s="32">
        <v>0.88900000000000001</v>
      </c>
      <c r="O469" s="32">
        <v>0.28599999999999998</v>
      </c>
      <c r="AH469" s="5">
        <v>60</v>
      </c>
    </row>
    <row r="470" spans="1:40" x14ac:dyDescent="0.2">
      <c r="A470" t="s">
        <v>778</v>
      </c>
      <c r="C470" s="5" t="s">
        <v>242</v>
      </c>
      <c r="D470" s="5" t="s">
        <v>243</v>
      </c>
      <c r="E470" s="5"/>
      <c r="F470" s="29" t="s">
        <v>17</v>
      </c>
      <c r="G470" s="30"/>
      <c r="H470" s="31" t="s">
        <v>18</v>
      </c>
      <c r="J470" s="33"/>
      <c r="L470" t="s">
        <v>778</v>
      </c>
      <c r="M470" s="32">
        <v>0.78300000000000003</v>
      </c>
      <c r="N470" s="32">
        <v>0.80700000000000005</v>
      </c>
      <c r="O470" s="32">
        <v>9.5000000000000001E-2</v>
      </c>
      <c r="AH470" s="5">
        <v>46</v>
      </c>
    </row>
    <row r="471" spans="1:40" x14ac:dyDescent="0.2">
      <c r="A471" t="s">
        <v>779</v>
      </c>
      <c r="C471" s="5" t="s">
        <v>30</v>
      </c>
      <c r="D471" s="5" t="s">
        <v>126</v>
      </c>
      <c r="E471" s="5"/>
      <c r="F471" s="29" t="s">
        <v>17</v>
      </c>
      <c r="G471" s="30"/>
      <c r="H471" s="31" t="s">
        <v>18</v>
      </c>
      <c r="J471" s="33"/>
      <c r="L471" t="s">
        <v>779</v>
      </c>
      <c r="M471" s="32">
        <v>0.64100000000000001</v>
      </c>
      <c r="N471" s="32">
        <v>0.52800000000000002</v>
      </c>
      <c r="O471" s="32">
        <v>0.34799999999999998</v>
      </c>
      <c r="AH471" s="5">
        <v>45</v>
      </c>
    </row>
    <row r="472" spans="1:40" x14ac:dyDescent="0.2">
      <c r="A472" t="s">
        <v>780</v>
      </c>
      <c r="C472" s="5" t="s">
        <v>30</v>
      </c>
      <c r="D472" s="6" t="s">
        <v>781</v>
      </c>
      <c r="F472" s="29" t="s">
        <v>17</v>
      </c>
      <c r="G472" s="38" t="s">
        <v>25</v>
      </c>
      <c r="H472" s="31" t="s">
        <v>18</v>
      </c>
      <c r="J472" s="33"/>
      <c r="K472" t="s">
        <v>832</v>
      </c>
      <c r="L472" t="s">
        <v>904</v>
      </c>
      <c r="M472" s="35">
        <v>0.22</v>
      </c>
      <c r="N472" s="35">
        <v>0.82</v>
      </c>
      <c r="O472" s="32">
        <v>0.27</v>
      </c>
      <c r="AH472" s="5">
        <v>164</v>
      </c>
    </row>
    <row r="473" spans="1:40" x14ac:dyDescent="0.2">
      <c r="A473" t="s">
        <v>782</v>
      </c>
      <c r="C473" s="5" t="s">
        <v>30</v>
      </c>
      <c r="D473" s="6" t="s">
        <v>491</v>
      </c>
      <c r="F473" s="29" t="s">
        <v>17</v>
      </c>
      <c r="G473" s="38" t="s">
        <v>25</v>
      </c>
      <c r="H473" s="31" t="s">
        <v>18</v>
      </c>
      <c r="J473" s="33"/>
      <c r="K473" t="s">
        <v>832</v>
      </c>
      <c r="L473" t="s">
        <v>782</v>
      </c>
      <c r="M473" s="35">
        <v>0.41</v>
      </c>
      <c r="N473" s="35">
        <v>0.6</v>
      </c>
      <c r="O473" s="32">
        <v>0.65</v>
      </c>
      <c r="AH473" s="14">
        <v>264</v>
      </c>
      <c r="AI473" s="14">
        <v>120</v>
      </c>
    </row>
    <row r="474" spans="1:40" x14ac:dyDescent="0.2">
      <c r="A474" t="s">
        <v>783</v>
      </c>
      <c r="C474" s="5" t="s">
        <v>30</v>
      </c>
      <c r="D474" s="6" t="s">
        <v>784</v>
      </c>
      <c r="F474" s="29" t="s">
        <v>17</v>
      </c>
      <c r="G474" s="38" t="s">
        <v>25</v>
      </c>
      <c r="H474" s="31" t="s">
        <v>18</v>
      </c>
      <c r="J474" s="33"/>
      <c r="K474" t="s">
        <v>832</v>
      </c>
      <c r="L474" t="s">
        <v>783</v>
      </c>
      <c r="M474" s="35">
        <v>0.41</v>
      </c>
      <c r="N474" s="35">
        <v>0.71</v>
      </c>
      <c r="O474" s="32">
        <v>0.3</v>
      </c>
      <c r="AH474" s="14">
        <v>138</v>
      </c>
      <c r="AI474" s="14">
        <v>60</v>
      </c>
    </row>
    <row r="475" spans="1:40" x14ac:dyDescent="0.2">
      <c r="A475" t="s">
        <v>785</v>
      </c>
      <c r="C475" s="5" t="s">
        <v>30</v>
      </c>
      <c r="D475" s="5" t="s">
        <v>491</v>
      </c>
      <c r="E475" s="5"/>
      <c r="F475" s="29" t="s">
        <v>17</v>
      </c>
      <c r="G475" s="38" t="s">
        <v>25</v>
      </c>
      <c r="H475" s="31" t="s">
        <v>18</v>
      </c>
      <c r="J475" s="33"/>
      <c r="L475" t="s">
        <v>785</v>
      </c>
      <c r="M475" s="32">
        <v>0.41099999999999998</v>
      </c>
      <c r="N475" s="32">
        <v>0.59899999999999998</v>
      </c>
      <c r="O475" s="32">
        <v>0.65</v>
      </c>
      <c r="AH475" s="5">
        <v>8</v>
      </c>
    </row>
    <row r="476" spans="1:40" x14ac:dyDescent="0.2">
      <c r="A476" t="s">
        <v>786</v>
      </c>
      <c r="C476" s="5" t="s">
        <v>30</v>
      </c>
      <c r="D476" s="6" t="s">
        <v>676</v>
      </c>
      <c r="F476" s="29" t="s">
        <v>17</v>
      </c>
      <c r="G476" s="38" t="s">
        <v>25</v>
      </c>
      <c r="H476" s="31" t="s">
        <v>18</v>
      </c>
      <c r="J476" s="33"/>
      <c r="K476" t="s">
        <v>832</v>
      </c>
      <c r="L476" t="s">
        <v>786</v>
      </c>
      <c r="M476" s="35">
        <v>0.49</v>
      </c>
      <c r="N476" s="35">
        <v>0.72</v>
      </c>
      <c r="O476" s="32">
        <v>0.36</v>
      </c>
      <c r="AH476" s="5">
        <v>150</v>
      </c>
    </row>
    <row r="477" spans="1:40" x14ac:dyDescent="0.2">
      <c r="A477" t="s">
        <v>317</v>
      </c>
      <c r="C477" s="5" t="s">
        <v>242</v>
      </c>
      <c r="D477" s="6" t="s">
        <v>243</v>
      </c>
      <c r="F477" s="29" t="s">
        <v>17</v>
      </c>
      <c r="G477" s="38" t="s">
        <v>25</v>
      </c>
      <c r="H477" s="31" t="s">
        <v>18</v>
      </c>
      <c r="J477" s="33"/>
      <c r="L477" t="s">
        <v>317</v>
      </c>
      <c r="M477" s="35">
        <v>0.78</v>
      </c>
      <c r="N477" s="35">
        <v>0.81</v>
      </c>
      <c r="O477" s="32">
        <v>0.1</v>
      </c>
      <c r="AH477" s="5">
        <v>128</v>
      </c>
    </row>
    <row r="478" spans="1:40" x14ac:dyDescent="0.2">
      <c r="A478" t="s">
        <v>787</v>
      </c>
      <c r="C478" s="5" t="s">
        <v>225</v>
      </c>
      <c r="D478" s="6" t="s">
        <v>226</v>
      </c>
      <c r="F478" s="29" t="s">
        <v>17</v>
      </c>
      <c r="G478" s="38" t="s">
        <v>25</v>
      </c>
      <c r="H478" s="31" t="s">
        <v>18</v>
      </c>
      <c r="J478" s="33"/>
      <c r="L478" t="s">
        <v>787</v>
      </c>
      <c r="M478" s="35">
        <v>0.44</v>
      </c>
      <c r="N478" s="35">
        <v>0.8</v>
      </c>
      <c r="O478" s="32">
        <v>0.31</v>
      </c>
      <c r="P478" t="s">
        <v>833</v>
      </c>
      <c r="R478" t="s">
        <v>834</v>
      </c>
      <c r="S478" t="s">
        <v>835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0</v>
      </c>
      <c r="AG478">
        <v>0</v>
      </c>
      <c r="AH478" s="5">
        <v>43</v>
      </c>
      <c r="AL478">
        <v>2</v>
      </c>
      <c r="AM478" s="36">
        <f>AL478/AH478</f>
        <v>4.6511627906976744E-2</v>
      </c>
    </row>
    <row r="479" spans="1:40" x14ac:dyDescent="0.2">
      <c r="A479" t="s">
        <v>255</v>
      </c>
      <c r="C479" s="5" t="s">
        <v>136</v>
      </c>
      <c r="D479" s="14" t="s">
        <v>804</v>
      </c>
      <c r="E479" s="20" t="s">
        <v>256</v>
      </c>
      <c r="F479" s="29" t="s">
        <v>17</v>
      </c>
      <c r="H479" s="31" t="s">
        <v>18</v>
      </c>
      <c r="L479" t="s">
        <v>255</v>
      </c>
      <c r="M479" s="32"/>
      <c r="N479" s="32"/>
      <c r="O479" s="32"/>
      <c r="AH479" s="14">
        <v>533</v>
      </c>
      <c r="AI479" s="14">
        <v>37</v>
      </c>
      <c r="AK479" s="5" t="s">
        <v>257</v>
      </c>
      <c r="AN479" s="13">
        <v>0.76</v>
      </c>
    </row>
  </sheetData>
  <autoFilter ref="A1:AM479" xr:uid="{00000000-0009-0000-0000-000002000000}">
    <sortState xmlns:xlrd2="http://schemas.microsoft.com/office/spreadsheetml/2017/richdata2" ref="A2:AM479">
      <sortCondition ref="A2:A479"/>
    </sortState>
  </autoFilter>
  <conditionalFormatting sqref="A1:A1048576">
    <cfRule type="duplicateValues" dxfId="1" priority="2"/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854"/>
  <sheetViews>
    <sheetView topLeftCell="A580" zoomScale="72" zoomScaleNormal="72" workbookViewId="0">
      <selection activeCell="C29" sqref="C29"/>
    </sheetView>
  </sheetViews>
  <sheetFormatPr baseColWidth="10" defaultColWidth="8.83203125" defaultRowHeight="15" x14ac:dyDescent="0.2"/>
  <cols>
    <col min="2" max="2" width="31.33203125" customWidth="1"/>
    <col min="3" max="3" width="51" customWidth="1"/>
    <col min="4" max="4" width="41.1640625" customWidth="1"/>
    <col min="5" max="5" width="15.5" style="5" hidden="1" customWidth="1"/>
    <col min="6" max="6" width="21.83203125" customWidth="1"/>
    <col min="7" max="7" width="17.33203125" style="6" customWidth="1"/>
    <col min="8" max="10" width="17.33203125" customWidth="1"/>
    <col min="11" max="14" width="21.83203125" hidden="1" customWidth="1"/>
    <col min="15" max="71" width="9.1640625" hidden="1" customWidth="1"/>
    <col min="72" max="72" width="11.6640625" customWidth="1"/>
    <col min="73" max="73" width="14.5" hidden="1" customWidth="1"/>
    <col min="74" max="74" width="0.1640625" hidden="1" customWidth="1"/>
    <col min="75" max="75" width="17.33203125" customWidth="1"/>
  </cols>
  <sheetData>
    <row r="1" spans="1:75" ht="15" customHeight="1" x14ac:dyDescent="0.2">
      <c r="A1" s="87" t="s">
        <v>905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3"/>
      <c r="O1" s="81" t="s">
        <v>906</v>
      </c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3"/>
      <c r="BD1" s="84" t="s">
        <v>905</v>
      </c>
      <c r="BE1" s="83"/>
      <c r="BF1" s="85" t="s">
        <v>907</v>
      </c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3"/>
      <c r="BU1" s="86" t="s">
        <v>908</v>
      </c>
      <c r="BV1" s="83"/>
    </row>
    <row r="2" spans="1:75" s="12" customFormat="1" ht="240" customHeight="1" x14ac:dyDescent="0.2">
      <c r="A2" s="4" t="s">
        <v>909</v>
      </c>
      <c r="B2" s="4" t="s">
        <v>4</v>
      </c>
      <c r="C2" s="4" t="s">
        <v>910</v>
      </c>
      <c r="D2" s="4" t="s">
        <v>811</v>
      </c>
      <c r="E2" s="4" t="s">
        <v>809</v>
      </c>
      <c r="F2" s="4" t="s">
        <v>1</v>
      </c>
      <c r="G2" s="45" t="s">
        <v>2</v>
      </c>
      <c r="H2" s="4" t="s">
        <v>10</v>
      </c>
      <c r="I2" s="4" t="s">
        <v>11</v>
      </c>
      <c r="J2" s="4" t="s">
        <v>12</v>
      </c>
      <c r="K2" s="4" t="s">
        <v>812</v>
      </c>
      <c r="L2" s="4" t="s">
        <v>911</v>
      </c>
      <c r="M2" s="4" t="s">
        <v>813</v>
      </c>
      <c r="N2" s="4" t="s">
        <v>814</v>
      </c>
      <c r="O2" s="3" t="s">
        <v>912</v>
      </c>
      <c r="P2" s="3" t="s">
        <v>913</v>
      </c>
      <c r="Q2" s="3" t="s">
        <v>914</v>
      </c>
      <c r="R2" s="3" t="s">
        <v>915</v>
      </c>
      <c r="S2" s="3" t="s">
        <v>916</v>
      </c>
      <c r="T2" s="3" t="s">
        <v>917</v>
      </c>
      <c r="U2" s="3" t="s">
        <v>918</v>
      </c>
      <c r="V2" s="3" t="s">
        <v>919</v>
      </c>
      <c r="W2" s="3" t="s">
        <v>920</v>
      </c>
      <c r="X2" s="3" t="s">
        <v>921</v>
      </c>
      <c r="Y2" s="3" t="s">
        <v>922</v>
      </c>
      <c r="Z2" s="3" t="s">
        <v>923</v>
      </c>
      <c r="AA2" s="3" t="s">
        <v>924</v>
      </c>
      <c r="AB2" s="3" t="s">
        <v>925</v>
      </c>
      <c r="AC2" s="3" t="s">
        <v>926</v>
      </c>
      <c r="AD2" s="3" t="s">
        <v>927</v>
      </c>
      <c r="AE2" s="3" t="s">
        <v>928</v>
      </c>
      <c r="AF2" s="3" t="s">
        <v>929</v>
      </c>
      <c r="AG2" s="3" t="s">
        <v>930</v>
      </c>
      <c r="AH2" s="3" t="s">
        <v>931</v>
      </c>
      <c r="AI2" s="3" t="s">
        <v>932</v>
      </c>
      <c r="AJ2" s="3" t="s">
        <v>933</v>
      </c>
      <c r="AK2" s="3" t="s">
        <v>934</v>
      </c>
      <c r="AL2" s="3" t="s">
        <v>935</v>
      </c>
      <c r="AM2" s="3" t="s">
        <v>936</v>
      </c>
      <c r="AN2" s="3" t="s">
        <v>937</v>
      </c>
      <c r="AO2" s="3" t="s">
        <v>938</v>
      </c>
      <c r="AP2" s="3" t="s">
        <v>939</v>
      </c>
      <c r="AQ2" s="3" t="s">
        <v>940</v>
      </c>
      <c r="AR2" s="3" t="s">
        <v>941</v>
      </c>
      <c r="AS2" s="3" t="s">
        <v>942</v>
      </c>
      <c r="AT2" s="3" t="s">
        <v>943</v>
      </c>
      <c r="AU2" s="3" t="s">
        <v>944</v>
      </c>
      <c r="AV2" s="3" t="s">
        <v>945</v>
      </c>
      <c r="AW2" s="3" t="s">
        <v>946</v>
      </c>
      <c r="AX2" s="3" t="s">
        <v>947</v>
      </c>
      <c r="AY2" s="3" t="s">
        <v>948</v>
      </c>
      <c r="AZ2" s="3" t="s">
        <v>949</v>
      </c>
      <c r="BA2" s="3" t="s">
        <v>950</v>
      </c>
      <c r="BB2" s="3" t="s">
        <v>951</v>
      </c>
      <c r="BC2" s="3" t="s">
        <v>952</v>
      </c>
      <c r="BD2" s="4" t="s">
        <v>953</v>
      </c>
      <c r="BE2" s="4" t="s">
        <v>815</v>
      </c>
      <c r="BF2" s="2" t="s">
        <v>816</v>
      </c>
      <c r="BG2" s="2" t="s">
        <v>817</v>
      </c>
      <c r="BH2" s="2" t="s">
        <v>818</v>
      </c>
      <c r="BI2" s="2" t="s">
        <v>819</v>
      </c>
      <c r="BJ2" s="2" t="s">
        <v>820</v>
      </c>
      <c r="BK2" s="2" t="s">
        <v>821</v>
      </c>
      <c r="BL2" s="2" t="s">
        <v>822</v>
      </c>
      <c r="BM2" s="2" t="s">
        <v>823</v>
      </c>
      <c r="BN2" s="2" t="s">
        <v>824</v>
      </c>
      <c r="BO2" s="2" t="s">
        <v>825</v>
      </c>
      <c r="BP2" s="2" t="s">
        <v>826</v>
      </c>
      <c r="BQ2" s="2" t="s">
        <v>827</v>
      </c>
      <c r="BR2" s="2" t="s">
        <v>828</v>
      </c>
      <c r="BS2" s="2" t="s">
        <v>829</v>
      </c>
      <c r="BT2" s="2" t="s">
        <v>954</v>
      </c>
      <c r="BU2" s="1" t="s">
        <v>830</v>
      </c>
      <c r="BV2" s="1" t="s">
        <v>831</v>
      </c>
      <c r="BW2" s="46" t="s">
        <v>13</v>
      </c>
    </row>
    <row r="3" spans="1:75" x14ac:dyDescent="0.2">
      <c r="A3" s="47"/>
      <c r="B3" s="47" t="s">
        <v>955</v>
      </c>
      <c r="C3" s="47"/>
      <c r="D3" s="47" t="s">
        <v>956</v>
      </c>
      <c r="E3" s="48"/>
      <c r="F3" s="47" t="s">
        <v>30</v>
      </c>
      <c r="G3" s="47" t="s">
        <v>186</v>
      </c>
      <c r="H3" s="49">
        <v>0.65400000000000003</v>
      </c>
      <c r="I3" s="49">
        <v>0.13800000000000001</v>
      </c>
      <c r="J3" s="49">
        <v>0.97899999999999998</v>
      </c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 t="s">
        <v>957</v>
      </c>
      <c r="BU3" s="47"/>
      <c r="BV3" s="47"/>
      <c r="BW3" s="50"/>
    </row>
    <row r="4" spans="1:75" x14ac:dyDescent="0.2">
      <c r="A4" s="47">
        <v>2025</v>
      </c>
      <c r="B4" s="47" t="s">
        <v>958</v>
      </c>
      <c r="C4" s="47" t="s">
        <v>959</v>
      </c>
      <c r="D4" s="47" t="s">
        <v>960</v>
      </c>
      <c r="E4" s="48" t="s">
        <v>961</v>
      </c>
      <c r="F4" s="48" t="s">
        <v>242</v>
      </c>
      <c r="G4" s="51"/>
      <c r="H4" s="48"/>
      <c r="I4" s="48"/>
      <c r="J4" s="48"/>
      <c r="K4" s="47" t="s">
        <v>962</v>
      </c>
      <c r="L4" s="47" t="s">
        <v>963</v>
      </c>
      <c r="M4" s="47" t="s">
        <v>849</v>
      </c>
      <c r="N4" s="47" t="s">
        <v>964</v>
      </c>
      <c r="O4" s="47" t="s">
        <v>965</v>
      </c>
      <c r="P4" s="47" t="s">
        <v>965</v>
      </c>
      <c r="Q4" s="47" t="s">
        <v>965</v>
      </c>
      <c r="R4" s="47" t="s">
        <v>965</v>
      </c>
      <c r="S4" s="47" t="s">
        <v>965</v>
      </c>
      <c r="T4" s="47" t="s">
        <v>965</v>
      </c>
      <c r="U4" s="47" t="s">
        <v>965</v>
      </c>
      <c r="V4" s="47" t="s">
        <v>965</v>
      </c>
      <c r="W4" s="47" t="s">
        <v>965</v>
      </c>
      <c r="X4" s="47" t="s">
        <v>965</v>
      </c>
      <c r="Y4" s="47" t="s">
        <v>965</v>
      </c>
      <c r="Z4" s="47" t="s">
        <v>965</v>
      </c>
      <c r="AA4" s="47" t="s">
        <v>965</v>
      </c>
      <c r="AB4" s="47" t="s">
        <v>965</v>
      </c>
      <c r="AC4" s="47" t="s">
        <v>965</v>
      </c>
      <c r="AD4" s="47" t="s">
        <v>965</v>
      </c>
      <c r="AE4" s="47" t="s">
        <v>965</v>
      </c>
      <c r="AF4" s="47" t="s">
        <v>965</v>
      </c>
      <c r="AG4" s="47" t="s">
        <v>965</v>
      </c>
      <c r="AH4" s="47" t="s">
        <v>965</v>
      </c>
      <c r="AI4" s="47" t="s">
        <v>965</v>
      </c>
      <c r="AJ4" s="47" t="s">
        <v>965</v>
      </c>
      <c r="AK4" s="47" t="s">
        <v>965</v>
      </c>
      <c r="AL4" s="47" t="s">
        <v>965</v>
      </c>
      <c r="AM4" s="47" t="s">
        <v>965</v>
      </c>
      <c r="AN4" s="47" t="s">
        <v>965</v>
      </c>
      <c r="AO4" s="47" t="s">
        <v>965</v>
      </c>
      <c r="AP4" s="47" t="s">
        <v>965</v>
      </c>
      <c r="AQ4" s="47" t="s">
        <v>965</v>
      </c>
      <c r="AR4" s="47" t="s">
        <v>965</v>
      </c>
      <c r="AS4" s="47" t="s">
        <v>965</v>
      </c>
      <c r="AT4" s="47" t="s">
        <v>965</v>
      </c>
      <c r="AU4" s="47" t="s">
        <v>965</v>
      </c>
      <c r="AV4" s="47" t="s">
        <v>965</v>
      </c>
      <c r="AW4" s="47" t="s">
        <v>965</v>
      </c>
      <c r="AX4" s="47" t="s">
        <v>965</v>
      </c>
      <c r="AY4" s="47" t="s">
        <v>965</v>
      </c>
      <c r="AZ4" s="47" t="s">
        <v>965</v>
      </c>
      <c r="BA4" s="47" t="s">
        <v>965</v>
      </c>
      <c r="BB4" s="47" t="s">
        <v>965</v>
      </c>
      <c r="BC4" s="47" t="s">
        <v>965</v>
      </c>
      <c r="BD4" s="47" t="s">
        <v>833</v>
      </c>
      <c r="BE4" s="47" t="s">
        <v>835</v>
      </c>
      <c r="BF4" s="47">
        <v>34</v>
      </c>
      <c r="BG4" s="47">
        <v>10</v>
      </c>
      <c r="BH4" s="47">
        <v>0</v>
      </c>
      <c r="BI4" s="47">
        <v>0</v>
      </c>
      <c r="BJ4" s="47">
        <v>0</v>
      </c>
      <c r="BK4" s="47">
        <v>8</v>
      </c>
      <c r="BL4" s="47">
        <v>0</v>
      </c>
      <c r="BM4" s="47">
        <v>0</v>
      </c>
      <c r="BN4" s="47">
        <v>0</v>
      </c>
      <c r="BO4" s="47">
        <v>0</v>
      </c>
      <c r="BP4" s="47">
        <v>0</v>
      </c>
      <c r="BQ4" s="47">
        <v>42</v>
      </c>
      <c r="BR4" s="47">
        <v>0</v>
      </c>
      <c r="BS4" s="47">
        <v>0</v>
      </c>
      <c r="BT4" s="47">
        <v>42</v>
      </c>
      <c r="BU4" s="47">
        <v>17</v>
      </c>
      <c r="BV4" s="52">
        <f>BU4/BT4</f>
        <v>0.40476190476190477</v>
      </c>
      <c r="BW4" s="50"/>
    </row>
    <row r="5" spans="1:75" x14ac:dyDescent="0.2">
      <c r="A5" s="47">
        <v>2025</v>
      </c>
      <c r="B5" s="47" t="s">
        <v>958</v>
      </c>
      <c r="C5" s="47" t="s">
        <v>966</v>
      </c>
      <c r="D5" s="47" t="s">
        <v>967</v>
      </c>
      <c r="E5" s="48" t="s">
        <v>845</v>
      </c>
      <c r="F5" s="48" t="s">
        <v>15</v>
      </c>
      <c r="G5" s="51" t="s">
        <v>387</v>
      </c>
      <c r="H5" s="53">
        <v>0.95</v>
      </c>
      <c r="I5" s="53">
        <v>0.06</v>
      </c>
      <c r="J5" s="49">
        <v>0.81</v>
      </c>
      <c r="K5" s="47" t="s">
        <v>833</v>
      </c>
      <c r="L5" s="47" t="s">
        <v>963</v>
      </c>
      <c r="M5" s="47" t="s">
        <v>854</v>
      </c>
      <c r="N5" s="47" t="s">
        <v>834</v>
      </c>
      <c r="O5" s="47" t="s">
        <v>965</v>
      </c>
      <c r="P5" s="47" t="s">
        <v>965</v>
      </c>
      <c r="Q5" s="47" t="s">
        <v>965</v>
      </c>
      <c r="R5" s="47" t="s">
        <v>965</v>
      </c>
      <c r="S5" s="47" t="s">
        <v>965</v>
      </c>
      <c r="T5" s="47" t="s">
        <v>965</v>
      </c>
      <c r="U5" s="47" t="s">
        <v>965</v>
      </c>
      <c r="V5" s="47" t="s">
        <v>965</v>
      </c>
      <c r="W5" s="47" t="s">
        <v>965</v>
      </c>
      <c r="X5" s="47" t="s">
        <v>965</v>
      </c>
      <c r="Y5" s="47" t="s">
        <v>965</v>
      </c>
      <c r="Z5" s="47" t="s">
        <v>965</v>
      </c>
      <c r="AA5" s="47" t="s">
        <v>965</v>
      </c>
      <c r="AB5" s="47" t="s">
        <v>965</v>
      </c>
      <c r="AC5" s="47" t="s">
        <v>965</v>
      </c>
      <c r="AD5" s="47" t="s">
        <v>965</v>
      </c>
      <c r="AE5" s="47" t="s">
        <v>965</v>
      </c>
      <c r="AF5" s="47" t="s">
        <v>965</v>
      </c>
      <c r="AG5" s="47" t="s">
        <v>965</v>
      </c>
      <c r="AH5" s="47" t="s">
        <v>965</v>
      </c>
      <c r="AI5" s="47" t="s">
        <v>965</v>
      </c>
      <c r="AJ5" s="47" t="s">
        <v>965</v>
      </c>
      <c r="AK5" s="47" t="s">
        <v>965</v>
      </c>
      <c r="AL5" s="47" t="s">
        <v>965</v>
      </c>
      <c r="AM5" s="47" t="s">
        <v>965</v>
      </c>
      <c r="AN5" s="47" t="s">
        <v>965</v>
      </c>
      <c r="AO5" s="47" t="s">
        <v>965</v>
      </c>
      <c r="AP5" s="47" t="s">
        <v>965</v>
      </c>
      <c r="AQ5" s="47" t="s">
        <v>965</v>
      </c>
      <c r="AR5" s="47" t="s">
        <v>965</v>
      </c>
      <c r="AS5" s="47" t="s">
        <v>965</v>
      </c>
      <c r="AT5" s="47" t="s">
        <v>965</v>
      </c>
      <c r="AU5" s="47" t="s">
        <v>965</v>
      </c>
      <c r="AV5" s="47" t="s">
        <v>965</v>
      </c>
      <c r="AW5" s="47" t="s">
        <v>965</v>
      </c>
      <c r="AX5" s="47" t="s">
        <v>965</v>
      </c>
      <c r="AY5" s="47" t="s">
        <v>965</v>
      </c>
      <c r="AZ5" s="47" t="s">
        <v>965</v>
      </c>
      <c r="BA5" s="47" t="s">
        <v>965</v>
      </c>
      <c r="BB5" s="47" t="s">
        <v>965</v>
      </c>
      <c r="BC5" s="47" t="s">
        <v>833</v>
      </c>
      <c r="BD5" s="47" t="s">
        <v>965</v>
      </c>
      <c r="BE5" s="47" t="s">
        <v>855</v>
      </c>
      <c r="BF5" s="47">
        <v>6</v>
      </c>
      <c r="BG5" s="47">
        <v>1</v>
      </c>
      <c r="BH5" s="47">
        <v>0</v>
      </c>
      <c r="BI5" s="47">
        <v>0</v>
      </c>
      <c r="BJ5" s="47">
        <v>0</v>
      </c>
      <c r="BK5" s="47">
        <v>3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  <c r="BQ5" s="47">
        <v>9</v>
      </c>
      <c r="BR5" s="47">
        <v>0</v>
      </c>
      <c r="BS5" s="47">
        <v>0</v>
      </c>
      <c r="BT5" s="47">
        <v>9</v>
      </c>
      <c r="BU5" s="47">
        <v>8</v>
      </c>
      <c r="BV5" s="52">
        <f>BU5/BT5</f>
        <v>0.88888888888888884</v>
      </c>
      <c r="BW5" s="54">
        <v>0.9</v>
      </c>
    </row>
    <row r="6" spans="1:75" x14ac:dyDescent="0.2">
      <c r="A6" s="47">
        <v>2025</v>
      </c>
      <c r="B6" s="47" t="s">
        <v>958</v>
      </c>
      <c r="C6" s="47" t="s">
        <v>968</v>
      </c>
      <c r="D6" s="47" t="s">
        <v>969</v>
      </c>
      <c r="E6" s="48" t="s">
        <v>845</v>
      </c>
      <c r="F6" s="48" t="s">
        <v>15</v>
      </c>
      <c r="G6" s="51" t="s">
        <v>387</v>
      </c>
      <c r="H6" s="35">
        <v>0.95</v>
      </c>
      <c r="I6" s="35">
        <v>0.06</v>
      </c>
      <c r="J6" s="32">
        <v>0.81</v>
      </c>
      <c r="K6" s="47" t="s">
        <v>833</v>
      </c>
      <c r="L6" s="47" t="s">
        <v>963</v>
      </c>
      <c r="M6" s="47" t="s">
        <v>854</v>
      </c>
      <c r="N6" s="47" t="s">
        <v>834</v>
      </c>
      <c r="O6" s="47" t="s">
        <v>965</v>
      </c>
      <c r="P6" s="47" t="s">
        <v>965</v>
      </c>
      <c r="Q6" s="47" t="s">
        <v>965</v>
      </c>
      <c r="R6" s="47" t="s">
        <v>965</v>
      </c>
      <c r="S6" s="47" t="s">
        <v>965</v>
      </c>
      <c r="T6" s="47" t="s">
        <v>965</v>
      </c>
      <c r="U6" s="47" t="s">
        <v>965</v>
      </c>
      <c r="V6" s="47" t="s">
        <v>965</v>
      </c>
      <c r="W6" s="47" t="s">
        <v>965</v>
      </c>
      <c r="X6" s="47" t="s">
        <v>965</v>
      </c>
      <c r="Y6" s="47" t="s">
        <v>965</v>
      </c>
      <c r="Z6" s="47" t="s">
        <v>965</v>
      </c>
      <c r="AA6" s="47" t="s">
        <v>965</v>
      </c>
      <c r="AB6" s="47" t="s">
        <v>965</v>
      </c>
      <c r="AC6" s="47" t="s">
        <v>965</v>
      </c>
      <c r="AD6" s="47" t="s">
        <v>965</v>
      </c>
      <c r="AE6" s="47" t="s">
        <v>965</v>
      </c>
      <c r="AF6" s="47" t="s">
        <v>965</v>
      </c>
      <c r="AG6" s="47" t="s">
        <v>965</v>
      </c>
      <c r="AH6" s="47" t="s">
        <v>965</v>
      </c>
      <c r="AI6" s="47" t="s">
        <v>965</v>
      </c>
      <c r="AJ6" s="47" t="s">
        <v>965</v>
      </c>
      <c r="AK6" s="47" t="s">
        <v>965</v>
      </c>
      <c r="AL6" s="47" t="s">
        <v>965</v>
      </c>
      <c r="AM6" s="47" t="s">
        <v>965</v>
      </c>
      <c r="AN6" s="47" t="s">
        <v>965</v>
      </c>
      <c r="AO6" s="47" t="s">
        <v>965</v>
      </c>
      <c r="AP6" s="47" t="s">
        <v>965</v>
      </c>
      <c r="AQ6" s="47" t="s">
        <v>965</v>
      </c>
      <c r="AR6" s="47" t="s">
        <v>965</v>
      </c>
      <c r="AS6" s="47" t="s">
        <v>965</v>
      </c>
      <c r="AT6" s="47" t="s">
        <v>965</v>
      </c>
      <c r="AU6" s="47" t="s">
        <v>965</v>
      </c>
      <c r="AV6" s="47" t="s">
        <v>965</v>
      </c>
      <c r="AW6" s="47" t="s">
        <v>965</v>
      </c>
      <c r="AX6" s="47" t="s">
        <v>965</v>
      </c>
      <c r="AY6" s="47" t="s">
        <v>965</v>
      </c>
      <c r="AZ6" s="47" t="s">
        <v>965</v>
      </c>
      <c r="BA6" s="47" t="s">
        <v>965</v>
      </c>
      <c r="BB6" s="47" t="s">
        <v>965</v>
      </c>
      <c r="BC6" s="47" t="s">
        <v>833</v>
      </c>
      <c r="BD6" s="47" t="s">
        <v>965</v>
      </c>
      <c r="BE6" s="47" t="s">
        <v>855</v>
      </c>
      <c r="BF6" s="47">
        <v>6</v>
      </c>
      <c r="BG6" s="47">
        <v>1</v>
      </c>
      <c r="BH6" s="47">
        <v>0</v>
      </c>
      <c r="BI6" s="47">
        <v>0</v>
      </c>
      <c r="BJ6" s="47">
        <v>0</v>
      </c>
      <c r="BK6" s="47">
        <v>3</v>
      </c>
      <c r="BL6" s="47">
        <v>0</v>
      </c>
      <c r="BM6" s="47">
        <v>0</v>
      </c>
      <c r="BN6" s="47">
        <v>0</v>
      </c>
      <c r="BO6" s="47">
        <v>0</v>
      </c>
      <c r="BP6" s="47">
        <v>0</v>
      </c>
      <c r="BQ6" s="47">
        <v>9</v>
      </c>
      <c r="BR6" s="47">
        <v>0</v>
      </c>
      <c r="BS6" s="47">
        <v>0</v>
      </c>
      <c r="BT6" s="47">
        <v>9</v>
      </c>
      <c r="BU6" s="47">
        <v>8</v>
      </c>
      <c r="BV6" s="52">
        <f>BU6/BT6</f>
        <v>0.88888888888888884</v>
      </c>
      <c r="BW6" s="54">
        <v>0.53</v>
      </c>
    </row>
    <row r="7" spans="1:75" x14ac:dyDescent="0.2">
      <c r="A7" s="47">
        <v>2025</v>
      </c>
      <c r="B7" s="47" t="s">
        <v>958</v>
      </c>
      <c r="C7" s="47" t="s">
        <v>968</v>
      </c>
      <c r="D7" s="47" t="s">
        <v>970</v>
      </c>
      <c r="E7" s="48" t="s">
        <v>845</v>
      </c>
      <c r="F7" s="48" t="s">
        <v>15</v>
      </c>
      <c r="G7" s="51"/>
      <c r="H7" s="35"/>
      <c r="I7" s="35"/>
      <c r="J7" s="32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52"/>
      <c r="BW7" s="50"/>
    </row>
    <row r="8" spans="1:75" x14ac:dyDescent="0.2">
      <c r="A8" s="47">
        <v>2025</v>
      </c>
      <c r="B8" s="47" t="s">
        <v>958</v>
      </c>
      <c r="C8" s="47" t="s">
        <v>971</v>
      </c>
      <c r="D8" s="47" t="s">
        <v>972</v>
      </c>
      <c r="E8" s="48" t="s">
        <v>845</v>
      </c>
      <c r="F8" s="48" t="s">
        <v>15</v>
      </c>
      <c r="G8" s="51"/>
      <c r="H8" s="48"/>
      <c r="I8" s="48"/>
      <c r="J8" s="48"/>
      <c r="K8" s="47" t="s">
        <v>833</v>
      </c>
      <c r="L8" s="47" t="s">
        <v>963</v>
      </c>
      <c r="M8" s="47" t="s">
        <v>849</v>
      </c>
      <c r="N8" s="47" t="s">
        <v>834</v>
      </c>
      <c r="O8" s="47" t="s">
        <v>833</v>
      </c>
      <c r="P8" s="47" t="s">
        <v>965</v>
      </c>
      <c r="Q8" s="47" t="s">
        <v>965</v>
      </c>
      <c r="R8" s="47" t="s">
        <v>965</v>
      </c>
      <c r="S8" s="47" t="s">
        <v>965</v>
      </c>
      <c r="T8" s="47" t="s">
        <v>965</v>
      </c>
      <c r="U8" s="47" t="s">
        <v>965</v>
      </c>
      <c r="V8" s="47" t="s">
        <v>965</v>
      </c>
      <c r="W8" s="47" t="s">
        <v>965</v>
      </c>
      <c r="X8" s="47" t="s">
        <v>965</v>
      </c>
      <c r="Y8" s="47" t="s">
        <v>965</v>
      </c>
      <c r="Z8" s="47" t="s">
        <v>965</v>
      </c>
      <c r="AA8" s="47" t="s">
        <v>965</v>
      </c>
      <c r="AB8" s="47" t="s">
        <v>965</v>
      </c>
      <c r="AC8" s="47" t="s">
        <v>965</v>
      </c>
      <c r="AD8" s="47" t="s">
        <v>965</v>
      </c>
      <c r="AE8" s="47" t="s">
        <v>965</v>
      </c>
      <c r="AF8" s="47" t="s">
        <v>965</v>
      </c>
      <c r="AG8" s="47" t="s">
        <v>965</v>
      </c>
      <c r="AH8" s="47" t="s">
        <v>965</v>
      </c>
      <c r="AI8" s="47" t="s">
        <v>965</v>
      </c>
      <c r="AJ8" s="47" t="s">
        <v>965</v>
      </c>
      <c r="AK8" s="47" t="s">
        <v>965</v>
      </c>
      <c r="AL8" s="47" t="s">
        <v>965</v>
      </c>
      <c r="AM8" s="47" t="s">
        <v>965</v>
      </c>
      <c r="AN8" s="47" t="s">
        <v>965</v>
      </c>
      <c r="AO8" s="47" t="s">
        <v>965</v>
      </c>
      <c r="AP8" s="47" t="s">
        <v>965</v>
      </c>
      <c r="AQ8" s="47" t="s">
        <v>965</v>
      </c>
      <c r="AR8" s="47" t="s">
        <v>965</v>
      </c>
      <c r="AS8" s="47" t="s">
        <v>965</v>
      </c>
      <c r="AT8" s="47" t="s">
        <v>965</v>
      </c>
      <c r="AU8" s="47" t="s">
        <v>965</v>
      </c>
      <c r="AV8" s="47" t="s">
        <v>965</v>
      </c>
      <c r="AW8" s="47" t="s">
        <v>965</v>
      </c>
      <c r="AX8" s="47" t="s">
        <v>965</v>
      </c>
      <c r="AY8" s="47" t="s">
        <v>965</v>
      </c>
      <c r="AZ8" s="47" t="s">
        <v>965</v>
      </c>
      <c r="BA8" s="47" t="s">
        <v>965</v>
      </c>
      <c r="BB8" s="47" t="s">
        <v>965</v>
      </c>
      <c r="BC8" s="47" t="s">
        <v>833</v>
      </c>
      <c r="BD8" s="47" t="s">
        <v>965</v>
      </c>
      <c r="BE8" s="47" t="s">
        <v>835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20</v>
      </c>
      <c r="BL8" s="47">
        <v>0</v>
      </c>
      <c r="BM8" s="47">
        <v>20</v>
      </c>
      <c r="BN8" s="47">
        <v>0</v>
      </c>
      <c r="BO8" s="47">
        <v>0</v>
      </c>
      <c r="BP8" s="47">
        <v>0</v>
      </c>
      <c r="BQ8" s="47">
        <v>20</v>
      </c>
      <c r="BR8" s="47">
        <v>0</v>
      </c>
      <c r="BS8" s="47">
        <v>0</v>
      </c>
      <c r="BT8" s="47">
        <v>20</v>
      </c>
      <c r="BU8" s="47">
        <v>20</v>
      </c>
      <c r="BV8" s="52">
        <f t="shared" ref="BV8:BV50" si="0">BU8/BT8</f>
        <v>1</v>
      </c>
      <c r="BW8" s="50"/>
    </row>
    <row r="9" spans="1:75" x14ac:dyDescent="0.2">
      <c r="A9" s="47">
        <v>2025</v>
      </c>
      <c r="B9" s="47" t="s">
        <v>958</v>
      </c>
      <c r="C9" s="47" t="s">
        <v>973</v>
      </c>
      <c r="D9" s="47" t="s">
        <v>970</v>
      </c>
      <c r="E9" s="48" t="s">
        <v>845</v>
      </c>
      <c r="F9" s="48" t="s">
        <v>15</v>
      </c>
      <c r="G9" s="51"/>
      <c r="H9" s="48"/>
      <c r="I9" s="48"/>
      <c r="J9" s="48"/>
      <c r="K9" s="47" t="s">
        <v>833</v>
      </c>
      <c r="L9" s="47" t="s">
        <v>963</v>
      </c>
      <c r="M9" s="47" t="s">
        <v>974</v>
      </c>
      <c r="N9" s="47" t="s">
        <v>834</v>
      </c>
      <c r="O9" s="47" t="s">
        <v>965</v>
      </c>
      <c r="P9" s="47" t="s">
        <v>965</v>
      </c>
      <c r="Q9" s="47" t="s">
        <v>965</v>
      </c>
      <c r="R9" s="47" t="s">
        <v>965</v>
      </c>
      <c r="S9" s="47" t="s">
        <v>965</v>
      </c>
      <c r="T9" s="47" t="s">
        <v>965</v>
      </c>
      <c r="U9" s="47" t="s">
        <v>965</v>
      </c>
      <c r="V9" s="47" t="s">
        <v>965</v>
      </c>
      <c r="W9" s="47" t="s">
        <v>965</v>
      </c>
      <c r="X9" s="47" t="s">
        <v>965</v>
      </c>
      <c r="Y9" s="47" t="s">
        <v>965</v>
      </c>
      <c r="Z9" s="47" t="s">
        <v>965</v>
      </c>
      <c r="AA9" s="47" t="s">
        <v>965</v>
      </c>
      <c r="AB9" s="47" t="s">
        <v>965</v>
      </c>
      <c r="AC9" s="47" t="s">
        <v>965</v>
      </c>
      <c r="AD9" s="47" t="s">
        <v>965</v>
      </c>
      <c r="AE9" s="47" t="s">
        <v>965</v>
      </c>
      <c r="AF9" s="47" t="s">
        <v>965</v>
      </c>
      <c r="AG9" s="47" t="s">
        <v>965</v>
      </c>
      <c r="AH9" s="47" t="s">
        <v>965</v>
      </c>
      <c r="AI9" s="47" t="s">
        <v>965</v>
      </c>
      <c r="AJ9" s="47" t="s">
        <v>965</v>
      </c>
      <c r="AK9" s="47" t="s">
        <v>965</v>
      </c>
      <c r="AL9" s="47" t="s">
        <v>965</v>
      </c>
      <c r="AM9" s="47" t="s">
        <v>965</v>
      </c>
      <c r="AN9" s="47" t="s">
        <v>965</v>
      </c>
      <c r="AO9" s="47" t="s">
        <v>965</v>
      </c>
      <c r="AP9" s="47" t="s">
        <v>965</v>
      </c>
      <c r="AQ9" s="47" t="s">
        <v>965</v>
      </c>
      <c r="AR9" s="47" t="s">
        <v>965</v>
      </c>
      <c r="AS9" s="47" t="s">
        <v>965</v>
      </c>
      <c r="AT9" s="47" t="s">
        <v>965</v>
      </c>
      <c r="AU9" s="47" t="s">
        <v>965</v>
      </c>
      <c r="AV9" s="47" t="s">
        <v>965</v>
      </c>
      <c r="AW9" s="47" t="s">
        <v>965</v>
      </c>
      <c r="AX9" s="47" t="s">
        <v>965</v>
      </c>
      <c r="AY9" s="47" t="s">
        <v>965</v>
      </c>
      <c r="AZ9" s="47" t="s">
        <v>965</v>
      </c>
      <c r="BA9" s="47" t="s">
        <v>965</v>
      </c>
      <c r="BB9" s="47" t="s">
        <v>965</v>
      </c>
      <c r="BC9" s="47" t="s">
        <v>833</v>
      </c>
      <c r="BD9" s="47" t="s">
        <v>965</v>
      </c>
      <c r="BE9" s="47" t="s">
        <v>835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32</v>
      </c>
      <c r="BL9" s="47">
        <v>8</v>
      </c>
      <c r="BM9" s="47">
        <v>0</v>
      </c>
      <c r="BN9" s="47">
        <v>0</v>
      </c>
      <c r="BO9" s="47">
        <v>0</v>
      </c>
      <c r="BP9" s="47">
        <v>0</v>
      </c>
      <c r="BQ9" s="47">
        <v>32</v>
      </c>
      <c r="BR9" s="47">
        <v>0</v>
      </c>
      <c r="BS9" s="47">
        <v>0</v>
      </c>
      <c r="BT9" s="47">
        <v>32</v>
      </c>
      <c r="BU9" s="47">
        <v>30</v>
      </c>
      <c r="BV9" s="52">
        <f t="shared" si="0"/>
        <v>0.9375</v>
      </c>
      <c r="BW9" s="54">
        <v>0.61</v>
      </c>
    </row>
    <row r="10" spans="1:75" x14ac:dyDescent="0.2">
      <c r="A10" s="47">
        <v>2025</v>
      </c>
      <c r="B10" s="47" t="s">
        <v>958</v>
      </c>
      <c r="C10" s="47" t="s">
        <v>973</v>
      </c>
      <c r="D10" s="47" t="s">
        <v>975</v>
      </c>
      <c r="E10" s="48" t="s">
        <v>845</v>
      </c>
      <c r="F10" s="48" t="s">
        <v>15</v>
      </c>
      <c r="G10" s="51"/>
      <c r="H10" s="5"/>
      <c r="I10" s="5"/>
      <c r="J10" s="5"/>
      <c r="K10" s="47" t="s">
        <v>833</v>
      </c>
      <c r="L10" s="47" t="s">
        <v>963</v>
      </c>
      <c r="M10" s="47" t="s">
        <v>849</v>
      </c>
      <c r="N10" s="47" t="s">
        <v>834</v>
      </c>
      <c r="O10" s="47" t="s">
        <v>965</v>
      </c>
      <c r="P10" s="47" t="s">
        <v>965</v>
      </c>
      <c r="Q10" s="47" t="s">
        <v>965</v>
      </c>
      <c r="R10" s="47" t="s">
        <v>965</v>
      </c>
      <c r="S10" s="47" t="s">
        <v>965</v>
      </c>
      <c r="T10" s="47" t="s">
        <v>965</v>
      </c>
      <c r="U10" s="47" t="s">
        <v>965</v>
      </c>
      <c r="V10" s="47" t="s">
        <v>965</v>
      </c>
      <c r="W10" s="47" t="s">
        <v>965</v>
      </c>
      <c r="X10" s="47" t="s">
        <v>965</v>
      </c>
      <c r="Y10" s="47" t="s">
        <v>965</v>
      </c>
      <c r="Z10" s="47" t="s">
        <v>965</v>
      </c>
      <c r="AA10" s="47" t="s">
        <v>965</v>
      </c>
      <c r="AB10" s="47" t="s">
        <v>965</v>
      </c>
      <c r="AC10" s="47" t="s">
        <v>965</v>
      </c>
      <c r="AD10" s="47" t="s">
        <v>965</v>
      </c>
      <c r="AE10" s="47" t="s">
        <v>965</v>
      </c>
      <c r="AF10" s="47" t="s">
        <v>965</v>
      </c>
      <c r="AG10" s="47" t="s">
        <v>965</v>
      </c>
      <c r="AH10" s="47" t="s">
        <v>965</v>
      </c>
      <c r="AI10" s="47" t="s">
        <v>965</v>
      </c>
      <c r="AJ10" s="47" t="s">
        <v>965</v>
      </c>
      <c r="AK10" s="47" t="s">
        <v>965</v>
      </c>
      <c r="AL10" s="47" t="s">
        <v>965</v>
      </c>
      <c r="AM10" s="47" t="s">
        <v>965</v>
      </c>
      <c r="AN10" s="47" t="s">
        <v>965</v>
      </c>
      <c r="AO10" s="47" t="s">
        <v>965</v>
      </c>
      <c r="AP10" s="47" t="s">
        <v>965</v>
      </c>
      <c r="AQ10" s="47" t="s">
        <v>965</v>
      </c>
      <c r="AR10" s="47" t="s">
        <v>965</v>
      </c>
      <c r="AS10" s="47" t="s">
        <v>965</v>
      </c>
      <c r="AT10" s="47" t="s">
        <v>965</v>
      </c>
      <c r="AU10" s="47" t="s">
        <v>965</v>
      </c>
      <c r="AV10" s="47" t="s">
        <v>965</v>
      </c>
      <c r="AW10" s="47" t="s">
        <v>965</v>
      </c>
      <c r="AX10" s="47" t="s">
        <v>965</v>
      </c>
      <c r="AY10" s="47" t="s">
        <v>965</v>
      </c>
      <c r="AZ10" s="47" t="s">
        <v>965</v>
      </c>
      <c r="BA10" s="47" t="s">
        <v>965</v>
      </c>
      <c r="BB10" s="47" t="s">
        <v>965</v>
      </c>
      <c r="BC10" s="47" t="s">
        <v>965</v>
      </c>
      <c r="BD10" s="47" t="s">
        <v>965</v>
      </c>
      <c r="BE10" s="47" t="s">
        <v>887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47">
        <v>21</v>
      </c>
      <c r="BL10" s="47">
        <v>0</v>
      </c>
      <c r="BM10" s="47">
        <v>0</v>
      </c>
      <c r="BN10" s="47">
        <v>0</v>
      </c>
      <c r="BO10" s="47">
        <v>0</v>
      </c>
      <c r="BP10" s="47">
        <v>0</v>
      </c>
      <c r="BQ10" s="47">
        <v>21</v>
      </c>
      <c r="BR10" s="47">
        <v>0</v>
      </c>
      <c r="BS10" s="47">
        <v>3</v>
      </c>
      <c r="BT10" s="47">
        <v>24</v>
      </c>
      <c r="BU10" s="47">
        <v>23</v>
      </c>
      <c r="BV10" s="52">
        <f t="shared" si="0"/>
        <v>0.95833333333333337</v>
      </c>
      <c r="BW10" s="54">
        <v>0.79</v>
      </c>
    </row>
    <row r="11" spans="1:75" x14ac:dyDescent="0.2">
      <c r="A11" s="47">
        <v>2025</v>
      </c>
      <c r="B11" s="47" t="s">
        <v>958</v>
      </c>
      <c r="C11" s="47" t="s">
        <v>973</v>
      </c>
      <c r="D11" s="47" t="s">
        <v>976</v>
      </c>
      <c r="E11" s="48" t="s">
        <v>845</v>
      </c>
      <c r="F11" s="48" t="s">
        <v>15</v>
      </c>
      <c r="G11" s="51"/>
      <c r="H11" s="5"/>
      <c r="I11" s="5"/>
      <c r="J11" s="5"/>
      <c r="K11" s="47" t="s">
        <v>833</v>
      </c>
      <c r="L11" s="47" t="s">
        <v>963</v>
      </c>
      <c r="M11" s="47" t="s">
        <v>849</v>
      </c>
      <c r="N11" s="47" t="s">
        <v>834</v>
      </c>
      <c r="O11" s="47" t="s">
        <v>965</v>
      </c>
      <c r="P11" s="47" t="s">
        <v>965</v>
      </c>
      <c r="Q11" s="47" t="s">
        <v>965</v>
      </c>
      <c r="R11" s="47" t="s">
        <v>965</v>
      </c>
      <c r="S11" s="47" t="s">
        <v>965</v>
      </c>
      <c r="T11" s="47" t="s">
        <v>965</v>
      </c>
      <c r="U11" s="47" t="s">
        <v>965</v>
      </c>
      <c r="V11" s="47" t="s">
        <v>965</v>
      </c>
      <c r="W11" s="47" t="s">
        <v>965</v>
      </c>
      <c r="X11" s="47" t="s">
        <v>965</v>
      </c>
      <c r="Y11" s="47" t="s">
        <v>965</v>
      </c>
      <c r="Z11" s="47" t="s">
        <v>965</v>
      </c>
      <c r="AA11" s="47" t="s">
        <v>965</v>
      </c>
      <c r="AB11" s="47" t="s">
        <v>965</v>
      </c>
      <c r="AC11" s="47" t="s">
        <v>965</v>
      </c>
      <c r="AD11" s="47" t="s">
        <v>965</v>
      </c>
      <c r="AE11" s="47" t="s">
        <v>965</v>
      </c>
      <c r="AF11" s="47" t="s">
        <v>965</v>
      </c>
      <c r="AG11" s="47" t="s">
        <v>965</v>
      </c>
      <c r="AH11" s="47" t="s">
        <v>965</v>
      </c>
      <c r="AI11" s="47" t="s">
        <v>965</v>
      </c>
      <c r="AJ11" s="47" t="s">
        <v>965</v>
      </c>
      <c r="AK11" s="47" t="s">
        <v>965</v>
      </c>
      <c r="AL11" s="47" t="s">
        <v>965</v>
      </c>
      <c r="AM11" s="47" t="s">
        <v>965</v>
      </c>
      <c r="AN11" s="47" t="s">
        <v>965</v>
      </c>
      <c r="AO11" s="47" t="s">
        <v>965</v>
      </c>
      <c r="AP11" s="47" t="s">
        <v>965</v>
      </c>
      <c r="AQ11" s="47" t="s">
        <v>965</v>
      </c>
      <c r="AR11" s="47" t="s">
        <v>965</v>
      </c>
      <c r="AS11" s="47" t="s">
        <v>965</v>
      </c>
      <c r="AT11" s="47" t="s">
        <v>965</v>
      </c>
      <c r="AU11" s="47" t="s">
        <v>965</v>
      </c>
      <c r="AV11" s="47" t="s">
        <v>965</v>
      </c>
      <c r="AW11" s="47" t="s">
        <v>965</v>
      </c>
      <c r="AX11" s="47" t="s">
        <v>965</v>
      </c>
      <c r="AY11" s="47" t="s">
        <v>965</v>
      </c>
      <c r="AZ11" s="47" t="s">
        <v>965</v>
      </c>
      <c r="BA11" s="47" t="s">
        <v>965</v>
      </c>
      <c r="BB11" s="47" t="s">
        <v>965</v>
      </c>
      <c r="BC11" s="47" t="s">
        <v>965</v>
      </c>
      <c r="BD11" s="47" t="s">
        <v>965</v>
      </c>
      <c r="BE11" s="47" t="s">
        <v>835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6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  <c r="BQ11" s="47">
        <v>6</v>
      </c>
      <c r="BR11" s="47">
        <v>0</v>
      </c>
      <c r="BS11" s="47">
        <v>2</v>
      </c>
      <c r="BT11" s="47">
        <v>8</v>
      </c>
      <c r="BU11" s="47">
        <v>6</v>
      </c>
      <c r="BV11" s="52">
        <f t="shared" si="0"/>
        <v>0.75</v>
      </c>
      <c r="BW11" s="54">
        <v>0.9</v>
      </c>
    </row>
    <row r="12" spans="1:75" x14ac:dyDescent="0.2">
      <c r="A12" s="47">
        <v>2025</v>
      </c>
      <c r="B12" s="47" t="s">
        <v>958</v>
      </c>
      <c r="C12" s="47" t="s">
        <v>973</v>
      </c>
      <c r="D12" s="47" t="s">
        <v>977</v>
      </c>
      <c r="E12" s="48" t="s">
        <v>845</v>
      </c>
      <c r="F12" s="48" t="s">
        <v>15</v>
      </c>
      <c r="G12" s="51"/>
      <c r="H12" s="5"/>
      <c r="I12" s="5"/>
      <c r="J12" s="5"/>
      <c r="K12" s="47" t="s">
        <v>833</v>
      </c>
      <c r="L12" s="47" t="s">
        <v>963</v>
      </c>
      <c r="M12" s="47" t="s">
        <v>849</v>
      </c>
      <c r="N12" s="47" t="s">
        <v>834</v>
      </c>
      <c r="O12" s="47" t="s">
        <v>965</v>
      </c>
      <c r="P12" s="47" t="s">
        <v>965</v>
      </c>
      <c r="Q12" s="47" t="s">
        <v>965</v>
      </c>
      <c r="R12" s="47" t="s">
        <v>965</v>
      </c>
      <c r="S12" s="47" t="s">
        <v>965</v>
      </c>
      <c r="T12" s="47" t="s">
        <v>965</v>
      </c>
      <c r="U12" s="47" t="s">
        <v>965</v>
      </c>
      <c r="V12" s="47" t="s">
        <v>965</v>
      </c>
      <c r="W12" s="47" t="s">
        <v>965</v>
      </c>
      <c r="X12" s="47" t="s">
        <v>965</v>
      </c>
      <c r="Y12" s="47" t="s">
        <v>965</v>
      </c>
      <c r="Z12" s="47" t="s">
        <v>965</v>
      </c>
      <c r="AA12" s="47" t="s">
        <v>965</v>
      </c>
      <c r="AB12" s="47" t="s">
        <v>965</v>
      </c>
      <c r="AC12" s="47" t="s">
        <v>965</v>
      </c>
      <c r="AD12" s="47" t="s">
        <v>965</v>
      </c>
      <c r="AE12" s="47" t="s">
        <v>965</v>
      </c>
      <c r="AF12" s="47" t="s">
        <v>965</v>
      </c>
      <c r="AG12" s="47" t="s">
        <v>965</v>
      </c>
      <c r="AH12" s="47" t="s">
        <v>965</v>
      </c>
      <c r="AI12" s="47" t="s">
        <v>965</v>
      </c>
      <c r="AJ12" s="47" t="s">
        <v>965</v>
      </c>
      <c r="AK12" s="47" t="s">
        <v>965</v>
      </c>
      <c r="AL12" s="47" t="s">
        <v>965</v>
      </c>
      <c r="AM12" s="47" t="s">
        <v>965</v>
      </c>
      <c r="AN12" s="47" t="s">
        <v>965</v>
      </c>
      <c r="AO12" s="47" t="s">
        <v>965</v>
      </c>
      <c r="AP12" s="47" t="s">
        <v>965</v>
      </c>
      <c r="AQ12" s="47" t="s">
        <v>965</v>
      </c>
      <c r="AR12" s="47" t="s">
        <v>965</v>
      </c>
      <c r="AS12" s="47" t="s">
        <v>965</v>
      </c>
      <c r="AT12" s="47" t="s">
        <v>965</v>
      </c>
      <c r="AU12" s="47" t="s">
        <v>965</v>
      </c>
      <c r="AV12" s="47" t="s">
        <v>965</v>
      </c>
      <c r="AW12" s="47" t="s">
        <v>965</v>
      </c>
      <c r="AX12" s="47" t="s">
        <v>965</v>
      </c>
      <c r="AY12" s="47" t="s">
        <v>965</v>
      </c>
      <c r="AZ12" s="47" t="s">
        <v>965</v>
      </c>
      <c r="BA12" s="47" t="s">
        <v>965</v>
      </c>
      <c r="BB12" s="47" t="s">
        <v>965</v>
      </c>
      <c r="BC12" s="47" t="s">
        <v>965</v>
      </c>
      <c r="BD12" s="47" t="s">
        <v>965</v>
      </c>
      <c r="BE12" s="47" t="s">
        <v>835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6</v>
      </c>
      <c r="BL12" s="47">
        <v>0</v>
      </c>
      <c r="BM12" s="47">
        <v>0</v>
      </c>
      <c r="BN12" s="47">
        <v>0</v>
      </c>
      <c r="BO12" s="47">
        <v>0</v>
      </c>
      <c r="BP12" s="47">
        <v>0</v>
      </c>
      <c r="BQ12" s="47">
        <v>6</v>
      </c>
      <c r="BR12" s="47">
        <v>0</v>
      </c>
      <c r="BS12" s="47">
        <v>2</v>
      </c>
      <c r="BT12" s="47">
        <v>8</v>
      </c>
      <c r="BU12" s="47">
        <v>6</v>
      </c>
      <c r="BV12" s="52">
        <f t="shared" si="0"/>
        <v>0.75</v>
      </c>
      <c r="BW12" s="54"/>
    </row>
    <row r="13" spans="1:75" x14ac:dyDescent="0.2">
      <c r="A13" s="47">
        <v>2025</v>
      </c>
      <c r="B13" s="47" t="s">
        <v>958</v>
      </c>
      <c r="C13" s="47" t="s">
        <v>973</v>
      </c>
      <c r="D13" s="47" t="s">
        <v>978</v>
      </c>
      <c r="E13" s="48" t="s">
        <v>845</v>
      </c>
      <c r="F13" s="48" t="s">
        <v>15</v>
      </c>
      <c r="G13" s="51"/>
      <c r="H13" s="5"/>
      <c r="I13" s="5"/>
      <c r="J13" s="5"/>
      <c r="K13" s="47" t="s">
        <v>833</v>
      </c>
      <c r="L13" s="47" t="s">
        <v>963</v>
      </c>
      <c r="M13" s="47" t="s">
        <v>849</v>
      </c>
      <c r="N13" s="47" t="s">
        <v>834</v>
      </c>
      <c r="O13" s="47" t="s">
        <v>965</v>
      </c>
      <c r="P13" s="47" t="s">
        <v>965</v>
      </c>
      <c r="Q13" s="47" t="s">
        <v>965</v>
      </c>
      <c r="R13" s="47" t="s">
        <v>965</v>
      </c>
      <c r="S13" s="47" t="s">
        <v>965</v>
      </c>
      <c r="T13" s="47" t="s">
        <v>965</v>
      </c>
      <c r="U13" s="47" t="s">
        <v>965</v>
      </c>
      <c r="V13" s="47" t="s">
        <v>965</v>
      </c>
      <c r="W13" s="47" t="s">
        <v>965</v>
      </c>
      <c r="X13" s="47" t="s">
        <v>965</v>
      </c>
      <c r="Y13" s="47" t="s">
        <v>965</v>
      </c>
      <c r="Z13" s="47" t="s">
        <v>965</v>
      </c>
      <c r="AA13" s="47" t="s">
        <v>965</v>
      </c>
      <c r="AB13" s="47" t="s">
        <v>965</v>
      </c>
      <c r="AC13" s="47" t="s">
        <v>965</v>
      </c>
      <c r="AD13" s="47" t="s">
        <v>965</v>
      </c>
      <c r="AE13" s="47" t="s">
        <v>965</v>
      </c>
      <c r="AF13" s="47" t="s">
        <v>965</v>
      </c>
      <c r="AG13" s="47" t="s">
        <v>965</v>
      </c>
      <c r="AH13" s="47" t="s">
        <v>965</v>
      </c>
      <c r="AI13" s="47" t="s">
        <v>965</v>
      </c>
      <c r="AJ13" s="47" t="s">
        <v>965</v>
      </c>
      <c r="AK13" s="47" t="s">
        <v>965</v>
      </c>
      <c r="AL13" s="47" t="s">
        <v>965</v>
      </c>
      <c r="AM13" s="47" t="s">
        <v>965</v>
      </c>
      <c r="AN13" s="47" t="s">
        <v>965</v>
      </c>
      <c r="AO13" s="47" t="s">
        <v>965</v>
      </c>
      <c r="AP13" s="47" t="s">
        <v>965</v>
      </c>
      <c r="AQ13" s="47" t="s">
        <v>965</v>
      </c>
      <c r="AR13" s="47" t="s">
        <v>965</v>
      </c>
      <c r="AS13" s="47" t="s">
        <v>965</v>
      </c>
      <c r="AT13" s="47" t="s">
        <v>965</v>
      </c>
      <c r="AU13" s="47" t="s">
        <v>965</v>
      </c>
      <c r="AV13" s="47" t="s">
        <v>965</v>
      </c>
      <c r="AW13" s="47" t="s">
        <v>965</v>
      </c>
      <c r="AX13" s="47" t="s">
        <v>965</v>
      </c>
      <c r="AY13" s="47" t="s">
        <v>965</v>
      </c>
      <c r="AZ13" s="47" t="s">
        <v>965</v>
      </c>
      <c r="BA13" s="47" t="s">
        <v>965</v>
      </c>
      <c r="BB13" s="47" t="s">
        <v>965</v>
      </c>
      <c r="BC13" s="47" t="s">
        <v>965</v>
      </c>
      <c r="BD13" s="47" t="s">
        <v>965</v>
      </c>
      <c r="BE13" s="47" t="s">
        <v>835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10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  <c r="BQ13" s="47">
        <v>10</v>
      </c>
      <c r="BR13" s="47">
        <v>0</v>
      </c>
      <c r="BS13" s="47">
        <v>2</v>
      </c>
      <c r="BT13" s="47">
        <v>12</v>
      </c>
      <c r="BU13" s="47">
        <v>7</v>
      </c>
      <c r="BV13" s="52">
        <f t="shared" si="0"/>
        <v>0.58333333333333337</v>
      </c>
      <c r="BW13" s="50"/>
    </row>
    <row r="14" spans="1:75" x14ac:dyDescent="0.2">
      <c r="A14" s="47">
        <v>2025</v>
      </c>
      <c r="B14" s="47" t="s">
        <v>958</v>
      </c>
      <c r="C14" s="47" t="s">
        <v>973</v>
      </c>
      <c r="D14" s="47" t="s">
        <v>979</v>
      </c>
      <c r="E14" s="48" t="s">
        <v>845</v>
      </c>
      <c r="F14" s="48" t="s">
        <v>15</v>
      </c>
      <c r="G14" s="51"/>
      <c r="H14" s="48"/>
      <c r="I14" s="48"/>
      <c r="J14" s="48"/>
      <c r="K14" s="47" t="s">
        <v>833</v>
      </c>
      <c r="L14" s="47" t="s">
        <v>963</v>
      </c>
      <c r="M14" s="47" t="s">
        <v>849</v>
      </c>
      <c r="N14" s="47" t="s">
        <v>834</v>
      </c>
      <c r="O14" s="47" t="s">
        <v>965</v>
      </c>
      <c r="P14" s="47" t="s">
        <v>965</v>
      </c>
      <c r="Q14" s="47" t="s">
        <v>965</v>
      </c>
      <c r="R14" s="47" t="s">
        <v>965</v>
      </c>
      <c r="S14" s="47" t="s">
        <v>965</v>
      </c>
      <c r="T14" s="47" t="s">
        <v>965</v>
      </c>
      <c r="U14" s="47" t="s">
        <v>965</v>
      </c>
      <c r="V14" s="47" t="s">
        <v>965</v>
      </c>
      <c r="W14" s="47" t="s">
        <v>965</v>
      </c>
      <c r="X14" s="47" t="s">
        <v>965</v>
      </c>
      <c r="Y14" s="47" t="s">
        <v>965</v>
      </c>
      <c r="Z14" s="47" t="s">
        <v>965</v>
      </c>
      <c r="AA14" s="47" t="s">
        <v>965</v>
      </c>
      <c r="AB14" s="47" t="s">
        <v>965</v>
      </c>
      <c r="AC14" s="47" t="s">
        <v>965</v>
      </c>
      <c r="AD14" s="47" t="s">
        <v>965</v>
      </c>
      <c r="AE14" s="47" t="s">
        <v>965</v>
      </c>
      <c r="AF14" s="47" t="s">
        <v>965</v>
      </c>
      <c r="AG14" s="47" t="s">
        <v>965</v>
      </c>
      <c r="AH14" s="47" t="s">
        <v>965</v>
      </c>
      <c r="AI14" s="47" t="s">
        <v>965</v>
      </c>
      <c r="AJ14" s="47" t="s">
        <v>965</v>
      </c>
      <c r="AK14" s="47" t="s">
        <v>965</v>
      </c>
      <c r="AL14" s="47" t="s">
        <v>965</v>
      </c>
      <c r="AM14" s="47" t="s">
        <v>965</v>
      </c>
      <c r="AN14" s="47" t="s">
        <v>965</v>
      </c>
      <c r="AO14" s="47" t="s">
        <v>965</v>
      </c>
      <c r="AP14" s="47" t="s">
        <v>965</v>
      </c>
      <c r="AQ14" s="47" t="s">
        <v>965</v>
      </c>
      <c r="AR14" s="47" t="s">
        <v>965</v>
      </c>
      <c r="AS14" s="47" t="s">
        <v>965</v>
      </c>
      <c r="AT14" s="47" t="s">
        <v>965</v>
      </c>
      <c r="AU14" s="47" t="s">
        <v>965</v>
      </c>
      <c r="AV14" s="47" t="s">
        <v>965</v>
      </c>
      <c r="AW14" s="47" t="s">
        <v>965</v>
      </c>
      <c r="AX14" s="47" t="s">
        <v>965</v>
      </c>
      <c r="AY14" s="47" t="s">
        <v>965</v>
      </c>
      <c r="AZ14" s="47" t="s">
        <v>965</v>
      </c>
      <c r="BA14" s="47" t="s">
        <v>965</v>
      </c>
      <c r="BB14" s="47" t="s">
        <v>965</v>
      </c>
      <c r="BC14" s="47" t="s">
        <v>965</v>
      </c>
      <c r="BD14" s="47" t="s">
        <v>965</v>
      </c>
      <c r="BE14" s="47" t="s">
        <v>835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16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16</v>
      </c>
      <c r="BR14" s="47">
        <v>0</v>
      </c>
      <c r="BS14" s="47">
        <v>2</v>
      </c>
      <c r="BT14" s="47">
        <v>18</v>
      </c>
      <c r="BU14" s="47">
        <v>9</v>
      </c>
      <c r="BV14" s="52">
        <f t="shared" si="0"/>
        <v>0.5</v>
      </c>
      <c r="BW14" s="50"/>
    </row>
    <row r="15" spans="1:75" x14ac:dyDescent="0.2">
      <c r="A15" s="47">
        <v>2025</v>
      </c>
      <c r="B15" s="47" t="s">
        <v>958</v>
      </c>
      <c r="C15" s="47" t="s">
        <v>973</v>
      </c>
      <c r="D15" s="47" t="s">
        <v>980</v>
      </c>
      <c r="E15" s="48" t="s">
        <v>845</v>
      </c>
      <c r="F15" s="48" t="s">
        <v>15</v>
      </c>
      <c r="G15" s="51"/>
      <c r="H15" s="48"/>
      <c r="I15" s="48"/>
      <c r="J15" s="48"/>
      <c r="K15" s="47" t="s">
        <v>833</v>
      </c>
      <c r="L15" s="47" t="s">
        <v>963</v>
      </c>
      <c r="M15" s="47" t="s">
        <v>849</v>
      </c>
      <c r="N15" s="47" t="s">
        <v>834</v>
      </c>
      <c r="O15" s="47" t="s">
        <v>965</v>
      </c>
      <c r="P15" s="47" t="s">
        <v>965</v>
      </c>
      <c r="Q15" s="47" t="s">
        <v>965</v>
      </c>
      <c r="R15" s="47" t="s">
        <v>965</v>
      </c>
      <c r="S15" s="47" t="s">
        <v>965</v>
      </c>
      <c r="T15" s="47" t="s">
        <v>965</v>
      </c>
      <c r="U15" s="47" t="s">
        <v>965</v>
      </c>
      <c r="V15" s="47" t="s">
        <v>965</v>
      </c>
      <c r="W15" s="47" t="s">
        <v>965</v>
      </c>
      <c r="X15" s="47" t="s">
        <v>965</v>
      </c>
      <c r="Y15" s="47" t="s">
        <v>965</v>
      </c>
      <c r="Z15" s="47" t="s">
        <v>965</v>
      </c>
      <c r="AA15" s="47" t="s">
        <v>965</v>
      </c>
      <c r="AB15" s="47" t="s">
        <v>965</v>
      </c>
      <c r="AC15" s="47" t="s">
        <v>965</v>
      </c>
      <c r="AD15" s="47" t="s">
        <v>965</v>
      </c>
      <c r="AE15" s="47" t="s">
        <v>965</v>
      </c>
      <c r="AF15" s="47" t="s">
        <v>965</v>
      </c>
      <c r="AG15" s="47" t="s">
        <v>965</v>
      </c>
      <c r="AH15" s="47" t="s">
        <v>965</v>
      </c>
      <c r="AI15" s="47" t="s">
        <v>965</v>
      </c>
      <c r="AJ15" s="47" t="s">
        <v>965</v>
      </c>
      <c r="AK15" s="47" t="s">
        <v>965</v>
      </c>
      <c r="AL15" s="47" t="s">
        <v>965</v>
      </c>
      <c r="AM15" s="47" t="s">
        <v>965</v>
      </c>
      <c r="AN15" s="47" t="s">
        <v>965</v>
      </c>
      <c r="AO15" s="47" t="s">
        <v>965</v>
      </c>
      <c r="AP15" s="47" t="s">
        <v>965</v>
      </c>
      <c r="AQ15" s="47" t="s">
        <v>965</v>
      </c>
      <c r="AR15" s="47" t="s">
        <v>965</v>
      </c>
      <c r="AS15" s="47" t="s">
        <v>965</v>
      </c>
      <c r="AT15" s="47" t="s">
        <v>965</v>
      </c>
      <c r="AU15" s="47" t="s">
        <v>965</v>
      </c>
      <c r="AV15" s="47" t="s">
        <v>965</v>
      </c>
      <c r="AW15" s="47" t="s">
        <v>965</v>
      </c>
      <c r="AX15" s="47" t="s">
        <v>965</v>
      </c>
      <c r="AY15" s="47" t="s">
        <v>965</v>
      </c>
      <c r="AZ15" s="47" t="s">
        <v>965</v>
      </c>
      <c r="BA15" s="47" t="s">
        <v>965</v>
      </c>
      <c r="BB15" s="47" t="s">
        <v>965</v>
      </c>
      <c r="BC15" s="47" t="s">
        <v>965</v>
      </c>
      <c r="BD15" s="47" t="s">
        <v>965</v>
      </c>
      <c r="BE15" s="47" t="s">
        <v>835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26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26</v>
      </c>
      <c r="BR15" s="47">
        <v>0</v>
      </c>
      <c r="BS15" s="47">
        <v>2</v>
      </c>
      <c r="BT15" s="47">
        <v>28</v>
      </c>
      <c r="BU15" s="47">
        <v>25</v>
      </c>
      <c r="BV15" s="52">
        <f t="shared" si="0"/>
        <v>0.8928571428571429</v>
      </c>
      <c r="BW15" s="50"/>
    </row>
    <row r="16" spans="1:75" x14ac:dyDescent="0.2">
      <c r="A16" s="47">
        <v>2025</v>
      </c>
      <c r="B16" s="47" t="s">
        <v>958</v>
      </c>
      <c r="C16" s="47" t="s">
        <v>981</v>
      </c>
      <c r="D16" s="47" t="s">
        <v>982</v>
      </c>
      <c r="E16" s="48" t="s">
        <v>845</v>
      </c>
      <c r="F16" s="48" t="s">
        <v>15</v>
      </c>
      <c r="G16" s="51"/>
      <c r="H16" s="48"/>
      <c r="I16" s="48"/>
      <c r="J16" s="48"/>
      <c r="K16" s="47" t="s">
        <v>833</v>
      </c>
      <c r="L16" s="47" t="s">
        <v>963</v>
      </c>
      <c r="M16" s="47" t="s">
        <v>849</v>
      </c>
      <c r="N16" s="47" t="s">
        <v>834</v>
      </c>
      <c r="O16" s="47" t="s">
        <v>965</v>
      </c>
      <c r="P16" s="47" t="s">
        <v>965</v>
      </c>
      <c r="Q16" s="47" t="s">
        <v>965</v>
      </c>
      <c r="R16" s="47" t="s">
        <v>965</v>
      </c>
      <c r="S16" s="47" t="s">
        <v>965</v>
      </c>
      <c r="T16" s="47" t="s">
        <v>965</v>
      </c>
      <c r="U16" s="47" t="s">
        <v>965</v>
      </c>
      <c r="V16" s="47" t="s">
        <v>965</v>
      </c>
      <c r="W16" s="47" t="s">
        <v>965</v>
      </c>
      <c r="X16" s="47" t="s">
        <v>965</v>
      </c>
      <c r="Y16" s="47" t="s">
        <v>965</v>
      </c>
      <c r="Z16" s="47" t="s">
        <v>965</v>
      </c>
      <c r="AA16" s="47" t="s">
        <v>965</v>
      </c>
      <c r="AB16" s="47" t="s">
        <v>965</v>
      </c>
      <c r="AC16" s="47" t="s">
        <v>965</v>
      </c>
      <c r="AD16" s="47" t="s">
        <v>965</v>
      </c>
      <c r="AE16" s="47" t="s">
        <v>965</v>
      </c>
      <c r="AF16" s="47" t="s">
        <v>965</v>
      </c>
      <c r="AG16" s="47" t="s">
        <v>965</v>
      </c>
      <c r="AH16" s="47" t="s">
        <v>965</v>
      </c>
      <c r="AI16" s="47" t="s">
        <v>965</v>
      </c>
      <c r="AJ16" s="47" t="s">
        <v>965</v>
      </c>
      <c r="AK16" s="47" t="s">
        <v>965</v>
      </c>
      <c r="AL16" s="47" t="s">
        <v>965</v>
      </c>
      <c r="AM16" s="47" t="s">
        <v>965</v>
      </c>
      <c r="AN16" s="47" t="s">
        <v>965</v>
      </c>
      <c r="AO16" s="47" t="s">
        <v>965</v>
      </c>
      <c r="AP16" s="47" t="s">
        <v>965</v>
      </c>
      <c r="AQ16" s="47" t="s">
        <v>965</v>
      </c>
      <c r="AR16" s="47" t="s">
        <v>965</v>
      </c>
      <c r="AS16" s="47" t="s">
        <v>965</v>
      </c>
      <c r="AT16" s="47" t="s">
        <v>965</v>
      </c>
      <c r="AU16" s="47" t="s">
        <v>965</v>
      </c>
      <c r="AV16" s="47" t="s">
        <v>965</v>
      </c>
      <c r="AW16" s="47" t="s">
        <v>965</v>
      </c>
      <c r="AX16" s="47" t="s">
        <v>965</v>
      </c>
      <c r="AY16" s="47" t="s">
        <v>965</v>
      </c>
      <c r="AZ16" s="47" t="s">
        <v>965</v>
      </c>
      <c r="BA16" s="47" t="s">
        <v>965</v>
      </c>
      <c r="BB16" s="47" t="s">
        <v>965</v>
      </c>
      <c r="BC16" s="47" t="s">
        <v>833</v>
      </c>
      <c r="BD16" s="47" t="s">
        <v>965</v>
      </c>
      <c r="BE16" s="47" t="s">
        <v>835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51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51</v>
      </c>
      <c r="BR16" s="47">
        <v>0</v>
      </c>
      <c r="BS16" s="47">
        <v>28</v>
      </c>
      <c r="BT16" s="47">
        <v>79</v>
      </c>
      <c r="BU16" s="47">
        <v>79</v>
      </c>
      <c r="BV16" s="52">
        <f t="shared" si="0"/>
        <v>1</v>
      </c>
      <c r="BW16" s="50"/>
    </row>
    <row r="17" spans="1:75" x14ac:dyDescent="0.2">
      <c r="A17" s="47">
        <v>2025</v>
      </c>
      <c r="B17" s="47" t="s">
        <v>958</v>
      </c>
      <c r="C17" s="47" t="s">
        <v>981</v>
      </c>
      <c r="D17" s="47" t="s">
        <v>983</v>
      </c>
      <c r="E17" s="48" t="s">
        <v>845</v>
      </c>
      <c r="F17" s="48" t="s">
        <v>15</v>
      </c>
      <c r="G17" s="51"/>
      <c r="H17" s="48"/>
      <c r="I17" s="48"/>
      <c r="J17" s="48"/>
      <c r="K17" s="47" t="s">
        <v>833</v>
      </c>
      <c r="L17" s="47" t="s">
        <v>963</v>
      </c>
      <c r="M17" s="47" t="s">
        <v>849</v>
      </c>
      <c r="N17" s="47" t="s">
        <v>834</v>
      </c>
      <c r="O17" s="47" t="s">
        <v>833</v>
      </c>
      <c r="P17" s="47" t="s">
        <v>965</v>
      </c>
      <c r="Q17" s="47" t="s">
        <v>965</v>
      </c>
      <c r="R17" s="47" t="s">
        <v>965</v>
      </c>
      <c r="S17" s="47" t="s">
        <v>965</v>
      </c>
      <c r="T17" s="47" t="s">
        <v>965</v>
      </c>
      <c r="U17" s="47" t="s">
        <v>965</v>
      </c>
      <c r="V17" s="47" t="s">
        <v>965</v>
      </c>
      <c r="W17" s="47" t="s">
        <v>965</v>
      </c>
      <c r="X17" s="47" t="s">
        <v>965</v>
      </c>
      <c r="Y17" s="47" t="s">
        <v>965</v>
      </c>
      <c r="Z17" s="47" t="s">
        <v>965</v>
      </c>
      <c r="AA17" s="47" t="s">
        <v>965</v>
      </c>
      <c r="AB17" s="47" t="s">
        <v>965</v>
      </c>
      <c r="AC17" s="47" t="s">
        <v>965</v>
      </c>
      <c r="AD17" s="47" t="s">
        <v>965</v>
      </c>
      <c r="AE17" s="47" t="s">
        <v>965</v>
      </c>
      <c r="AF17" s="47" t="s">
        <v>965</v>
      </c>
      <c r="AG17" s="47" t="s">
        <v>965</v>
      </c>
      <c r="AH17" s="47" t="s">
        <v>965</v>
      </c>
      <c r="AI17" s="47" t="s">
        <v>965</v>
      </c>
      <c r="AJ17" s="47" t="s">
        <v>965</v>
      </c>
      <c r="AK17" s="47" t="s">
        <v>965</v>
      </c>
      <c r="AL17" s="47" t="s">
        <v>965</v>
      </c>
      <c r="AM17" s="47" t="s">
        <v>965</v>
      </c>
      <c r="AN17" s="47" t="s">
        <v>965</v>
      </c>
      <c r="AO17" s="47" t="s">
        <v>965</v>
      </c>
      <c r="AP17" s="47" t="s">
        <v>965</v>
      </c>
      <c r="AQ17" s="47" t="s">
        <v>965</v>
      </c>
      <c r="AR17" s="47" t="s">
        <v>965</v>
      </c>
      <c r="AS17" s="47" t="s">
        <v>965</v>
      </c>
      <c r="AT17" s="47" t="s">
        <v>965</v>
      </c>
      <c r="AU17" s="47" t="s">
        <v>965</v>
      </c>
      <c r="AV17" s="47" t="s">
        <v>965</v>
      </c>
      <c r="AW17" s="47" t="s">
        <v>965</v>
      </c>
      <c r="AX17" s="47" t="s">
        <v>965</v>
      </c>
      <c r="AY17" s="47" t="s">
        <v>965</v>
      </c>
      <c r="AZ17" s="47" t="s">
        <v>965</v>
      </c>
      <c r="BA17" s="47" t="s">
        <v>965</v>
      </c>
      <c r="BB17" s="47" t="s">
        <v>965</v>
      </c>
      <c r="BC17" s="47" t="s">
        <v>965</v>
      </c>
      <c r="BD17" s="47" t="s">
        <v>965</v>
      </c>
      <c r="BE17" s="47" t="s">
        <v>835</v>
      </c>
      <c r="BF17" s="47">
        <v>16</v>
      </c>
      <c r="BG17" s="47">
        <v>5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16</v>
      </c>
      <c r="BR17" s="47">
        <v>0</v>
      </c>
      <c r="BS17" s="47">
        <v>0</v>
      </c>
      <c r="BT17" s="47">
        <v>16</v>
      </c>
      <c r="BU17" s="47">
        <v>16</v>
      </c>
      <c r="BV17" s="52">
        <f t="shared" si="0"/>
        <v>1</v>
      </c>
      <c r="BW17" s="50"/>
    </row>
    <row r="18" spans="1:75" x14ac:dyDescent="0.2">
      <c r="A18" s="47">
        <v>2025</v>
      </c>
      <c r="B18" s="47" t="s">
        <v>958</v>
      </c>
      <c r="C18" s="47" t="s">
        <v>981</v>
      </c>
      <c r="D18" s="47" t="s">
        <v>984</v>
      </c>
      <c r="E18" s="48" t="s">
        <v>845</v>
      </c>
      <c r="F18" s="48" t="s">
        <v>15</v>
      </c>
      <c r="G18" s="51"/>
      <c r="H18" s="48"/>
      <c r="I18" s="48"/>
      <c r="J18" s="48"/>
      <c r="K18" s="47" t="s">
        <v>833</v>
      </c>
      <c r="L18" s="47" t="s">
        <v>963</v>
      </c>
      <c r="M18" s="47" t="s">
        <v>849</v>
      </c>
      <c r="N18" s="47" t="s">
        <v>834</v>
      </c>
      <c r="O18" s="47" t="s">
        <v>833</v>
      </c>
      <c r="P18" s="47" t="s">
        <v>965</v>
      </c>
      <c r="Q18" s="47" t="s">
        <v>965</v>
      </c>
      <c r="R18" s="47" t="s">
        <v>965</v>
      </c>
      <c r="S18" s="47" t="s">
        <v>965</v>
      </c>
      <c r="T18" s="47" t="s">
        <v>965</v>
      </c>
      <c r="U18" s="47" t="s">
        <v>965</v>
      </c>
      <c r="V18" s="47" t="s">
        <v>965</v>
      </c>
      <c r="W18" s="47" t="s">
        <v>965</v>
      </c>
      <c r="X18" s="47" t="s">
        <v>965</v>
      </c>
      <c r="Y18" s="47" t="s">
        <v>965</v>
      </c>
      <c r="Z18" s="47" t="s">
        <v>965</v>
      </c>
      <c r="AA18" s="47" t="s">
        <v>965</v>
      </c>
      <c r="AB18" s="47" t="s">
        <v>965</v>
      </c>
      <c r="AC18" s="47" t="s">
        <v>965</v>
      </c>
      <c r="AD18" s="47" t="s">
        <v>965</v>
      </c>
      <c r="AE18" s="47" t="s">
        <v>965</v>
      </c>
      <c r="AF18" s="47" t="s">
        <v>965</v>
      </c>
      <c r="AG18" s="47" t="s">
        <v>965</v>
      </c>
      <c r="AH18" s="47" t="s">
        <v>965</v>
      </c>
      <c r="AI18" s="47" t="s">
        <v>965</v>
      </c>
      <c r="AJ18" s="47" t="s">
        <v>965</v>
      </c>
      <c r="AK18" s="47" t="s">
        <v>965</v>
      </c>
      <c r="AL18" s="47" t="s">
        <v>965</v>
      </c>
      <c r="AM18" s="47" t="s">
        <v>965</v>
      </c>
      <c r="AN18" s="47" t="s">
        <v>965</v>
      </c>
      <c r="AO18" s="47" t="s">
        <v>965</v>
      </c>
      <c r="AP18" s="47" t="s">
        <v>965</v>
      </c>
      <c r="AQ18" s="47" t="s">
        <v>965</v>
      </c>
      <c r="AR18" s="47" t="s">
        <v>965</v>
      </c>
      <c r="AS18" s="47" t="s">
        <v>965</v>
      </c>
      <c r="AT18" s="47" t="s">
        <v>965</v>
      </c>
      <c r="AU18" s="47" t="s">
        <v>965</v>
      </c>
      <c r="AV18" s="47" t="s">
        <v>965</v>
      </c>
      <c r="AW18" s="47" t="s">
        <v>965</v>
      </c>
      <c r="AX18" s="47" t="s">
        <v>965</v>
      </c>
      <c r="AY18" s="47" t="s">
        <v>965</v>
      </c>
      <c r="AZ18" s="47" t="s">
        <v>965</v>
      </c>
      <c r="BA18" s="47" t="s">
        <v>965</v>
      </c>
      <c r="BB18" s="47" t="s">
        <v>965</v>
      </c>
      <c r="BC18" s="47" t="s">
        <v>833</v>
      </c>
      <c r="BD18" s="47" t="s">
        <v>965</v>
      </c>
      <c r="BE18" s="47" t="s">
        <v>835</v>
      </c>
      <c r="BF18" s="47">
        <v>28</v>
      </c>
      <c r="BG18" s="47">
        <v>7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28</v>
      </c>
      <c r="BR18" s="47">
        <v>0</v>
      </c>
      <c r="BS18" s="47">
        <v>0</v>
      </c>
      <c r="BT18" s="47">
        <v>28</v>
      </c>
      <c r="BU18" s="47">
        <v>21</v>
      </c>
      <c r="BV18" s="52">
        <f t="shared" si="0"/>
        <v>0.75</v>
      </c>
      <c r="BW18" s="50"/>
    </row>
    <row r="19" spans="1:75" x14ac:dyDescent="0.2">
      <c r="A19" s="47">
        <v>2025</v>
      </c>
      <c r="B19" s="47" t="s">
        <v>958</v>
      </c>
      <c r="C19" s="47" t="s">
        <v>981</v>
      </c>
      <c r="D19" s="47" t="s">
        <v>985</v>
      </c>
      <c r="E19" s="48" t="s">
        <v>845</v>
      </c>
      <c r="F19" s="48" t="s">
        <v>15</v>
      </c>
      <c r="G19" s="51"/>
      <c r="H19" s="48"/>
      <c r="I19" s="48"/>
      <c r="J19" s="48"/>
      <c r="K19" s="47" t="s">
        <v>833</v>
      </c>
      <c r="L19" s="47" t="s">
        <v>963</v>
      </c>
      <c r="M19" s="47" t="s">
        <v>849</v>
      </c>
      <c r="N19" s="47" t="s">
        <v>834</v>
      </c>
      <c r="O19" s="47" t="s">
        <v>833</v>
      </c>
      <c r="P19" s="47" t="s">
        <v>965</v>
      </c>
      <c r="Q19" s="47" t="s">
        <v>965</v>
      </c>
      <c r="R19" s="47" t="s">
        <v>965</v>
      </c>
      <c r="S19" s="47" t="s">
        <v>965</v>
      </c>
      <c r="T19" s="47" t="s">
        <v>965</v>
      </c>
      <c r="U19" s="47" t="s">
        <v>965</v>
      </c>
      <c r="V19" s="47" t="s">
        <v>965</v>
      </c>
      <c r="W19" s="47" t="s">
        <v>965</v>
      </c>
      <c r="X19" s="47" t="s">
        <v>965</v>
      </c>
      <c r="Y19" s="47" t="s">
        <v>965</v>
      </c>
      <c r="Z19" s="47" t="s">
        <v>965</v>
      </c>
      <c r="AA19" s="47" t="s">
        <v>965</v>
      </c>
      <c r="AB19" s="47" t="s">
        <v>965</v>
      </c>
      <c r="AC19" s="47" t="s">
        <v>965</v>
      </c>
      <c r="AD19" s="47" t="s">
        <v>965</v>
      </c>
      <c r="AE19" s="47" t="s">
        <v>965</v>
      </c>
      <c r="AF19" s="47" t="s">
        <v>965</v>
      </c>
      <c r="AG19" s="47" t="s">
        <v>965</v>
      </c>
      <c r="AH19" s="47" t="s">
        <v>965</v>
      </c>
      <c r="AI19" s="47" t="s">
        <v>965</v>
      </c>
      <c r="AJ19" s="47" t="s">
        <v>965</v>
      </c>
      <c r="AK19" s="47" t="s">
        <v>965</v>
      </c>
      <c r="AL19" s="47" t="s">
        <v>965</v>
      </c>
      <c r="AM19" s="47" t="s">
        <v>965</v>
      </c>
      <c r="AN19" s="47" t="s">
        <v>965</v>
      </c>
      <c r="AO19" s="47" t="s">
        <v>965</v>
      </c>
      <c r="AP19" s="47" t="s">
        <v>965</v>
      </c>
      <c r="AQ19" s="47" t="s">
        <v>965</v>
      </c>
      <c r="AR19" s="47" t="s">
        <v>965</v>
      </c>
      <c r="AS19" s="47" t="s">
        <v>965</v>
      </c>
      <c r="AT19" s="47" t="s">
        <v>965</v>
      </c>
      <c r="AU19" s="47" t="s">
        <v>965</v>
      </c>
      <c r="AV19" s="47" t="s">
        <v>965</v>
      </c>
      <c r="AW19" s="47" t="s">
        <v>965</v>
      </c>
      <c r="AX19" s="47" t="s">
        <v>965</v>
      </c>
      <c r="AY19" s="47" t="s">
        <v>965</v>
      </c>
      <c r="AZ19" s="47" t="s">
        <v>965</v>
      </c>
      <c r="BA19" s="47" t="s">
        <v>965</v>
      </c>
      <c r="BB19" s="47" t="s">
        <v>965</v>
      </c>
      <c r="BC19" s="47" t="s">
        <v>833</v>
      </c>
      <c r="BD19" s="47" t="s">
        <v>965</v>
      </c>
      <c r="BE19" s="47" t="s">
        <v>835</v>
      </c>
      <c r="BF19" s="47">
        <v>18</v>
      </c>
      <c r="BG19" s="47">
        <v>6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18</v>
      </c>
      <c r="BR19" s="47">
        <v>0</v>
      </c>
      <c r="BS19" s="47">
        <v>0</v>
      </c>
      <c r="BT19" s="47">
        <v>18</v>
      </c>
      <c r="BU19" s="47">
        <v>15</v>
      </c>
      <c r="BV19" s="52">
        <f t="shared" si="0"/>
        <v>0.83333333333333337</v>
      </c>
      <c r="BW19" s="50"/>
    </row>
    <row r="20" spans="1:75" x14ac:dyDescent="0.2">
      <c r="A20" s="47">
        <v>2025</v>
      </c>
      <c r="B20" s="47" t="s">
        <v>958</v>
      </c>
      <c r="C20" s="47" t="s">
        <v>847</v>
      </c>
      <c r="D20" s="47" t="s">
        <v>986</v>
      </c>
      <c r="E20" s="48" t="s">
        <v>845</v>
      </c>
      <c r="F20" s="48" t="s">
        <v>15</v>
      </c>
      <c r="G20" s="51"/>
      <c r="H20" s="48"/>
      <c r="I20" s="48"/>
      <c r="J20" s="48"/>
      <c r="K20" s="47" t="s">
        <v>833</v>
      </c>
      <c r="L20" s="47" t="s">
        <v>963</v>
      </c>
      <c r="M20" s="47" t="s">
        <v>849</v>
      </c>
      <c r="N20" s="47" t="s">
        <v>834</v>
      </c>
      <c r="O20" s="47" t="s">
        <v>965</v>
      </c>
      <c r="P20" s="47" t="s">
        <v>965</v>
      </c>
      <c r="Q20" s="47" t="s">
        <v>965</v>
      </c>
      <c r="R20" s="47" t="s">
        <v>965</v>
      </c>
      <c r="S20" s="47" t="s">
        <v>965</v>
      </c>
      <c r="T20" s="47" t="s">
        <v>965</v>
      </c>
      <c r="U20" s="47" t="s">
        <v>965</v>
      </c>
      <c r="V20" s="47" t="s">
        <v>965</v>
      </c>
      <c r="W20" s="47" t="s">
        <v>965</v>
      </c>
      <c r="X20" s="47" t="s">
        <v>965</v>
      </c>
      <c r="Y20" s="47" t="s">
        <v>965</v>
      </c>
      <c r="Z20" s="47" t="s">
        <v>965</v>
      </c>
      <c r="AA20" s="47" t="s">
        <v>965</v>
      </c>
      <c r="AB20" s="47" t="s">
        <v>965</v>
      </c>
      <c r="AC20" s="47" t="s">
        <v>965</v>
      </c>
      <c r="AD20" s="47" t="s">
        <v>965</v>
      </c>
      <c r="AE20" s="47" t="s">
        <v>965</v>
      </c>
      <c r="AF20" s="47" t="s">
        <v>965</v>
      </c>
      <c r="AG20" s="47" t="s">
        <v>965</v>
      </c>
      <c r="AH20" s="47" t="s">
        <v>965</v>
      </c>
      <c r="AI20" s="47" t="s">
        <v>965</v>
      </c>
      <c r="AJ20" s="47" t="s">
        <v>965</v>
      </c>
      <c r="AK20" s="47" t="s">
        <v>965</v>
      </c>
      <c r="AL20" s="47" t="s">
        <v>965</v>
      </c>
      <c r="AM20" s="47" t="s">
        <v>965</v>
      </c>
      <c r="AN20" s="47" t="s">
        <v>965</v>
      </c>
      <c r="AO20" s="47" t="s">
        <v>965</v>
      </c>
      <c r="AP20" s="47" t="s">
        <v>965</v>
      </c>
      <c r="AQ20" s="47" t="s">
        <v>965</v>
      </c>
      <c r="AR20" s="47" t="s">
        <v>965</v>
      </c>
      <c r="AS20" s="47" t="s">
        <v>965</v>
      </c>
      <c r="AT20" s="47" t="s">
        <v>965</v>
      </c>
      <c r="AU20" s="47" t="s">
        <v>965</v>
      </c>
      <c r="AV20" s="47" t="s">
        <v>965</v>
      </c>
      <c r="AW20" s="47" t="s">
        <v>965</v>
      </c>
      <c r="AX20" s="47" t="s">
        <v>965</v>
      </c>
      <c r="AY20" s="47" t="s">
        <v>965</v>
      </c>
      <c r="AZ20" s="47" t="s">
        <v>965</v>
      </c>
      <c r="BA20" s="47" t="s">
        <v>965</v>
      </c>
      <c r="BB20" s="47" t="s">
        <v>965</v>
      </c>
      <c r="BC20" s="47" t="s">
        <v>965</v>
      </c>
      <c r="BD20" s="47" t="s">
        <v>965</v>
      </c>
      <c r="BE20" s="47" t="s">
        <v>835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6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6</v>
      </c>
      <c r="BR20" s="47">
        <v>0</v>
      </c>
      <c r="BS20" s="47">
        <v>0</v>
      </c>
      <c r="BT20" s="47">
        <v>6</v>
      </c>
      <c r="BU20" s="47">
        <v>6</v>
      </c>
      <c r="BV20" s="52">
        <f t="shared" si="0"/>
        <v>1</v>
      </c>
      <c r="BW20" s="50"/>
    </row>
    <row r="21" spans="1:75" x14ac:dyDescent="0.2">
      <c r="A21" s="47">
        <v>2025</v>
      </c>
      <c r="B21" s="47" t="s">
        <v>958</v>
      </c>
      <c r="C21" s="47" t="s">
        <v>866</v>
      </c>
      <c r="D21" s="47" t="s">
        <v>987</v>
      </c>
      <c r="E21" s="48" t="s">
        <v>845</v>
      </c>
      <c r="F21" s="48" t="s">
        <v>15</v>
      </c>
      <c r="G21" s="51" t="s">
        <v>988</v>
      </c>
      <c r="H21" s="53">
        <v>0.18</v>
      </c>
      <c r="I21" s="53">
        <v>0.5</v>
      </c>
      <c r="J21" s="49">
        <v>0.61</v>
      </c>
      <c r="K21" s="47" t="s">
        <v>833</v>
      </c>
      <c r="L21" s="47" t="s">
        <v>963</v>
      </c>
      <c r="M21" s="47" t="s">
        <v>849</v>
      </c>
      <c r="N21" s="47" t="s">
        <v>834</v>
      </c>
      <c r="O21" s="47" t="s">
        <v>965</v>
      </c>
      <c r="P21" s="47" t="s">
        <v>965</v>
      </c>
      <c r="Q21" s="47" t="s">
        <v>965</v>
      </c>
      <c r="R21" s="47" t="s">
        <v>965</v>
      </c>
      <c r="S21" s="47" t="s">
        <v>965</v>
      </c>
      <c r="T21" s="47" t="s">
        <v>965</v>
      </c>
      <c r="U21" s="47" t="s">
        <v>965</v>
      </c>
      <c r="V21" s="47" t="s">
        <v>965</v>
      </c>
      <c r="W21" s="47" t="s">
        <v>965</v>
      </c>
      <c r="X21" s="47" t="s">
        <v>965</v>
      </c>
      <c r="Y21" s="47" t="s">
        <v>965</v>
      </c>
      <c r="Z21" s="47" t="s">
        <v>965</v>
      </c>
      <c r="AA21" s="47" t="s">
        <v>965</v>
      </c>
      <c r="AB21" s="47" t="s">
        <v>965</v>
      </c>
      <c r="AC21" s="47" t="s">
        <v>965</v>
      </c>
      <c r="AD21" s="47" t="s">
        <v>965</v>
      </c>
      <c r="AE21" s="47" t="s">
        <v>965</v>
      </c>
      <c r="AF21" s="47" t="s">
        <v>965</v>
      </c>
      <c r="AG21" s="47" t="s">
        <v>965</v>
      </c>
      <c r="AH21" s="47" t="s">
        <v>965</v>
      </c>
      <c r="AI21" s="47" t="s">
        <v>965</v>
      </c>
      <c r="AJ21" s="47" t="s">
        <v>965</v>
      </c>
      <c r="AK21" s="47" t="s">
        <v>965</v>
      </c>
      <c r="AL21" s="47" t="s">
        <v>965</v>
      </c>
      <c r="AM21" s="47" t="s">
        <v>965</v>
      </c>
      <c r="AN21" s="47" t="s">
        <v>965</v>
      </c>
      <c r="AO21" s="47" t="s">
        <v>965</v>
      </c>
      <c r="AP21" s="47" t="s">
        <v>965</v>
      </c>
      <c r="AQ21" s="47" t="s">
        <v>965</v>
      </c>
      <c r="AR21" s="47" t="s">
        <v>965</v>
      </c>
      <c r="AS21" s="47" t="s">
        <v>965</v>
      </c>
      <c r="AT21" s="47" t="s">
        <v>965</v>
      </c>
      <c r="AU21" s="47" t="s">
        <v>965</v>
      </c>
      <c r="AV21" s="47" t="s">
        <v>965</v>
      </c>
      <c r="AW21" s="47" t="s">
        <v>965</v>
      </c>
      <c r="AX21" s="47" t="s">
        <v>965</v>
      </c>
      <c r="AY21" s="47" t="s">
        <v>965</v>
      </c>
      <c r="AZ21" s="47" t="s">
        <v>965</v>
      </c>
      <c r="BA21" s="47" t="s">
        <v>965</v>
      </c>
      <c r="BB21" s="47" t="s">
        <v>965</v>
      </c>
      <c r="BC21" s="47" t="s">
        <v>833</v>
      </c>
      <c r="BD21" s="47" t="s">
        <v>965</v>
      </c>
      <c r="BE21" s="47" t="s">
        <v>835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200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200</v>
      </c>
      <c r="BR21" s="47">
        <v>0</v>
      </c>
      <c r="BS21" s="47">
        <v>0</v>
      </c>
      <c r="BT21" s="47">
        <v>200</v>
      </c>
      <c r="BU21" s="47">
        <v>193</v>
      </c>
      <c r="BV21" s="52">
        <f t="shared" si="0"/>
        <v>0.96499999999999997</v>
      </c>
      <c r="BW21" s="50"/>
    </row>
    <row r="22" spans="1:75" x14ac:dyDescent="0.2">
      <c r="A22" s="47">
        <v>2025</v>
      </c>
      <c r="B22" s="47" t="s">
        <v>958</v>
      </c>
      <c r="C22" s="47" t="s">
        <v>989</v>
      </c>
      <c r="D22" s="47" t="s">
        <v>990</v>
      </c>
      <c r="E22" s="48" t="s">
        <v>845</v>
      </c>
      <c r="F22" s="48" t="s">
        <v>15</v>
      </c>
      <c r="G22" s="51" t="s">
        <v>766</v>
      </c>
      <c r="H22" s="53">
        <v>0.27</v>
      </c>
      <c r="I22" s="53">
        <v>0.35</v>
      </c>
      <c r="J22" s="49">
        <v>0.84</v>
      </c>
      <c r="K22" s="47" t="s">
        <v>833</v>
      </c>
      <c r="L22" s="47" t="s">
        <v>963</v>
      </c>
      <c r="M22" s="47" t="s">
        <v>849</v>
      </c>
      <c r="N22" s="47" t="s">
        <v>834</v>
      </c>
      <c r="O22" s="47" t="s">
        <v>833</v>
      </c>
      <c r="P22" s="47" t="s">
        <v>965</v>
      </c>
      <c r="Q22" s="47" t="s">
        <v>965</v>
      </c>
      <c r="R22" s="47" t="s">
        <v>965</v>
      </c>
      <c r="S22" s="47" t="s">
        <v>965</v>
      </c>
      <c r="T22" s="47" t="s">
        <v>965</v>
      </c>
      <c r="U22" s="47" t="s">
        <v>965</v>
      </c>
      <c r="V22" s="47" t="s">
        <v>965</v>
      </c>
      <c r="W22" s="47" t="s">
        <v>965</v>
      </c>
      <c r="X22" s="47" t="s">
        <v>965</v>
      </c>
      <c r="Y22" s="47" t="s">
        <v>965</v>
      </c>
      <c r="Z22" s="47" t="s">
        <v>965</v>
      </c>
      <c r="AA22" s="47" t="s">
        <v>965</v>
      </c>
      <c r="AB22" s="47" t="s">
        <v>965</v>
      </c>
      <c r="AC22" s="47" t="s">
        <v>965</v>
      </c>
      <c r="AD22" s="47" t="s">
        <v>965</v>
      </c>
      <c r="AE22" s="47" t="s">
        <v>965</v>
      </c>
      <c r="AF22" s="47" t="s">
        <v>965</v>
      </c>
      <c r="AG22" s="47" t="s">
        <v>965</v>
      </c>
      <c r="AH22" s="47" t="s">
        <v>965</v>
      </c>
      <c r="AI22" s="47" t="s">
        <v>965</v>
      </c>
      <c r="AJ22" s="47" t="s">
        <v>965</v>
      </c>
      <c r="AK22" s="47" t="s">
        <v>965</v>
      </c>
      <c r="AL22" s="47" t="s">
        <v>965</v>
      </c>
      <c r="AM22" s="47" t="s">
        <v>965</v>
      </c>
      <c r="AN22" s="47" t="s">
        <v>965</v>
      </c>
      <c r="AO22" s="47" t="s">
        <v>965</v>
      </c>
      <c r="AP22" s="47" t="s">
        <v>965</v>
      </c>
      <c r="AQ22" s="47" t="s">
        <v>965</v>
      </c>
      <c r="AR22" s="47" t="s">
        <v>965</v>
      </c>
      <c r="AS22" s="47" t="s">
        <v>965</v>
      </c>
      <c r="AT22" s="47" t="s">
        <v>965</v>
      </c>
      <c r="AU22" s="47" t="s">
        <v>965</v>
      </c>
      <c r="AV22" s="47" t="s">
        <v>965</v>
      </c>
      <c r="AW22" s="47" t="s">
        <v>965</v>
      </c>
      <c r="AX22" s="47" t="s">
        <v>965</v>
      </c>
      <c r="AY22" s="47" t="s">
        <v>965</v>
      </c>
      <c r="AZ22" s="47" t="s">
        <v>965</v>
      </c>
      <c r="BA22" s="47" t="s">
        <v>965</v>
      </c>
      <c r="BB22" s="47" t="s">
        <v>965</v>
      </c>
      <c r="BC22" s="47" t="s">
        <v>833</v>
      </c>
      <c r="BD22" s="47" t="s">
        <v>965</v>
      </c>
      <c r="BE22" s="47" t="s">
        <v>835</v>
      </c>
      <c r="BF22" s="47">
        <v>52</v>
      </c>
      <c r="BG22" s="47">
        <v>9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52</v>
      </c>
      <c r="BR22" s="47">
        <v>0</v>
      </c>
      <c r="BS22" s="47">
        <v>0</v>
      </c>
      <c r="BT22" s="47">
        <v>52</v>
      </c>
      <c r="BU22" s="47">
        <v>42</v>
      </c>
      <c r="BV22" s="52">
        <f t="shared" si="0"/>
        <v>0.80769230769230771</v>
      </c>
      <c r="BW22" s="50"/>
    </row>
    <row r="23" spans="1:75" x14ac:dyDescent="0.2">
      <c r="A23" s="47">
        <v>2025</v>
      </c>
      <c r="B23" s="47" t="s">
        <v>958</v>
      </c>
      <c r="C23" s="47" t="s">
        <v>991</v>
      </c>
      <c r="D23" s="47" t="s">
        <v>992</v>
      </c>
      <c r="E23" s="48" t="s">
        <v>845</v>
      </c>
      <c r="F23" s="48" t="s">
        <v>15</v>
      </c>
      <c r="G23" s="51"/>
      <c r="H23" s="48"/>
      <c r="I23" s="48"/>
      <c r="J23" s="48"/>
      <c r="K23" s="47" t="s">
        <v>833</v>
      </c>
      <c r="L23" s="47" t="s">
        <v>963</v>
      </c>
      <c r="M23" s="47" t="s">
        <v>849</v>
      </c>
      <c r="N23" s="47" t="s">
        <v>834</v>
      </c>
      <c r="O23" s="47" t="s">
        <v>965</v>
      </c>
      <c r="P23" s="47" t="s">
        <v>965</v>
      </c>
      <c r="Q23" s="47" t="s">
        <v>965</v>
      </c>
      <c r="R23" s="47" t="s">
        <v>965</v>
      </c>
      <c r="S23" s="47" t="s">
        <v>965</v>
      </c>
      <c r="T23" s="47" t="s">
        <v>965</v>
      </c>
      <c r="U23" s="47" t="s">
        <v>965</v>
      </c>
      <c r="V23" s="47" t="s">
        <v>965</v>
      </c>
      <c r="W23" s="47" t="s">
        <v>965</v>
      </c>
      <c r="X23" s="47" t="s">
        <v>965</v>
      </c>
      <c r="Y23" s="47" t="s">
        <v>965</v>
      </c>
      <c r="Z23" s="47" t="s">
        <v>965</v>
      </c>
      <c r="AA23" s="47" t="s">
        <v>965</v>
      </c>
      <c r="AB23" s="47" t="s">
        <v>965</v>
      </c>
      <c r="AC23" s="47" t="s">
        <v>965</v>
      </c>
      <c r="AD23" s="47" t="s">
        <v>965</v>
      </c>
      <c r="AE23" s="47" t="s">
        <v>965</v>
      </c>
      <c r="AF23" s="47" t="s">
        <v>965</v>
      </c>
      <c r="AG23" s="47" t="s">
        <v>965</v>
      </c>
      <c r="AH23" s="47" t="s">
        <v>965</v>
      </c>
      <c r="AI23" s="47" t="s">
        <v>965</v>
      </c>
      <c r="AJ23" s="47" t="s">
        <v>965</v>
      </c>
      <c r="AK23" s="47" t="s">
        <v>965</v>
      </c>
      <c r="AL23" s="47" t="s">
        <v>965</v>
      </c>
      <c r="AM23" s="47" t="s">
        <v>965</v>
      </c>
      <c r="AN23" s="47" t="s">
        <v>965</v>
      </c>
      <c r="AO23" s="47" t="s">
        <v>965</v>
      </c>
      <c r="AP23" s="47" t="s">
        <v>965</v>
      </c>
      <c r="AQ23" s="47" t="s">
        <v>965</v>
      </c>
      <c r="AR23" s="47" t="s">
        <v>965</v>
      </c>
      <c r="AS23" s="47" t="s">
        <v>965</v>
      </c>
      <c r="AT23" s="47" t="s">
        <v>965</v>
      </c>
      <c r="AU23" s="47" t="s">
        <v>965</v>
      </c>
      <c r="AV23" s="47" t="s">
        <v>965</v>
      </c>
      <c r="AW23" s="47" t="s">
        <v>965</v>
      </c>
      <c r="AX23" s="47" t="s">
        <v>965</v>
      </c>
      <c r="AY23" s="47" t="s">
        <v>965</v>
      </c>
      <c r="AZ23" s="47" t="s">
        <v>965</v>
      </c>
      <c r="BA23" s="47" t="s">
        <v>965</v>
      </c>
      <c r="BB23" s="47" t="s">
        <v>965</v>
      </c>
      <c r="BC23" s="47" t="s">
        <v>833</v>
      </c>
      <c r="BD23" s="47" t="s">
        <v>965</v>
      </c>
      <c r="BE23" s="47" t="s">
        <v>835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325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325</v>
      </c>
      <c r="BR23" s="47">
        <v>0</v>
      </c>
      <c r="BS23" s="47">
        <v>0</v>
      </c>
      <c r="BT23" s="47">
        <v>325</v>
      </c>
      <c r="BU23" s="47">
        <v>313</v>
      </c>
      <c r="BV23" s="52">
        <f t="shared" si="0"/>
        <v>0.96307692307692305</v>
      </c>
      <c r="BW23" s="50"/>
    </row>
    <row r="24" spans="1:75" x14ac:dyDescent="0.2">
      <c r="A24" s="47">
        <v>2025</v>
      </c>
      <c r="B24" s="47" t="s">
        <v>958</v>
      </c>
      <c r="C24" s="47" t="s">
        <v>993</v>
      </c>
      <c r="D24" s="47" t="s">
        <v>994</v>
      </c>
      <c r="E24" s="48" t="s">
        <v>845</v>
      </c>
      <c r="F24" s="48" t="s">
        <v>15</v>
      </c>
      <c r="G24" s="51" t="s">
        <v>766</v>
      </c>
      <c r="H24" s="53">
        <v>0.27</v>
      </c>
      <c r="I24" s="53">
        <v>0.35</v>
      </c>
      <c r="J24" s="49">
        <v>0.84</v>
      </c>
      <c r="K24" s="47" t="s">
        <v>833</v>
      </c>
      <c r="L24" s="47" t="s">
        <v>963</v>
      </c>
      <c r="M24" s="47" t="s">
        <v>849</v>
      </c>
      <c r="N24" s="47" t="s">
        <v>834</v>
      </c>
      <c r="O24" s="47" t="s">
        <v>833</v>
      </c>
      <c r="P24" s="47" t="s">
        <v>965</v>
      </c>
      <c r="Q24" s="47" t="s">
        <v>965</v>
      </c>
      <c r="R24" s="47" t="s">
        <v>965</v>
      </c>
      <c r="S24" s="47" t="s">
        <v>965</v>
      </c>
      <c r="T24" s="47" t="s">
        <v>965</v>
      </c>
      <c r="U24" s="47" t="s">
        <v>965</v>
      </c>
      <c r="V24" s="47" t="s">
        <v>965</v>
      </c>
      <c r="W24" s="47" t="s">
        <v>965</v>
      </c>
      <c r="X24" s="47" t="s">
        <v>965</v>
      </c>
      <c r="Y24" s="47" t="s">
        <v>965</v>
      </c>
      <c r="Z24" s="47" t="s">
        <v>965</v>
      </c>
      <c r="AA24" s="47" t="s">
        <v>965</v>
      </c>
      <c r="AB24" s="47" t="s">
        <v>965</v>
      </c>
      <c r="AC24" s="47" t="s">
        <v>965</v>
      </c>
      <c r="AD24" s="47" t="s">
        <v>965</v>
      </c>
      <c r="AE24" s="47" t="s">
        <v>965</v>
      </c>
      <c r="AF24" s="47" t="s">
        <v>965</v>
      </c>
      <c r="AG24" s="47" t="s">
        <v>965</v>
      </c>
      <c r="AH24" s="47" t="s">
        <v>965</v>
      </c>
      <c r="AI24" s="47" t="s">
        <v>965</v>
      </c>
      <c r="AJ24" s="47" t="s">
        <v>965</v>
      </c>
      <c r="AK24" s="47" t="s">
        <v>965</v>
      </c>
      <c r="AL24" s="47" t="s">
        <v>965</v>
      </c>
      <c r="AM24" s="47" t="s">
        <v>965</v>
      </c>
      <c r="AN24" s="47" t="s">
        <v>965</v>
      </c>
      <c r="AO24" s="47" t="s">
        <v>965</v>
      </c>
      <c r="AP24" s="47" t="s">
        <v>965</v>
      </c>
      <c r="AQ24" s="47" t="s">
        <v>965</v>
      </c>
      <c r="AR24" s="47" t="s">
        <v>965</v>
      </c>
      <c r="AS24" s="47" t="s">
        <v>965</v>
      </c>
      <c r="AT24" s="47" t="s">
        <v>965</v>
      </c>
      <c r="AU24" s="47" t="s">
        <v>965</v>
      </c>
      <c r="AV24" s="47" t="s">
        <v>965</v>
      </c>
      <c r="AW24" s="47" t="s">
        <v>965</v>
      </c>
      <c r="AX24" s="47" t="s">
        <v>965</v>
      </c>
      <c r="AY24" s="47" t="s">
        <v>965</v>
      </c>
      <c r="AZ24" s="47" t="s">
        <v>965</v>
      </c>
      <c r="BA24" s="47" t="s">
        <v>965</v>
      </c>
      <c r="BB24" s="47" t="s">
        <v>965</v>
      </c>
      <c r="BC24" s="47" t="s">
        <v>833</v>
      </c>
      <c r="BD24" s="47" t="s">
        <v>965</v>
      </c>
      <c r="BE24" s="47" t="s">
        <v>835</v>
      </c>
      <c r="BF24" s="47">
        <v>52</v>
      </c>
      <c r="BG24" s="47">
        <v>9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52</v>
      </c>
      <c r="BR24" s="47">
        <v>0</v>
      </c>
      <c r="BS24" s="47">
        <v>0</v>
      </c>
      <c r="BT24" s="47">
        <v>52</v>
      </c>
      <c r="BU24" s="47">
        <v>42</v>
      </c>
      <c r="BV24" s="52">
        <f t="shared" si="0"/>
        <v>0.80769230769230771</v>
      </c>
      <c r="BW24" s="50"/>
    </row>
    <row r="25" spans="1:75" x14ac:dyDescent="0.2">
      <c r="A25" s="47">
        <v>2025</v>
      </c>
      <c r="B25" s="47" t="s">
        <v>958</v>
      </c>
      <c r="C25" s="47" t="s">
        <v>995</v>
      </c>
      <c r="D25" s="47" t="s">
        <v>996</v>
      </c>
      <c r="E25" s="48" t="s">
        <v>845</v>
      </c>
      <c r="F25" s="48" t="s">
        <v>15</v>
      </c>
      <c r="G25" s="51"/>
      <c r="H25" s="48"/>
      <c r="I25" s="48"/>
      <c r="J25" s="48"/>
      <c r="K25" s="47" t="s">
        <v>965</v>
      </c>
      <c r="L25" s="47" t="s">
        <v>963</v>
      </c>
      <c r="M25" s="47" t="s">
        <v>854</v>
      </c>
      <c r="N25" s="47" t="s">
        <v>834</v>
      </c>
      <c r="O25" s="47" t="s">
        <v>965</v>
      </c>
      <c r="P25" s="47" t="s">
        <v>965</v>
      </c>
      <c r="Q25" s="47" t="s">
        <v>965</v>
      </c>
      <c r="R25" s="47" t="s">
        <v>965</v>
      </c>
      <c r="S25" s="47" t="s">
        <v>965</v>
      </c>
      <c r="T25" s="47" t="s">
        <v>965</v>
      </c>
      <c r="U25" s="47" t="s">
        <v>965</v>
      </c>
      <c r="V25" s="47" t="s">
        <v>965</v>
      </c>
      <c r="W25" s="47" t="s">
        <v>965</v>
      </c>
      <c r="X25" s="47" t="s">
        <v>965</v>
      </c>
      <c r="Y25" s="47" t="s">
        <v>965</v>
      </c>
      <c r="Z25" s="47" t="s">
        <v>965</v>
      </c>
      <c r="AA25" s="47" t="s">
        <v>965</v>
      </c>
      <c r="AB25" s="47" t="s">
        <v>965</v>
      </c>
      <c r="AC25" s="47" t="s">
        <v>965</v>
      </c>
      <c r="AD25" s="47" t="s">
        <v>965</v>
      </c>
      <c r="AE25" s="47" t="s">
        <v>965</v>
      </c>
      <c r="AF25" s="47" t="s">
        <v>965</v>
      </c>
      <c r="AG25" s="47" t="s">
        <v>833</v>
      </c>
      <c r="AH25" s="47" t="s">
        <v>965</v>
      </c>
      <c r="AI25" s="47" t="s">
        <v>965</v>
      </c>
      <c r="AJ25" s="47" t="s">
        <v>965</v>
      </c>
      <c r="AK25" s="47" t="s">
        <v>965</v>
      </c>
      <c r="AL25" s="47" t="s">
        <v>965</v>
      </c>
      <c r="AM25" s="47" t="s">
        <v>965</v>
      </c>
      <c r="AN25" s="47" t="s">
        <v>965</v>
      </c>
      <c r="AO25" s="47" t="s">
        <v>965</v>
      </c>
      <c r="AP25" s="47" t="s">
        <v>965</v>
      </c>
      <c r="AQ25" s="47" t="s">
        <v>965</v>
      </c>
      <c r="AR25" s="47" t="s">
        <v>965</v>
      </c>
      <c r="AS25" s="47" t="s">
        <v>965</v>
      </c>
      <c r="AT25" s="47" t="s">
        <v>965</v>
      </c>
      <c r="AU25" s="47" t="s">
        <v>965</v>
      </c>
      <c r="AV25" s="47" t="s">
        <v>965</v>
      </c>
      <c r="AW25" s="47" t="s">
        <v>965</v>
      </c>
      <c r="AX25" s="47" t="s">
        <v>965</v>
      </c>
      <c r="AY25" s="47" t="s">
        <v>965</v>
      </c>
      <c r="AZ25" s="47" t="s">
        <v>965</v>
      </c>
      <c r="BA25" s="47" t="s">
        <v>965</v>
      </c>
      <c r="BB25" s="47" t="s">
        <v>965</v>
      </c>
      <c r="BC25" s="47" t="s">
        <v>965</v>
      </c>
      <c r="BD25" s="47" t="s">
        <v>965</v>
      </c>
      <c r="BE25" s="47" t="s">
        <v>855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5</v>
      </c>
      <c r="BT25" s="47">
        <v>5</v>
      </c>
      <c r="BU25" s="47">
        <v>5</v>
      </c>
      <c r="BV25" s="52">
        <f t="shared" si="0"/>
        <v>1</v>
      </c>
      <c r="BW25" s="50"/>
    </row>
    <row r="26" spans="1:75" x14ac:dyDescent="0.2">
      <c r="A26" s="47">
        <v>2025</v>
      </c>
      <c r="B26" s="47" t="s">
        <v>958</v>
      </c>
      <c r="C26" s="47" t="s">
        <v>981</v>
      </c>
      <c r="D26" s="47" t="s">
        <v>997</v>
      </c>
      <c r="E26" s="48" t="s">
        <v>841</v>
      </c>
      <c r="F26" s="48" t="s">
        <v>58</v>
      </c>
      <c r="G26" s="51"/>
      <c r="H26" s="48"/>
      <c r="I26" s="48"/>
      <c r="J26" s="48"/>
      <c r="K26" s="47" t="s">
        <v>833</v>
      </c>
      <c r="L26" s="47" t="s">
        <v>963</v>
      </c>
      <c r="M26" s="47" t="s">
        <v>849</v>
      </c>
      <c r="N26" s="47" t="s">
        <v>834</v>
      </c>
      <c r="O26" s="47" t="s">
        <v>965</v>
      </c>
      <c r="P26" s="47" t="s">
        <v>965</v>
      </c>
      <c r="Q26" s="47" t="s">
        <v>965</v>
      </c>
      <c r="R26" s="47" t="s">
        <v>965</v>
      </c>
      <c r="S26" s="47" t="s">
        <v>965</v>
      </c>
      <c r="T26" s="47" t="s">
        <v>965</v>
      </c>
      <c r="U26" s="47" t="s">
        <v>965</v>
      </c>
      <c r="V26" s="47" t="s">
        <v>965</v>
      </c>
      <c r="W26" s="47" t="s">
        <v>965</v>
      </c>
      <c r="X26" s="47" t="s">
        <v>965</v>
      </c>
      <c r="Y26" s="47" t="s">
        <v>965</v>
      </c>
      <c r="Z26" s="47" t="s">
        <v>965</v>
      </c>
      <c r="AA26" s="47" t="s">
        <v>965</v>
      </c>
      <c r="AB26" s="47" t="s">
        <v>965</v>
      </c>
      <c r="AC26" s="47" t="s">
        <v>965</v>
      </c>
      <c r="AD26" s="47" t="s">
        <v>965</v>
      </c>
      <c r="AE26" s="47" t="s">
        <v>965</v>
      </c>
      <c r="AF26" s="47" t="s">
        <v>965</v>
      </c>
      <c r="AG26" s="47" t="s">
        <v>965</v>
      </c>
      <c r="AH26" s="47" t="s">
        <v>965</v>
      </c>
      <c r="AI26" s="47" t="s">
        <v>965</v>
      </c>
      <c r="AJ26" s="47" t="s">
        <v>965</v>
      </c>
      <c r="AK26" s="47" t="s">
        <v>965</v>
      </c>
      <c r="AL26" s="47" t="s">
        <v>965</v>
      </c>
      <c r="AM26" s="47" t="s">
        <v>965</v>
      </c>
      <c r="AN26" s="47" t="s">
        <v>965</v>
      </c>
      <c r="AO26" s="47" t="s">
        <v>965</v>
      </c>
      <c r="AP26" s="47" t="s">
        <v>965</v>
      </c>
      <c r="AQ26" s="47" t="s">
        <v>965</v>
      </c>
      <c r="AR26" s="47" t="s">
        <v>965</v>
      </c>
      <c r="AS26" s="47" t="s">
        <v>965</v>
      </c>
      <c r="AT26" s="47" t="s">
        <v>965</v>
      </c>
      <c r="AU26" s="47" t="s">
        <v>965</v>
      </c>
      <c r="AV26" s="47" t="s">
        <v>965</v>
      </c>
      <c r="AW26" s="47" t="s">
        <v>965</v>
      </c>
      <c r="AX26" s="47" t="s">
        <v>965</v>
      </c>
      <c r="AY26" s="47" t="s">
        <v>965</v>
      </c>
      <c r="AZ26" s="47" t="s">
        <v>965</v>
      </c>
      <c r="BA26" s="47" t="s">
        <v>965</v>
      </c>
      <c r="BB26" s="47" t="s">
        <v>965</v>
      </c>
      <c r="BC26" s="47" t="s">
        <v>833</v>
      </c>
      <c r="BD26" s="47" t="s">
        <v>965</v>
      </c>
      <c r="BE26" s="47" t="s">
        <v>835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70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70</v>
      </c>
      <c r="BR26" s="47">
        <v>0</v>
      </c>
      <c r="BS26" s="47">
        <v>0</v>
      </c>
      <c r="BT26" s="47">
        <v>70</v>
      </c>
      <c r="BU26" s="47">
        <v>44</v>
      </c>
      <c r="BV26" s="52">
        <f t="shared" si="0"/>
        <v>0.62857142857142856</v>
      </c>
      <c r="BW26" s="50"/>
    </row>
    <row r="27" spans="1:75" x14ac:dyDescent="0.2">
      <c r="A27" s="47">
        <v>2025</v>
      </c>
      <c r="B27" s="47" t="s">
        <v>958</v>
      </c>
      <c r="C27" s="47" t="s">
        <v>998</v>
      </c>
      <c r="D27" s="47" t="s">
        <v>999</v>
      </c>
      <c r="E27" s="48" t="s">
        <v>841</v>
      </c>
      <c r="F27" s="48" t="s">
        <v>58</v>
      </c>
      <c r="G27" s="51"/>
      <c r="H27" s="48"/>
      <c r="I27" s="48"/>
      <c r="J27" s="48"/>
      <c r="K27" s="47" t="s">
        <v>833</v>
      </c>
      <c r="L27" s="47" t="s">
        <v>963</v>
      </c>
      <c r="M27" s="47" t="s">
        <v>854</v>
      </c>
      <c r="N27" s="47" t="s">
        <v>1000</v>
      </c>
      <c r="O27" s="47" t="s">
        <v>965</v>
      </c>
      <c r="P27" s="47" t="s">
        <v>965</v>
      </c>
      <c r="Q27" s="47" t="s">
        <v>965</v>
      </c>
      <c r="R27" s="47" t="s">
        <v>965</v>
      </c>
      <c r="S27" s="47" t="s">
        <v>965</v>
      </c>
      <c r="T27" s="47" t="s">
        <v>965</v>
      </c>
      <c r="U27" s="47" t="s">
        <v>965</v>
      </c>
      <c r="V27" s="47" t="s">
        <v>965</v>
      </c>
      <c r="W27" s="47" t="s">
        <v>965</v>
      </c>
      <c r="X27" s="47" t="s">
        <v>965</v>
      </c>
      <c r="Y27" s="47" t="s">
        <v>965</v>
      </c>
      <c r="Z27" s="47" t="s">
        <v>965</v>
      </c>
      <c r="AA27" s="47" t="s">
        <v>965</v>
      </c>
      <c r="AB27" s="47" t="s">
        <v>965</v>
      </c>
      <c r="AC27" s="47" t="s">
        <v>965</v>
      </c>
      <c r="AD27" s="47" t="s">
        <v>965</v>
      </c>
      <c r="AE27" s="47" t="s">
        <v>965</v>
      </c>
      <c r="AF27" s="47" t="s">
        <v>965</v>
      </c>
      <c r="AG27" s="47" t="s">
        <v>965</v>
      </c>
      <c r="AH27" s="47" t="s">
        <v>965</v>
      </c>
      <c r="AI27" s="47" t="s">
        <v>965</v>
      </c>
      <c r="AJ27" s="47" t="s">
        <v>965</v>
      </c>
      <c r="AK27" s="47" t="s">
        <v>965</v>
      </c>
      <c r="AL27" s="47" t="s">
        <v>965</v>
      </c>
      <c r="AM27" s="47" t="s">
        <v>965</v>
      </c>
      <c r="AN27" s="47" t="s">
        <v>965</v>
      </c>
      <c r="AO27" s="47" t="s">
        <v>965</v>
      </c>
      <c r="AP27" s="47" t="s">
        <v>965</v>
      </c>
      <c r="AQ27" s="47" t="s">
        <v>965</v>
      </c>
      <c r="AR27" s="47" t="s">
        <v>965</v>
      </c>
      <c r="AS27" s="47" t="s">
        <v>965</v>
      </c>
      <c r="AT27" s="47" t="s">
        <v>833</v>
      </c>
      <c r="AU27" s="47" t="s">
        <v>965</v>
      </c>
      <c r="AV27" s="47" t="s">
        <v>965</v>
      </c>
      <c r="AW27" s="47" t="s">
        <v>965</v>
      </c>
      <c r="AX27" s="47" t="s">
        <v>965</v>
      </c>
      <c r="AY27" s="47" t="s">
        <v>965</v>
      </c>
      <c r="AZ27" s="47" t="s">
        <v>965</v>
      </c>
      <c r="BA27" s="47" t="s">
        <v>965</v>
      </c>
      <c r="BB27" s="47" t="s">
        <v>965</v>
      </c>
      <c r="BC27" s="47" t="s">
        <v>965</v>
      </c>
      <c r="BD27" s="47" t="s">
        <v>965</v>
      </c>
      <c r="BE27" s="47" t="s">
        <v>855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19</v>
      </c>
      <c r="BT27" s="47">
        <v>19</v>
      </c>
      <c r="BU27" s="47">
        <v>19</v>
      </c>
      <c r="BV27" s="52">
        <f t="shared" si="0"/>
        <v>1</v>
      </c>
      <c r="BW27" s="50"/>
    </row>
    <row r="28" spans="1:75" x14ac:dyDescent="0.2">
      <c r="A28" s="47">
        <v>2025</v>
      </c>
      <c r="B28" s="47" t="s">
        <v>958</v>
      </c>
      <c r="C28" s="47" t="s">
        <v>1001</v>
      </c>
      <c r="D28" s="47" t="s">
        <v>1002</v>
      </c>
      <c r="E28" s="48" t="s">
        <v>869</v>
      </c>
      <c r="F28" s="48" t="s">
        <v>20</v>
      </c>
      <c r="G28" s="51" t="s">
        <v>221</v>
      </c>
      <c r="H28" s="53">
        <v>0.54</v>
      </c>
      <c r="I28" s="53">
        <v>0.53</v>
      </c>
      <c r="J28" s="49">
        <v>0.97</v>
      </c>
      <c r="K28" s="47" t="s">
        <v>833</v>
      </c>
      <c r="L28" s="47" t="s">
        <v>963</v>
      </c>
      <c r="M28" s="47" t="s">
        <v>849</v>
      </c>
      <c r="N28" s="47" t="s">
        <v>834</v>
      </c>
      <c r="O28" s="47" t="s">
        <v>965</v>
      </c>
      <c r="P28" s="47" t="s">
        <v>965</v>
      </c>
      <c r="Q28" s="47" t="s">
        <v>965</v>
      </c>
      <c r="R28" s="47" t="s">
        <v>965</v>
      </c>
      <c r="S28" s="47" t="s">
        <v>965</v>
      </c>
      <c r="T28" s="47" t="s">
        <v>965</v>
      </c>
      <c r="U28" s="47" t="s">
        <v>965</v>
      </c>
      <c r="V28" s="47" t="s">
        <v>965</v>
      </c>
      <c r="W28" s="47" t="s">
        <v>965</v>
      </c>
      <c r="X28" s="47" t="s">
        <v>965</v>
      </c>
      <c r="Y28" s="47" t="s">
        <v>965</v>
      </c>
      <c r="Z28" s="47" t="s">
        <v>965</v>
      </c>
      <c r="AA28" s="47" t="s">
        <v>965</v>
      </c>
      <c r="AB28" s="47" t="s">
        <v>965</v>
      </c>
      <c r="AC28" s="47" t="s">
        <v>965</v>
      </c>
      <c r="AD28" s="47" t="s">
        <v>965</v>
      </c>
      <c r="AE28" s="47" t="s">
        <v>965</v>
      </c>
      <c r="AF28" s="47" t="s">
        <v>965</v>
      </c>
      <c r="AG28" s="47" t="s">
        <v>965</v>
      </c>
      <c r="AH28" s="47" t="s">
        <v>965</v>
      </c>
      <c r="AI28" s="47" t="s">
        <v>965</v>
      </c>
      <c r="AJ28" s="47" t="s">
        <v>965</v>
      </c>
      <c r="AK28" s="47" t="s">
        <v>965</v>
      </c>
      <c r="AL28" s="47" t="s">
        <v>965</v>
      </c>
      <c r="AM28" s="47" t="s">
        <v>965</v>
      </c>
      <c r="AN28" s="47" t="s">
        <v>965</v>
      </c>
      <c r="AO28" s="47" t="s">
        <v>965</v>
      </c>
      <c r="AP28" s="47" t="s">
        <v>965</v>
      </c>
      <c r="AQ28" s="47" t="s">
        <v>965</v>
      </c>
      <c r="AR28" s="47" t="s">
        <v>965</v>
      </c>
      <c r="AS28" s="47" t="s">
        <v>965</v>
      </c>
      <c r="AT28" s="47" t="s">
        <v>965</v>
      </c>
      <c r="AU28" s="47" t="s">
        <v>965</v>
      </c>
      <c r="AV28" s="47" t="s">
        <v>965</v>
      </c>
      <c r="AW28" s="47" t="s">
        <v>965</v>
      </c>
      <c r="AX28" s="47" t="s">
        <v>965</v>
      </c>
      <c r="AY28" s="47" t="s">
        <v>965</v>
      </c>
      <c r="AZ28" s="47" t="s">
        <v>965</v>
      </c>
      <c r="BA28" s="47" t="s">
        <v>965</v>
      </c>
      <c r="BB28" s="47" t="s">
        <v>965</v>
      </c>
      <c r="BC28" s="47" t="s">
        <v>833</v>
      </c>
      <c r="BD28" s="47" t="s">
        <v>965</v>
      </c>
      <c r="BE28" s="47" t="s">
        <v>835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100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100</v>
      </c>
      <c r="BR28" s="47">
        <v>0</v>
      </c>
      <c r="BS28" s="47">
        <v>0</v>
      </c>
      <c r="BT28" s="47">
        <v>100</v>
      </c>
      <c r="BU28" s="47">
        <v>91</v>
      </c>
      <c r="BV28" s="52">
        <f t="shared" si="0"/>
        <v>0.91</v>
      </c>
      <c r="BW28" s="50"/>
    </row>
    <row r="29" spans="1:75" x14ac:dyDescent="0.2">
      <c r="A29" s="47">
        <v>2025</v>
      </c>
      <c r="B29" s="47" t="s">
        <v>958</v>
      </c>
      <c r="C29" s="47" t="s">
        <v>981</v>
      </c>
      <c r="D29" s="47" t="s">
        <v>1003</v>
      </c>
      <c r="E29" s="48" t="s">
        <v>1004</v>
      </c>
      <c r="F29" s="48" t="s">
        <v>103</v>
      </c>
      <c r="G29" s="51" t="s">
        <v>294</v>
      </c>
      <c r="H29" s="53">
        <v>0.75</v>
      </c>
      <c r="I29" s="53">
        <v>0.15</v>
      </c>
      <c r="J29" s="49">
        <v>0.88</v>
      </c>
      <c r="K29" s="47" t="s">
        <v>833</v>
      </c>
      <c r="L29" s="47" t="s">
        <v>963</v>
      </c>
      <c r="M29" s="47" t="s">
        <v>849</v>
      </c>
      <c r="N29" s="47" t="s">
        <v>834</v>
      </c>
      <c r="O29" s="47" t="s">
        <v>965</v>
      </c>
      <c r="P29" s="47" t="s">
        <v>965</v>
      </c>
      <c r="Q29" s="47" t="s">
        <v>965</v>
      </c>
      <c r="R29" s="47" t="s">
        <v>965</v>
      </c>
      <c r="S29" s="47" t="s">
        <v>965</v>
      </c>
      <c r="T29" s="47" t="s">
        <v>965</v>
      </c>
      <c r="U29" s="47" t="s">
        <v>965</v>
      </c>
      <c r="V29" s="47" t="s">
        <v>965</v>
      </c>
      <c r="W29" s="47" t="s">
        <v>965</v>
      </c>
      <c r="X29" s="47" t="s">
        <v>965</v>
      </c>
      <c r="Y29" s="47" t="s">
        <v>965</v>
      </c>
      <c r="Z29" s="47" t="s">
        <v>965</v>
      </c>
      <c r="AA29" s="47" t="s">
        <v>965</v>
      </c>
      <c r="AB29" s="47" t="s">
        <v>965</v>
      </c>
      <c r="AC29" s="47" t="s">
        <v>965</v>
      </c>
      <c r="AD29" s="47" t="s">
        <v>965</v>
      </c>
      <c r="AE29" s="47" t="s">
        <v>965</v>
      </c>
      <c r="AF29" s="47" t="s">
        <v>965</v>
      </c>
      <c r="AG29" s="47" t="s">
        <v>965</v>
      </c>
      <c r="AH29" s="47" t="s">
        <v>965</v>
      </c>
      <c r="AI29" s="47" t="s">
        <v>965</v>
      </c>
      <c r="AJ29" s="47" t="s">
        <v>965</v>
      </c>
      <c r="AK29" s="47" t="s">
        <v>965</v>
      </c>
      <c r="AL29" s="47" t="s">
        <v>965</v>
      </c>
      <c r="AM29" s="47" t="s">
        <v>965</v>
      </c>
      <c r="AN29" s="47" t="s">
        <v>965</v>
      </c>
      <c r="AO29" s="47" t="s">
        <v>965</v>
      </c>
      <c r="AP29" s="47" t="s">
        <v>965</v>
      </c>
      <c r="AQ29" s="47" t="s">
        <v>965</v>
      </c>
      <c r="AR29" s="47" t="s">
        <v>965</v>
      </c>
      <c r="AS29" s="47" t="s">
        <v>965</v>
      </c>
      <c r="AT29" s="47" t="s">
        <v>965</v>
      </c>
      <c r="AU29" s="47" t="s">
        <v>965</v>
      </c>
      <c r="AV29" s="47" t="s">
        <v>965</v>
      </c>
      <c r="AW29" s="47" t="s">
        <v>965</v>
      </c>
      <c r="AX29" s="47" t="s">
        <v>965</v>
      </c>
      <c r="AY29" s="47" t="s">
        <v>965</v>
      </c>
      <c r="AZ29" s="47" t="s">
        <v>965</v>
      </c>
      <c r="BA29" s="47" t="s">
        <v>965</v>
      </c>
      <c r="BB29" s="47" t="s">
        <v>965</v>
      </c>
      <c r="BC29" s="47" t="s">
        <v>965</v>
      </c>
      <c r="BD29" s="47" t="s">
        <v>965</v>
      </c>
      <c r="BE29" s="47" t="s">
        <v>835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42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42</v>
      </c>
      <c r="BR29" s="47">
        <v>0</v>
      </c>
      <c r="BS29" s="47">
        <v>0</v>
      </c>
      <c r="BT29" s="47">
        <v>42</v>
      </c>
      <c r="BU29" s="47">
        <v>42</v>
      </c>
      <c r="BV29" s="52">
        <f t="shared" si="0"/>
        <v>1</v>
      </c>
      <c r="BW29" s="50"/>
    </row>
    <row r="30" spans="1:75" x14ac:dyDescent="0.2">
      <c r="A30" s="47">
        <v>2025</v>
      </c>
      <c r="B30" s="47" t="s">
        <v>958</v>
      </c>
      <c r="C30" s="47" t="s">
        <v>981</v>
      </c>
      <c r="D30" s="47" t="s">
        <v>1005</v>
      </c>
      <c r="E30" s="48" t="s">
        <v>1004</v>
      </c>
      <c r="F30" s="48" t="s">
        <v>103</v>
      </c>
      <c r="G30" s="51" t="s">
        <v>294</v>
      </c>
      <c r="H30" s="53">
        <v>0.75</v>
      </c>
      <c r="I30" s="53">
        <v>0.15</v>
      </c>
      <c r="J30" s="49">
        <v>0.88</v>
      </c>
      <c r="K30" s="47" t="s">
        <v>833</v>
      </c>
      <c r="L30" s="47" t="s">
        <v>963</v>
      </c>
      <c r="M30" s="47" t="s">
        <v>849</v>
      </c>
      <c r="N30" s="47" t="s">
        <v>834</v>
      </c>
      <c r="O30" s="47" t="s">
        <v>965</v>
      </c>
      <c r="P30" s="47" t="s">
        <v>965</v>
      </c>
      <c r="Q30" s="47" t="s">
        <v>965</v>
      </c>
      <c r="R30" s="47" t="s">
        <v>965</v>
      </c>
      <c r="S30" s="47" t="s">
        <v>965</v>
      </c>
      <c r="T30" s="47" t="s">
        <v>965</v>
      </c>
      <c r="U30" s="47" t="s">
        <v>965</v>
      </c>
      <c r="V30" s="47" t="s">
        <v>965</v>
      </c>
      <c r="W30" s="47" t="s">
        <v>965</v>
      </c>
      <c r="X30" s="47" t="s">
        <v>965</v>
      </c>
      <c r="Y30" s="47" t="s">
        <v>965</v>
      </c>
      <c r="Z30" s="47" t="s">
        <v>965</v>
      </c>
      <c r="AA30" s="47" t="s">
        <v>965</v>
      </c>
      <c r="AB30" s="47" t="s">
        <v>965</v>
      </c>
      <c r="AC30" s="47" t="s">
        <v>965</v>
      </c>
      <c r="AD30" s="47" t="s">
        <v>965</v>
      </c>
      <c r="AE30" s="47" t="s">
        <v>965</v>
      </c>
      <c r="AF30" s="47" t="s">
        <v>965</v>
      </c>
      <c r="AG30" s="47" t="s">
        <v>965</v>
      </c>
      <c r="AH30" s="47" t="s">
        <v>965</v>
      </c>
      <c r="AI30" s="47" t="s">
        <v>965</v>
      </c>
      <c r="AJ30" s="47" t="s">
        <v>965</v>
      </c>
      <c r="AK30" s="47" t="s">
        <v>965</v>
      </c>
      <c r="AL30" s="47" t="s">
        <v>965</v>
      </c>
      <c r="AM30" s="47" t="s">
        <v>965</v>
      </c>
      <c r="AN30" s="47" t="s">
        <v>965</v>
      </c>
      <c r="AO30" s="47" t="s">
        <v>965</v>
      </c>
      <c r="AP30" s="47" t="s">
        <v>965</v>
      </c>
      <c r="AQ30" s="47" t="s">
        <v>965</v>
      </c>
      <c r="AR30" s="47" t="s">
        <v>965</v>
      </c>
      <c r="AS30" s="47" t="s">
        <v>965</v>
      </c>
      <c r="AT30" s="47" t="s">
        <v>965</v>
      </c>
      <c r="AU30" s="47" t="s">
        <v>965</v>
      </c>
      <c r="AV30" s="47" t="s">
        <v>965</v>
      </c>
      <c r="AW30" s="47" t="s">
        <v>965</v>
      </c>
      <c r="AX30" s="47" t="s">
        <v>965</v>
      </c>
      <c r="AY30" s="47" t="s">
        <v>965</v>
      </c>
      <c r="AZ30" s="47" t="s">
        <v>965</v>
      </c>
      <c r="BA30" s="47" t="s">
        <v>965</v>
      </c>
      <c r="BB30" s="47" t="s">
        <v>965</v>
      </c>
      <c r="BC30" s="47" t="s">
        <v>965</v>
      </c>
      <c r="BD30" s="47" t="s">
        <v>965</v>
      </c>
      <c r="BE30" s="47" t="s">
        <v>835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108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108</v>
      </c>
      <c r="BR30" s="47">
        <v>0</v>
      </c>
      <c r="BS30" s="47">
        <v>0</v>
      </c>
      <c r="BT30" s="47">
        <v>108</v>
      </c>
      <c r="BU30" s="47">
        <v>107</v>
      </c>
      <c r="BV30" s="52">
        <f t="shared" si="0"/>
        <v>0.9907407407407407</v>
      </c>
      <c r="BW30" s="50"/>
    </row>
    <row r="31" spans="1:75" x14ac:dyDescent="0.2">
      <c r="A31" s="47">
        <v>2025</v>
      </c>
      <c r="B31" s="47" t="s">
        <v>958</v>
      </c>
      <c r="C31" s="47" t="s">
        <v>981</v>
      </c>
      <c r="D31" s="55" t="s">
        <v>1006</v>
      </c>
      <c r="E31" s="48" t="s">
        <v>1004</v>
      </c>
      <c r="F31" s="48" t="s">
        <v>103</v>
      </c>
      <c r="G31" s="51"/>
      <c r="H31" s="48"/>
      <c r="I31" s="48"/>
      <c r="J31" s="48"/>
      <c r="K31" s="47" t="s">
        <v>833</v>
      </c>
      <c r="L31" s="47" t="s">
        <v>963</v>
      </c>
      <c r="M31" s="47" t="s">
        <v>849</v>
      </c>
      <c r="N31" s="47" t="s">
        <v>834</v>
      </c>
      <c r="O31" s="47" t="s">
        <v>965</v>
      </c>
      <c r="P31" s="47" t="s">
        <v>965</v>
      </c>
      <c r="Q31" s="47" t="s">
        <v>965</v>
      </c>
      <c r="R31" s="47" t="s">
        <v>965</v>
      </c>
      <c r="S31" s="47" t="s">
        <v>965</v>
      </c>
      <c r="T31" s="47" t="s">
        <v>965</v>
      </c>
      <c r="U31" s="47" t="s">
        <v>965</v>
      </c>
      <c r="V31" s="47" t="s">
        <v>965</v>
      </c>
      <c r="W31" s="47" t="s">
        <v>965</v>
      </c>
      <c r="X31" s="47" t="s">
        <v>965</v>
      </c>
      <c r="Y31" s="47" t="s">
        <v>965</v>
      </c>
      <c r="Z31" s="47" t="s">
        <v>965</v>
      </c>
      <c r="AA31" s="47" t="s">
        <v>965</v>
      </c>
      <c r="AB31" s="47" t="s">
        <v>965</v>
      </c>
      <c r="AC31" s="47" t="s">
        <v>965</v>
      </c>
      <c r="AD31" s="47" t="s">
        <v>965</v>
      </c>
      <c r="AE31" s="47" t="s">
        <v>965</v>
      </c>
      <c r="AF31" s="47" t="s">
        <v>965</v>
      </c>
      <c r="AG31" s="47" t="s">
        <v>965</v>
      </c>
      <c r="AH31" s="47" t="s">
        <v>965</v>
      </c>
      <c r="AI31" s="47" t="s">
        <v>965</v>
      </c>
      <c r="AJ31" s="47" t="s">
        <v>965</v>
      </c>
      <c r="AK31" s="47" t="s">
        <v>965</v>
      </c>
      <c r="AL31" s="47" t="s">
        <v>965</v>
      </c>
      <c r="AM31" s="47" t="s">
        <v>965</v>
      </c>
      <c r="AN31" s="47" t="s">
        <v>965</v>
      </c>
      <c r="AO31" s="47" t="s">
        <v>965</v>
      </c>
      <c r="AP31" s="47" t="s">
        <v>965</v>
      </c>
      <c r="AQ31" s="47" t="s">
        <v>965</v>
      </c>
      <c r="AR31" s="47" t="s">
        <v>965</v>
      </c>
      <c r="AS31" s="47" t="s">
        <v>965</v>
      </c>
      <c r="AT31" s="47" t="s">
        <v>965</v>
      </c>
      <c r="AU31" s="47" t="s">
        <v>965</v>
      </c>
      <c r="AV31" s="47" t="s">
        <v>965</v>
      </c>
      <c r="AW31" s="47" t="s">
        <v>965</v>
      </c>
      <c r="AX31" s="47" t="s">
        <v>965</v>
      </c>
      <c r="AY31" s="47" t="s">
        <v>965</v>
      </c>
      <c r="AZ31" s="47" t="s">
        <v>965</v>
      </c>
      <c r="BA31" s="47" t="s">
        <v>965</v>
      </c>
      <c r="BB31" s="47" t="s">
        <v>965</v>
      </c>
      <c r="BC31" s="47" t="s">
        <v>965</v>
      </c>
      <c r="BD31" s="47" t="s">
        <v>965</v>
      </c>
      <c r="BE31" s="47" t="s">
        <v>835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20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20</v>
      </c>
      <c r="BR31" s="47">
        <v>0</v>
      </c>
      <c r="BS31" s="47">
        <v>0</v>
      </c>
      <c r="BT31" s="47">
        <v>20</v>
      </c>
      <c r="BU31" s="47">
        <v>12</v>
      </c>
      <c r="BV31" s="52">
        <f t="shared" si="0"/>
        <v>0.6</v>
      </c>
      <c r="BW31" s="50"/>
    </row>
    <row r="32" spans="1:75" x14ac:dyDescent="0.2">
      <c r="A32" s="47">
        <v>2025</v>
      </c>
      <c r="B32" s="47" t="s">
        <v>958</v>
      </c>
      <c r="C32" s="47" t="s">
        <v>1007</v>
      </c>
      <c r="D32" s="47" t="s">
        <v>958</v>
      </c>
      <c r="E32" s="48" t="s">
        <v>1004</v>
      </c>
      <c r="F32" s="48" t="s">
        <v>103</v>
      </c>
      <c r="G32" s="51"/>
      <c r="H32" s="48"/>
      <c r="I32" s="48"/>
      <c r="J32" s="48"/>
      <c r="K32" s="47" t="s">
        <v>962</v>
      </c>
      <c r="L32" s="47" t="s">
        <v>963</v>
      </c>
      <c r="M32" s="47" t="s">
        <v>849</v>
      </c>
      <c r="N32" s="47" t="s">
        <v>964</v>
      </c>
      <c r="O32" s="47" t="s">
        <v>965</v>
      </c>
      <c r="P32" s="47" t="s">
        <v>965</v>
      </c>
      <c r="Q32" s="47" t="s">
        <v>965</v>
      </c>
      <c r="R32" s="47" t="s">
        <v>965</v>
      </c>
      <c r="S32" s="47" t="s">
        <v>965</v>
      </c>
      <c r="T32" s="47" t="s">
        <v>965</v>
      </c>
      <c r="U32" s="47" t="s">
        <v>965</v>
      </c>
      <c r="V32" s="47" t="s">
        <v>965</v>
      </c>
      <c r="W32" s="47" t="s">
        <v>965</v>
      </c>
      <c r="X32" s="47" t="s">
        <v>965</v>
      </c>
      <c r="Y32" s="47" t="s">
        <v>965</v>
      </c>
      <c r="Z32" s="47" t="s">
        <v>965</v>
      </c>
      <c r="AA32" s="47" t="s">
        <v>965</v>
      </c>
      <c r="AB32" s="47" t="s">
        <v>965</v>
      </c>
      <c r="AC32" s="47" t="s">
        <v>965</v>
      </c>
      <c r="AD32" s="47" t="s">
        <v>965</v>
      </c>
      <c r="AE32" s="47" t="s">
        <v>965</v>
      </c>
      <c r="AF32" s="47" t="s">
        <v>965</v>
      </c>
      <c r="AG32" s="47" t="s">
        <v>965</v>
      </c>
      <c r="AH32" s="47" t="s">
        <v>965</v>
      </c>
      <c r="AI32" s="47" t="s">
        <v>965</v>
      </c>
      <c r="AJ32" s="47" t="s">
        <v>965</v>
      </c>
      <c r="AK32" s="47" t="s">
        <v>965</v>
      </c>
      <c r="AL32" s="47" t="s">
        <v>965</v>
      </c>
      <c r="AM32" s="47" t="s">
        <v>965</v>
      </c>
      <c r="AN32" s="47" t="s">
        <v>965</v>
      </c>
      <c r="AO32" s="47" t="s">
        <v>965</v>
      </c>
      <c r="AP32" s="47" t="s">
        <v>965</v>
      </c>
      <c r="AQ32" s="47" t="s">
        <v>965</v>
      </c>
      <c r="AR32" s="47" t="s">
        <v>965</v>
      </c>
      <c r="AS32" s="47" t="s">
        <v>965</v>
      </c>
      <c r="AT32" s="47" t="s">
        <v>965</v>
      </c>
      <c r="AU32" s="47" t="s">
        <v>965</v>
      </c>
      <c r="AV32" s="47" t="s">
        <v>965</v>
      </c>
      <c r="AW32" s="47" t="s">
        <v>965</v>
      </c>
      <c r="AX32" s="47" t="s">
        <v>965</v>
      </c>
      <c r="AY32" s="47" t="s">
        <v>965</v>
      </c>
      <c r="AZ32" s="47" t="s">
        <v>965</v>
      </c>
      <c r="BA32" s="47" t="s">
        <v>965</v>
      </c>
      <c r="BB32" s="47" t="s">
        <v>965</v>
      </c>
      <c r="BC32" s="47" t="s">
        <v>965</v>
      </c>
      <c r="BD32" s="47" t="s">
        <v>833</v>
      </c>
      <c r="BE32" s="47" t="s">
        <v>835</v>
      </c>
      <c r="BF32" s="47">
        <v>21</v>
      </c>
      <c r="BG32" s="47">
        <v>8</v>
      </c>
      <c r="BH32" s="47">
        <v>0</v>
      </c>
      <c r="BI32" s="47">
        <v>0</v>
      </c>
      <c r="BJ32" s="47">
        <v>0</v>
      </c>
      <c r="BK32" s="47">
        <v>6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27</v>
      </c>
      <c r="BR32" s="47">
        <v>0</v>
      </c>
      <c r="BS32" s="47">
        <v>0</v>
      </c>
      <c r="BT32" s="47">
        <v>27</v>
      </c>
      <c r="BU32" s="47">
        <v>19</v>
      </c>
      <c r="BV32" s="52">
        <f t="shared" si="0"/>
        <v>0.70370370370370372</v>
      </c>
      <c r="BW32" s="50"/>
    </row>
    <row r="33" spans="1:75" x14ac:dyDescent="0.2">
      <c r="A33" s="47">
        <v>2025</v>
      </c>
      <c r="B33" s="47" t="s">
        <v>958</v>
      </c>
      <c r="C33" s="47" t="s">
        <v>1007</v>
      </c>
      <c r="D33" s="47" t="s">
        <v>1008</v>
      </c>
      <c r="E33" s="48" t="s">
        <v>1004</v>
      </c>
      <c r="F33" s="48" t="s">
        <v>103</v>
      </c>
      <c r="G33" s="51"/>
      <c r="H33" s="48"/>
      <c r="I33" s="48"/>
      <c r="J33" s="48"/>
      <c r="K33" s="47" t="s">
        <v>962</v>
      </c>
      <c r="L33" s="47" t="s">
        <v>963</v>
      </c>
      <c r="M33" s="47" t="s">
        <v>974</v>
      </c>
      <c r="N33" s="47" t="s">
        <v>964</v>
      </c>
      <c r="O33" s="47" t="s">
        <v>965</v>
      </c>
      <c r="P33" s="47" t="s">
        <v>965</v>
      </c>
      <c r="Q33" s="47" t="s">
        <v>965</v>
      </c>
      <c r="R33" s="47" t="s">
        <v>965</v>
      </c>
      <c r="S33" s="47" t="s">
        <v>965</v>
      </c>
      <c r="T33" s="47" t="s">
        <v>965</v>
      </c>
      <c r="U33" s="47" t="s">
        <v>965</v>
      </c>
      <c r="V33" s="47" t="s">
        <v>965</v>
      </c>
      <c r="W33" s="47" t="s">
        <v>965</v>
      </c>
      <c r="X33" s="47" t="s">
        <v>965</v>
      </c>
      <c r="Y33" s="47" t="s">
        <v>965</v>
      </c>
      <c r="Z33" s="47" t="s">
        <v>965</v>
      </c>
      <c r="AA33" s="47" t="s">
        <v>965</v>
      </c>
      <c r="AB33" s="47" t="s">
        <v>965</v>
      </c>
      <c r="AC33" s="47" t="s">
        <v>965</v>
      </c>
      <c r="AD33" s="47" t="s">
        <v>965</v>
      </c>
      <c r="AE33" s="47" t="s">
        <v>965</v>
      </c>
      <c r="AF33" s="47" t="s">
        <v>965</v>
      </c>
      <c r="AG33" s="47" t="s">
        <v>965</v>
      </c>
      <c r="AH33" s="47" t="s">
        <v>965</v>
      </c>
      <c r="AI33" s="47" t="s">
        <v>965</v>
      </c>
      <c r="AJ33" s="47" t="s">
        <v>965</v>
      </c>
      <c r="AK33" s="47" t="s">
        <v>965</v>
      </c>
      <c r="AL33" s="47" t="s">
        <v>965</v>
      </c>
      <c r="AM33" s="47" t="s">
        <v>965</v>
      </c>
      <c r="AN33" s="47" t="s">
        <v>965</v>
      </c>
      <c r="AO33" s="47" t="s">
        <v>965</v>
      </c>
      <c r="AP33" s="47" t="s">
        <v>965</v>
      </c>
      <c r="AQ33" s="47" t="s">
        <v>965</v>
      </c>
      <c r="AR33" s="47" t="s">
        <v>965</v>
      </c>
      <c r="AS33" s="47" t="s">
        <v>965</v>
      </c>
      <c r="AT33" s="47" t="s">
        <v>965</v>
      </c>
      <c r="AU33" s="47" t="s">
        <v>965</v>
      </c>
      <c r="AV33" s="47" t="s">
        <v>965</v>
      </c>
      <c r="AW33" s="47" t="s">
        <v>965</v>
      </c>
      <c r="AX33" s="47" t="s">
        <v>965</v>
      </c>
      <c r="AY33" s="47" t="s">
        <v>965</v>
      </c>
      <c r="AZ33" s="47" t="s">
        <v>965</v>
      </c>
      <c r="BA33" s="47" t="s">
        <v>965</v>
      </c>
      <c r="BB33" s="47" t="s">
        <v>965</v>
      </c>
      <c r="BC33" s="47" t="s">
        <v>965</v>
      </c>
      <c r="BD33" s="47" t="s">
        <v>833</v>
      </c>
      <c r="BE33" s="47" t="s">
        <v>855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1</v>
      </c>
      <c r="BT33" s="47">
        <v>1</v>
      </c>
      <c r="BU33" s="47">
        <v>1</v>
      </c>
      <c r="BV33" s="52">
        <f t="shared" si="0"/>
        <v>1</v>
      </c>
      <c r="BW33" s="54">
        <v>0.76</v>
      </c>
    </row>
    <row r="34" spans="1:75" x14ac:dyDescent="0.2">
      <c r="A34" s="47">
        <v>2025</v>
      </c>
      <c r="B34" s="47" t="s">
        <v>958</v>
      </c>
      <c r="C34" s="47" t="s">
        <v>1009</v>
      </c>
      <c r="D34" s="47" t="s">
        <v>999</v>
      </c>
      <c r="E34" s="48" t="s">
        <v>1010</v>
      </c>
      <c r="F34" s="48" t="s">
        <v>23</v>
      </c>
      <c r="G34" s="51"/>
      <c r="H34" s="5"/>
      <c r="I34" s="5"/>
      <c r="J34" s="5"/>
      <c r="K34" s="47" t="s">
        <v>833</v>
      </c>
      <c r="L34" s="47" t="s">
        <v>963</v>
      </c>
      <c r="M34" s="47" t="s">
        <v>854</v>
      </c>
      <c r="N34" s="47" t="s">
        <v>1000</v>
      </c>
      <c r="O34" s="47" t="s">
        <v>965</v>
      </c>
      <c r="P34" s="47" t="s">
        <v>965</v>
      </c>
      <c r="Q34" s="47" t="s">
        <v>965</v>
      </c>
      <c r="R34" s="47" t="s">
        <v>965</v>
      </c>
      <c r="S34" s="47" t="s">
        <v>965</v>
      </c>
      <c r="T34" s="47" t="s">
        <v>965</v>
      </c>
      <c r="U34" s="47" t="s">
        <v>965</v>
      </c>
      <c r="V34" s="47" t="s">
        <v>965</v>
      </c>
      <c r="W34" s="47" t="s">
        <v>965</v>
      </c>
      <c r="X34" s="47" t="s">
        <v>965</v>
      </c>
      <c r="Y34" s="47" t="s">
        <v>965</v>
      </c>
      <c r="Z34" s="47" t="s">
        <v>965</v>
      </c>
      <c r="AA34" s="47" t="s">
        <v>965</v>
      </c>
      <c r="AB34" s="47" t="s">
        <v>965</v>
      </c>
      <c r="AC34" s="47" t="s">
        <v>965</v>
      </c>
      <c r="AD34" s="47" t="s">
        <v>965</v>
      </c>
      <c r="AE34" s="47" t="s">
        <v>965</v>
      </c>
      <c r="AF34" s="47" t="s">
        <v>965</v>
      </c>
      <c r="AG34" s="47" t="s">
        <v>965</v>
      </c>
      <c r="AH34" s="47" t="s">
        <v>965</v>
      </c>
      <c r="AI34" s="47" t="s">
        <v>965</v>
      </c>
      <c r="AJ34" s="47" t="s">
        <v>965</v>
      </c>
      <c r="AK34" s="47" t="s">
        <v>965</v>
      </c>
      <c r="AL34" s="47" t="s">
        <v>965</v>
      </c>
      <c r="AM34" s="47" t="s">
        <v>965</v>
      </c>
      <c r="AN34" s="47" t="s">
        <v>965</v>
      </c>
      <c r="AO34" s="47" t="s">
        <v>965</v>
      </c>
      <c r="AP34" s="47" t="s">
        <v>965</v>
      </c>
      <c r="AQ34" s="47" t="s">
        <v>965</v>
      </c>
      <c r="AR34" s="47" t="s">
        <v>965</v>
      </c>
      <c r="AS34" s="47" t="s">
        <v>965</v>
      </c>
      <c r="AT34" s="47" t="s">
        <v>833</v>
      </c>
      <c r="AU34" s="47" t="s">
        <v>965</v>
      </c>
      <c r="AV34" s="47" t="s">
        <v>965</v>
      </c>
      <c r="AW34" s="47" t="s">
        <v>965</v>
      </c>
      <c r="AX34" s="47" t="s">
        <v>965</v>
      </c>
      <c r="AY34" s="47" t="s">
        <v>965</v>
      </c>
      <c r="AZ34" s="47" t="s">
        <v>965</v>
      </c>
      <c r="BA34" s="47" t="s">
        <v>965</v>
      </c>
      <c r="BB34" s="47" t="s">
        <v>965</v>
      </c>
      <c r="BC34" s="47" t="s">
        <v>965</v>
      </c>
      <c r="BD34" s="47" t="s">
        <v>965</v>
      </c>
      <c r="BE34" s="47" t="s">
        <v>855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1</v>
      </c>
      <c r="BT34" s="47">
        <v>1</v>
      </c>
      <c r="BU34" s="47">
        <v>1</v>
      </c>
      <c r="BV34" s="52">
        <f t="shared" si="0"/>
        <v>1</v>
      </c>
      <c r="BW34" s="50"/>
    </row>
    <row r="35" spans="1:75" x14ac:dyDescent="0.2">
      <c r="A35" s="47">
        <v>2025</v>
      </c>
      <c r="B35" s="47" t="s">
        <v>958</v>
      </c>
      <c r="C35" s="47" t="s">
        <v>1011</v>
      </c>
      <c r="D35" s="47" t="s">
        <v>1012</v>
      </c>
      <c r="E35" s="48" t="s">
        <v>1010</v>
      </c>
      <c r="F35" s="48" t="s">
        <v>23</v>
      </c>
      <c r="G35" s="51"/>
      <c r="H35" s="48"/>
      <c r="I35" s="48"/>
      <c r="J35" s="48"/>
      <c r="K35" s="47" t="s">
        <v>965</v>
      </c>
      <c r="L35" s="47" t="s">
        <v>963</v>
      </c>
      <c r="M35" s="47" t="s">
        <v>854</v>
      </c>
      <c r="N35" s="47" t="s">
        <v>834</v>
      </c>
      <c r="O35" s="47" t="s">
        <v>965</v>
      </c>
      <c r="P35" s="47" t="s">
        <v>965</v>
      </c>
      <c r="Q35" s="47" t="s">
        <v>965</v>
      </c>
      <c r="R35" s="47" t="s">
        <v>965</v>
      </c>
      <c r="S35" s="47" t="s">
        <v>965</v>
      </c>
      <c r="T35" s="47" t="s">
        <v>965</v>
      </c>
      <c r="U35" s="47" t="s">
        <v>965</v>
      </c>
      <c r="V35" s="47" t="s">
        <v>965</v>
      </c>
      <c r="W35" s="47" t="s">
        <v>965</v>
      </c>
      <c r="X35" s="47" t="s">
        <v>965</v>
      </c>
      <c r="Y35" s="47" t="s">
        <v>965</v>
      </c>
      <c r="Z35" s="47" t="s">
        <v>965</v>
      </c>
      <c r="AA35" s="47" t="s">
        <v>965</v>
      </c>
      <c r="AB35" s="47" t="s">
        <v>965</v>
      </c>
      <c r="AC35" s="47" t="s">
        <v>965</v>
      </c>
      <c r="AD35" s="47" t="s">
        <v>965</v>
      </c>
      <c r="AE35" s="47" t="s">
        <v>965</v>
      </c>
      <c r="AF35" s="47" t="s">
        <v>965</v>
      </c>
      <c r="AG35" s="47" t="s">
        <v>965</v>
      </c>
      <c r="AH35" s="47" t="s">
        <v>965</v>
      </c>
      <c r="AI35" s="47" t="s">
        <v>965</v>
      </c>
      <c r="AJ35" s="47" t="s">
        <v>965</v>
      </c>
      <c r="AK35" s="47" t="s">
        <v>965</v>
      </c>
      <c r="AL35" s="47" t="s">
        <v>965</v>
      </c>
      <c r="AM35" s="47" t="s">
        <v>965</v>
      </c>
      <c r="AN35" s="47" t="s">
        <v>965</v>
      </c>
      <c r="AO35" s="47" t="s">
        <v>965</v>
      </c>
      <c r="AP35" s="47" t="s">
        <v>965</v>
      </c>
      <c r="AQ35" s="47" t="s">
        <v>965</v>
      </c>
      <c r="AR35" s="47" t="s">
        <v>965</v>
      </c>
      <c r="AS35" s="47" t="s">
        <v>965</v>
      </c>
      <c r="AT35" s="47" t="s">
        <v>965</v>
      </c>
      <c r="AU35" s="47" t="s">
        <v>965</v>
      </c>
      <c r="AV35" s="47" t="s">
        <v>965</v>
      </c>
      <c r="AW35" s="47" t="s">
        <v>965</v>
      </c>
      <c r="AX35" s="47" t="s">
        <v>965</v>
      </c>
      <c r="AY35" s="47" t="s">
        <v>965</v>
      </c>
      <c r="AZ35" s="47" t="s">
        <v>965</v>
      </c>
      <c r="BA35" s="47" t="s">
        <v>965</v>
      </c>
      <c r="BB35" s="47" t="s">
        <v>965</v>
      </c>
      <c r="BC35" s="47" t="s">
        <v>833</v>
      </c>
      <c r="BD35" s="47" t="s">
        <v>965</v>
      </c>
      <c r="BE35" s="47" t="s">
        <v>855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11</v>
      </c>
      <c r="BT35" s="47">
        <v>11</v>
      </c>
      <c r="BU35" s="47">
        <v>0</v>
      </c>
      <c r="BV35" s="52">
        <f t="shared" si="0"/>
        <v>0</v>
      </c>
      <c r="BW35" s="54">
        <v>0.79</v>
      </c>
    </row>
    <row r="36" spans="1:75" x14ac:dyDescent="0.2">
      <c r="A36" s="47">
        <v>2025</v>
      </c>
      <c r="B36" s="47" t="s">
        <v>958</v>
      </c>
      <c r="C36" s="47" t="s">
        <v>1013</v>
      </c>
      <c r="D36" s="47" t="s">
        <v>1014</v>
      </c>
      <c r="E36" s="48" t="s">
        <v>1010</v>
      </c>
      <c r="F36" s="48" t="s">
        <v>23</v>
      </c>
      <c r="G36" s="51"/>
      <c r="H36" s="5"/>
      <c r="I36" s="5"/>
      <c r="J36" s="5"/>
      <c r="K36" s="47" t="s">
        <v>833</v>
      </c>
      <c r="L36" s="47" t="s">
        <v>963</v>
      </c>
      <c r="M36" s="47" t="s">
        <v>849</v>
      </c>
      <c r="N36" s="47" t="s">
        <v>834</v>
      </c>
      <c r="O36" s="47" t="s">
        <v>965</v>
      </c>
      <c r="P36" s="47" t="s">
        <v>965</v>
      </c>
      <c r="Q36" s="47" t="s">
        <v>965</v>
      </c>
      <c r="R36" s="47" t="s">
        <v>965</v>
      </c>
      <c r="S36" s="47" t="s">
        <v>965</v>
      </c>
      <c r="T36" s="47" t="s">
        <v>965</v>
      </c>
      <c r="U36" s="47" t="s">
        <v>965</v>
      </c>
      <c r="V36" s="47" t="s">
        <v>965</v>
      </c>
      <c r="W36" s="47" t="s">
        <v>965</v>
      </c>
      <c r="X36" s="47" t="s">
        <v>965</v>
      </c>
      <c r="Y36" s="47" t="s">
        <v>965</v>
      </c>
      <c r="Z36" s="47" t="s">
        <v>965</v>
      </c>
      <c r="AA36" s="47" t="s">
        <v>965</v>
      </c>
      <c r="AB36" s="47" t="s">
        <v>965</v>
      </c>
      <c r="AC36" s="47" t="s">
        <v>965</v>
      </c>
      <c r="AD36" s="47" t="s">
        <v>965</v>
      </c>
      <c r="AE36" s="47" t="s">
        <v>965</v>
      </c>
      <c r="AF36" s="47" t="s">
        <v>965</v>
      </c>
      <c r="AG36" s="47" t="s">
        <v>965</v>
      </c>
      <c r="AH36" s="47" t="s">
        <v>965</v>
      </c>
      <c r="AI36" s="47" t="s">
        <v>965</v>
      </c>
      <c r="AJ36" s="47" t="s">
        <v>965</v>
      </c>
      <c r="AK36" s="47" t="s">
        <v>965</v>
      </c>
      <c r="AL36" s="47" t="s">
        <v>965</v>
      </c>
      <c r="AM36" s="47" t="s">
        <v>965</v>
      </c>
      <c r="AN36" s="47" t="s">
        <v>965</v>
      </c>
      <c r="AO36" s="47" t="s">
        <v>965</v>
      </c>
      <c r="AP36" s="47" t="s">
        <v>965</v>
      </c>
      <c r="AQ36" s="47" t="s">
        <v>965</v>
      </c>
      <c r="AR36" s="47" t="s">
        <v>965</v>
      </c>
      <c r="AS36" s="47" t="s">
        <v>965</v>
      </c>
      <c r="AT36" s="47" t="s">
        <v>965</v>
      </c>
      <c r="AU36" s="47" t="s">
        <v>965</v>
      </c>
      <c r="AV36" s="47" t="s">
        <v>965</v>
      </c>
      <c r="AW36" s="47" t="s">
        <v>965</v>
      </c>
      <c r="AX36" s="47" t="s">
        <v>965</v>
      </c>
      <c r="AY36" s="47" t="s">
        <v>965</v>
      </c>
      <c r="AZ36" s="47" t="s">
        <v>965</v>
      </c>
      <c r="BA36" s="47" t="s">
        <v>965</v>
      </c>
      <c r="BB36" s="47" t="s">
        <v>965</v>
      </c>
      <c r="BC36" s="47" t="s">
        <v>833</v>
      </c>
      <c r="BD36" s="47" t="s">
        <v>965</v>
      </c>
      <c r="BE36" s="47" t="s">
        <v>835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7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7</v>
      </c>
      <c r="BR36" s="47">
        <v>0</v>
      </c>
      <c r="BS36" s="47">
        <v>0</v>
      </c>
      <c r="BT36" s="47">
        <v>7</v>
      </c>
      <c r="BU36" s="47">
        <v>6</v>
      </c>
      <c r="BV36" s="52">
        <f t="shared" si="0"/>
        <v>0.8571428571428571</v>
      </c>
      <c r="BW36" s="54">
        <v>0.66</v>
      </c>
    </row>
    <row r="37" spans="1:75" x14ac:dyDescent="0.2">
      <c r="A37" s="47">
        <v>2025</v>
      </c>
      <c r="B37" s="47" t="s">
        <v>958</v>
      </c>
      <c r="C37" s="47" t="s">
        <v>995</v>
      </c>
      <c r="D37" s="47" t="s">
        <v>1015</v>
      </c>
      <c r="E37" s="48" t="s">
        <v>1010</v>
      </c>
      <c r="F37" s="48" t="s">
        <v>23</v>
      </c>
      <c r="G37" s="51" t="s">
        <v>1016</v>
      </c>
      <c r="H37" s="35">
        <v>0.69</v>
      </c>
      <c r="I37" s="35">
        <v>0.25</v>
      </c>
      <c r="J37" s="32">
        <v>0.82</v>
      </c>
      <c r="K37" s="47" t="s">
        <v>833</v>
      </c>
      <c r="L37" s="47" t="s">
        <v>963</v>
      </c>
      <c r="M37" s="47" t="s">
        <v>849</v>
      </c>
      <c r="N37" s="47" t="s">
        <v>834</v>
      </c>
      <c r="O37" s="47" t="s">
        <v>965</v>
      </c>
      <c r="P37" s="47" t="s">
        <v>965</v>
      </c>
      <c r="Q37" s="47" t="s">
        <v>965</v>
      </c>
      <c r="R37" s="47" t="s">
        <v>965</v>
      </c>
      <c r="S37" s="47" t="s">
        <v>965</v>
      </c>
      <c r="T37" s="47" t="s">
        <v>965</v>
      </c>
      <c r="U37" s="47" t="s">
        <v>965</v>
      </c>
      <c r="V37" s="47" t="s">
        <v>965</v>
      </c>
      <c r="W37" s="47" t="s">
        <v>965</v>
      </c>
      <c r="X37" s="47" t="s">
        <v>965</v>
      </c>
      <c r="Y37" s="47" t="s">
        <v>965</v>
      </c>
      <c r="Z37" s="47" t="s">
        <v>965</v>
      </c>
      <c r="AA37" s="47" t="s">
        <v>965</v>
      </c>
      <c r="AB37" s="47" t="s">
        <v>965</v>
      </c>
      <c r="AC37" s="47" t="s">
        <v>965</v>
      </c>
      <c r="AD37" s="47" t="s">
        <v>965</v>
      </c>
      <c r="AE37" s="47" t="s">
        <v>965</v>
      </c>
      <c r="AF37" s="47" t="s">
        <v>965</v>
      </c>
      <c r="AG37" s="47" t="s">
        <v>965</v>
      </c>
      <c r="AH37" s="47" t="s">
        <v>965</v>
      </c>
      <c r="AI37" s="47" t="s">
        <v>965</v>
      </c>
      <c r="AJ37" s="47" t="s">
        <v>965</v>
      </c>
      <c r="AK37" s="47" t="s">
        <v>965</v>
      </c>
      <c r="AL37" s="47" t="s">
        <v>965</v>
      </c>
      <c r="AM37" s="47" t="s">
        <v>965</v>
      </c>
      <c r="AN37" s="47" t="s">
        <v>965</v>
      </c>
      <c r="AO37" s="47" t="s">
        <v>965</v>
      </c>
      <c r="AP37" s="47" t="s">
        <v>965</v>
      </c>
      <c r="AQ37" s="47" t="s">
        <v>965</v>
      </c>
      <c r="AR37" s="47" t="s">
        <v>965</v>
      </c>
      <c r="AS37" s="47" t="s">
        <v>965</v>
      </c>
      <c r="AT37" s="47" t="s">
        <v>965</v>
      </c>
      <c r="AU37" s="47" t="s">
        <v>965</v>
      </c>
      <c r="AV37" s="47" t="s">
        <v>965</v>
      </c>
      <c r="AW37" s="47" t="s">
        <v>965</v>
      </c>
      <c r="AX37" s="47" t="s">
        <v>965</v>
      </c>
      <c r="AY37" s="47" t="s">
        <v>965</v>
      </c>
      <c r="AZ37" s="47" t="s">
        <v>965</v>
      </c>
      <c r="BA37" s="47" t="s">
        <v>965</v>
      </c>
      <c r="BB37" s="47" t="s">
        <v>965</v>
      </c>
      <c r="BC37" s="47" t="s">
        <v>833</v>
      </c>
      <c r="BD37" s="47" t="s">
        <v>965</v>
      </c>
      <c r="BE37" s="47" t="s">
        <v>835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85</v>
      </c>
      <c r="BL37" s="47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85</v>
      </c>
      <c r="BR37" s="47">
        <v>0</v>
      </c>
      <c r="BS37" s="47">
        <v>0</v>
      </c>
      <c r="BT37" s="47">
        <v>85</v>
      </c>
      <c r="BU37" s="47">
        <v>76</v>
      </c>
      <c r="BV37" s="52">
        <f t="shared" si="0"/>
        <v>0.89411764705882357</v>
      </c>
      <c r="BW37" s="54">
        <v>0.61</v>
      </c>
    </row>
    <row r="38" spans="1:75" x14ac:dyDescent="0.2">
      <c r="A38" s="47">
        <v>2025</v>
      </c>
      <c r="B38" s="47" t="s">
        <v>958</v>
      </c>
      <c r="C38" s="47" t="s">
        <v>966</v>
      </c>
      <c r="D38" s="47" t="s">
        <v>1017</v>
      </c>
      <c r="E38" s="48" t="s">
        <v>1018</v>
      </c>
      <c r="F38" s="48" t="s">
        <v>45</v>
      </c>
      <c r="G38" s="51" t="s">
        <v>505</v>
      </c>
      <c r="H38" s="35">
        <v>0.36</v>
      </c>
      <c r="I38" s="35">
        <v>0.11</v>
      </c>
      <c r="J38" s="32">
        <v>0.87</v>
      </c>
      <c r="K38" s="47" t="s">
        <v>833</v>
      </c>
      <c r="L38" s="47" t="s">
        <v>963</v>
      </c>
      <c r="M38" s="47" t="s">
        <v>849</v>
      </c>
      <c r="N38" s="47" t="s">
        <v>834</v>
      </c>
      <c r="O38" s="47" t="s">
        <v>965</v>
      </c>
      <c r="P38" s="47" t="s">
        <v>965</v>
      </c>
      <c r="Q38" s="47" t="s">
        <v>965</v>
      </c>
      <c r="R38" s="47" t="s">
        <v>965</v>
      </c>
      <c r="S38" s="47" t="s">
        <v>965</v>
      </c>
      <c r="T38" s="47" t="s">
        <v>965</v>
      </c>
      <c r="U38" s="47" t="s">
        <v>965</v>
      </c>
      <c r="V38" s="47" t="s">
        <v>965</v>
      </c>
      <c r="W38" s="47" t="s">
        <v>965</v>
      </c>
      <c r="X38" s="47" t="s">
        <v>965</v>
      </c>
      <c r="Y38" s="47" t="s">
        <v>965</v>
      </c>
      <c r="Z38" s="47" t="s">
        <v>965</v>
      </c>
      <c r="AA38" s="47" t="s">
        <v>965</v>
      </c>
      <c r="AB38" s="47" t="s">
        <v>965</v>
      </c>
      <c r="AC38" s="47" t="s">
        <v>965</v>
      </c>
      <c r="AD38" s="47" t="s">
        <v>965</v>
      </c>
      <c r="AE38" s="47" t="s">
        <v>965</v>
      </c>
      <c r="AF38" s="47" t="s">
        <v>965</v>
      </c>
      <c r="AG38" s="47" t="s">
        <v>965</v>
      </c>
      <c r="AH38" s="47" t="s">
        <v>965</v>
      </c>
      <c r="AI38" s="47" t="s">
        <v>965</v>
      </c>
      <c r="AJ38" s="47" t="s">
        <v>965</v>
      </c>
      <c r="AK38" s="47" t="s">
        <v>965</v>
      </c>
      <c r="AL38" s="47" t="s">
        <v>965</v>
      </c>
      <c r="AM38" s="47" t="s">
        <v>965</v>
      </c>
      <c r="AN38" s="47" t="s">
        <v>965</v>
      </c>
      <c r="AO38" s="47" t="s">
        <v>965</v>
      </c>
      <c r="AP38" s="47" t="s">
        <v>965</v>
      </c>
      <c r="AQ38" s="47" t="s">
        <v>965</v>
      </c>
      <c r="AR38" s="47" t="s">
        <v>965</v>
      </c>
      <c r="AS38" s="47" t="s">
        <v>965</v>
      </c>
      <c r="AT38" s="47" t="s">
        <v>965</v>
      </c>
      <c r="AU38" s="47" t="s">
        <v>965</v>
      </c>
      <c r="AV38" s="47" t="s">
        <v>965</v>
      </c>
      <c r="AW38" s="47" t="s">
        <v>965</v>
      </c>
      <c r="AX38" s="47" t="s">
        <v>965</v>
      </c>
      <c r="AY38" s="47" t="s">
        <v>965</v>
      </c>
      <c r="AZ38" s="47" t="s">
        <v>965</v>
      </c>
      <c r="BA38" s="47" t="s">
        <v>965</v>
      </c>
      <c r="BB38" s="47" t="s">
        <v>965</v>
      </c>
      <c r="BC38" s="47" t="s">
        <v>833</v>
      </c>
      <c r="BD38" s="47" t="s">
        <v>965</v>
      </c>
      <c r="BE38" s="47" t="s">
        <v>835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62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62</v>
      </c>
      <c r="BR38" s="47">
        <v>0</v>
      </c>
      <c r="BS38" s="47">
        <v>0</v>
      </c>
      <c r="BT38" s="47">
        <v>62</v>
      </c>
      <c r="BU38" s="47">
        <v>31</v>
      </c>
      <c r="BV38" s="52">
        <f t="shared" si="0"/>
        <v>0.5</v>
      </c>
      <c r="BW38" s="50"/>
    </row>
    <row r="39" spans="1:75" x14ac:dyDescent="0.2">
      <c r="A39" s="47">
        <v>2025</v>
      </c>
      <c r="B39" s="47" t="s">
        <v>958</v>
      </c>
      <c r="C39" s="47" t="s">
        <v>866</v>
      </c>
      <c r="D39" s="47" t="s">
        <v>1019</v>
      </c>
      <c r="E39" s="48" t="s">
        <v>1018</v>
      </c>
      <c r="F39" s="48" t="s">
        <v>45</v>
      </c>
      <c r="G39" s="51" t="s">
        <v>1020</v>
      </c>
      <c r="H39" s="35">
        <v>0.63</v>
      </c>
      <c r="I39" s="35">
        <v>0.16</v>
      </c>
      <c r="J39" s="32">
        <v>0.77</v>
      </c>
      <c r="K39" s="47" t="s">
        <v>833</v>
      </c>
      <c r="L39" s="47" t="s">
        <v>963</v>
      </c>
      <c r="M39" s="47" t="s">
        <v>849</v>
      </c>
      <c r="N39" s="47" t="s">
        <v>834</v>
      </c>
      <c r="O39" s="47" t="s">
        <v>965</v>
      </c>
      <c r="P39" s="47" t="s">
        <v>965</v>
      </c>
      <c r="Q39" s="47" t="s">
        <v>965</v>
      </c>
      <c r="R39" s="47" t="s">
        <v>965</v>
      </c>
      <c r="S39" s="47" t="s">
        <v>965</v>
      </c>
      <c r="T39" s="47" t="s">
        <v>965</v>
      </c>
      <c r="U39" s="47" t="s">
        <v>965</v>
      </c>
      <c r="V39" s="47" t="s">
        <v>965</v>
      </c>
      <c r="W39" s="47" t="s">
        <v>965</v>
      </c>
      <c r="X39" s="47" t="s">
        <v>965</v>
      </c>
      <c r="Y39" s="47" t="s">
        <v>965</v>
      </c>
      <c r="Z39" s="47" t="s">
        <v>965</v>
      </c>
      <c r="AA39" s="47" t="s">
        <v>965</v>
      </c>
      <c r="AB39" s="47" t="s">
        <v>965</v>
      </c>
      <c r="AC39" s="47" t="s">
        <v>965</v>
      </c>
      <c r="AD39" s="47" t="s">
        <v>965</v>
      </c>
      <c r="AE39" s="47" t="s">
        <v>965</v>
      </c>
      <c r="AF39" s="47" t="s">
        <v>965</v>
      </c>
      <c r="AG39" s="47" t="s">
        <v>965</v>
      </c>
      <c r="AH39" s="47" t="s">
        <v>965</v>
      </c>
      <c r="AI39" s="47" t="s">
        <v>965</v>
      </c>
      <c r="AJ39" s="47" t="s">
        <v>965</v>
      </c>
      <c r="AK39" s="47" t="s">
        <v>965</v>
      </c>
      <c r="AL39" s="47" t="s">
        <v>965</v>
      </c>
      <c r="AM39" s="47" t="s">
        <v>965</v>
      </c>
      <c r="AN39" s="47" t="s">
        <v>965</v>
      </c>
      <c r="AO39" s="47" t="s">
        <v>965</v>
      </c>
      <c r="AP39" s="47" t="s">
        <v>965</v>
      </c>
      <c r="AQ39" s="47" t="s">
        <v>965</v>
      </c>
      <c r="AR39" s="47" t="s">
        <v>965</v>
      </c>
      <c r="AS39" s="47" t="s">
        <v>965</v>
      </c>
      <c r="AT39" s="47" t="s">
        <v>965</v>
      </c>
      <c r="AU39" s="47" t="s">
        <v>965</v>
      </c>
      <c r="AV39" s="47" t="s">
        <v>965</v>
      </c>
      <c r="AW39" s="47" t="s">
        <v>965</v>
      </c>
      <c r="AX39" s="47" t="s">
        <v>965</v>
      </c>
      <c r="AY39" s="47" t="s">
        <v>965</v>
      </c>
      <c r="AZ39" s="47" t="s">
        <v>965</v>
      </c>
      <c r="BA39" s="47" t="s">
        <v>965</v>
      </c>
      <c r="BB39" s="47" t="s">
        <v>965</v>
      </c>
      <c r="BC39" s="47" t="s">
        <v>965</v>
      </c>
      <c r="BD39" s="47" t="s">
        <v>965</v>
      </c>
      <c r="BE39" s="47" t="s">
        <v>835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174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174</v>
      </c>
      <c r="BR39" s="47">
        <v>0</v>
      </c>
      <c r="BS39" s="47">
        <v>0</v>
      </c>
      <c r="BT39" s="47">
        <v>174</v>
      </c>
      <c r="BU39" s="47">
        <v>159</v>
      </c>
      <c r="BV39" s="52">
        <f t="shared" si="0"/>
        <v>0.91379310344827591</v>
      </c>
      <c r="BW39" s="54">
        <v>0.53</v>
      </c>
    </row>
    <row r="40" spans="1:75" x14ac:dyDescent="0.2">
      <c r="A40" s="47">
        <v>2025</v>
      </c>
      <c r="B40" s="47" t="s">
        <v>958</v>
      </c>
      <c r="C40" s="47" t="s">
        <v>1021</v>
      </c>
      <c r="D40" s="47" t="s">
        <v>1022</v>
      </c>
      <c r="E40" s="48" t="s">
        <v>1018</v>
      </c>
      <c r="F40" s="48" t="s">
        <v>45</v>
      </c>
      <c r="G40" s="51" t="s">
        <v>505</v>
      </c>
      <c r="H40" s="35">
        <v>0.36</v>
      </c>
      <c r="I40" s="35">
        <v>0.11</v>
      </c>
      <c r="J40" s="32">
        <v>0.87</v>
      </c>
      <c r="K40" s="47" t="s">
        <v>833</v>
      </c>
      <c r="L40" s="47" t="s">
        <v>963</v>
      </c>
      <c r="M40" s="47" t="s">
        <v>849</v>
      </c>
      <c r="N40" s="47" t="s">
        <v>834</v>
      </c>
      <c r="O40" s="47" t="s">
        <v>965</v>
      </c>
      <c r="P40" s="47" t="s">
        <v>965</v>
      </c>
      <c r="Q40" s="47" t="s">
        <v>965</v>
      </c>
      <c r="R40" s="47" t="s">
        <v>965</v>
      </c>
      <c r="S40" s="47" t="s">
        <v>965</v>
      </c>
      <c r="T40" s="47" t="s">
        <v>965</v>
      </c>
      <c r="U40" s="47" t="s">
        <v>965</v>
      </c>
      <c r="V40" s="47" t="s">
        <v>965</v>
      </c>
      <c r="W40" s="47" t="s">
        <v>965</v>
      </c>
      <c r="X40" s="47" t="s">
        <v>965</v>
      </c>
      <c r="Y40" s="47" t="s">
        <v>965</v>
      </c>
      <c r="Z40" s="47" t="s">
        <v>965</v>
      </c>
      <c r="AA40" s="47" t="s">
        <v>965</v>
      </c>
      <c r="AB40" s="47" t="s">
        <v>965</v>
      </c>
      <c r="AC40" s="47" t="s">
        <v>965</v>
      </c>
      <c r="AD40" s="47" t="s">
        <v>965</v>
      </c>
      <c r="AE40" s="47" t="s">
        <v>965</v>
      </c>
      <c r="AF40" s="47" t="s">
        <v>965</v>
      </c>
      <c r="AG40" s="47" t="s">
        <v>965</v>
      </c>
      <c r="AH40" s="47" t="s">
        <v>965</v>
      </c>
      <c r="AI40" s="47" t="s">
        <v>965</v>
      </c>
      <c r="AJ40" s="47" t="s">
        <v>965</v>
      </c>
      <c r="AK40" s="47" t="s">
        <v>965</v>
      </c>
      <c r="AL40" s="47" t="s">
        <v>965</v>
      </c>
      <c r="AM40" s="47" t="s">
        <v>965</v>
      </c>
      <c r="AN40" s="47" t="s">
        <v>965</v>
      </c>
      <c r="AO40" s="47" t="s">
        <v>965</v>
      </c>
      <c r="AP40" s="47" t="s">
        <v>965</v>
      </c>
      <c r="AQ40" s="47" t="s">
        <v>965</v>
      </c>
      <c r="AR40" s="47" t="s">
        <v>965</v>
      </c>
      <c r="AS40" s="47" t="s">
        <v>965</v>
      </c>
      <c r="AT40" s="47" t="s">
        <v>965</v>
      </c>
      <c r="AU40" s="47" t="s">
        <v>965</v>
      </c>
      <c r="AV40" s="47" t="s">
        <v>965</v>
      </c>
      <c r="AW40" s="47" t="s">
        <v>965</v>
      </c>
      <c r="AX40" s="47" t="s">
        <v>965</v>
      </c>
      <c r="AY40" s="47" t="s">
        <v>965</v>
      </c>
      <c r="AZ40" s="47" t="s">
        <v>965</v>
      </c>
      <c r="BA40" s="47" t="s">
        <v>965</v>
      </c>
      <c r="BB40" s="47" t="s">
        <v>965</v>
      </c>
      <c r="BC40" s="47" t="s">
        <v>833</v>
      </c>
      <c r="BD40" s="47" t="s">
        <v>965</v>
      </c>
      <c r="BE40" s="47" t="s">
        <v>835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47">
        <v>62</v>
      </c>
      <c r="BL40" s="47">
        <v>0</v>
      </c>
      <c r="BM40" s="47">
        <v>0</v>
      </c>
      <c r="BN40" s="47">
        <v>0</v>
      </c>
      <c r="BO40" s="47">
        <v>0</v>
      </c>
      <c r="BP40" s="47">
        <v>0</v>
      </c>
      <c r="BQ40" s="47">
        <v>62</v>
      </c>
      <c r="BR40" s="47">
        <v>0</v>
      </c>
      <c r="BS40" s="47">
        <v>0</v>
      </c>
      <c r="BT40" s="47">
        <v>62</v>
      </c>
      <c r="BU40" s="47">
        <v>31</v>
      </c>
      <c r="BV40" s="52">
        <f t="shared" si="0"/>
        <v>0.5</v>
      </c>
      <c r="BW40" s="54">
        <v>0.81</v>
      </c>
    </row>
    <row r="41" spans="1:75" x14ac:dyDescent="0.2">
      <c r="A41" s="47">
        <v>2025</v>
      </c>
      <c r="B41" s="47" t="s">
        <v>958</v>
      </c>
      <c r="C41" s="47" t="s">
        <v>1023</v>
      </c>
      <c r="D41" s="47" t="s">
        <v>1024</v>
      </c>
      <c r="E41" s="48" t="s">
        <v>882</v>
      </c>
      <c r="F41" s="48" t="s">
        <v>30</v>
      </c>
      <c r="G41" s="51"/>
      <c r="H41" s="5"/>
      <c r="I41" s="5"/>
      <c r="J41" s="5"/>
      <c r="K41" s="47" t="s">
        <v>962</v>
      </c>
      <c r="L41" s="47" t="s">
        <v>963</v>
      </c>
      <c r="M41" s="47" t="s">
        <v>849</v>
      </c>
      <c r="N41" s="47" t="s">
        <v>964</v>
      </c>
      <c r="O41" s="47" t="s">
        <v>965</v>
      </c>
      <c r="P41" s="47" t="s">
        <v>965</v>
      </c>
      <c r="Q41" s="47" t="s">
        <v>965</v>
      </c>
      <c r="R41" s="47" t="s">
        <v>965</v>
      </c>
      <c r="S41" s="47" t="s">
        <v>965</v>
      </c>
      <c r="T41" s="47" t="s">
        <v>965</v>
      </c>
      <c r="U41" s="47" t="s">
        <v>965</v>
      </c>
      <c r="V41" s="47" t="s">
        <v>965</v>
      </c>
      <c r="W41" s="47" t="s">
        <v>965</v>
      </c>
      <c r="X41" s="47" t="s">
        <v>965</v>
      </c>
      <c r="Y41" s="47" t="s">
        <v>965</v>
      </c>
      <c r="Z41" s="47" t="s">
        <v>965</v>
      </c>
      <c r="AA41" s="47" t="s">
        <v>965</v>
      </c>
      <c r="AB41" s="47" t="s">
        <v>965</v>
      </c>
      <c r="AC41" s="47" t="s">
        <v>965</v>
      </c>
      <c r="AD41" s="47" t="s">
        <v>965</v>
      </c>
      <c r="AE41" s="47" t="s">
        <v>965</v>
      </c>
      <c r="AF41" s="47" t="s">
        <v>965</v>
      </c>
      <c r="AG41" s="47" t="s">
        <v>965</v>
      </c>
      <c r="AH41" s="47" t="s">
        <v>965</v>
      </c>
      <c r="AI41" s="47" t="s">
        <v>965</v>
      </c>
      <c r="AJ41" s="47" t="s">
        <v>965</v>
      </c>
      <c r="AK41" s="47" t="s">
        <v>965</v>
      </c>
      <c r="AL41" s="47" t="s">
        <v>965</v>
      </c>
      <c r="AM41" s="47" t="s">
        <v>965</v>
      </c>
      <c r="AN41" s="47" t="s">
        <v>965</v>
      </c>
      <c r="AO41" s="47" t="s">
        <v>965</v>
      </c>
      <c r="AP41" s="47" t="s">
        <v>965</v>
      </c>
      <c r="AQ41" s="47" t="s">
        <v>965</v>
      </c>
      <c r="AR41" s="47" t="s">
        <v>965</v>
      </c>
      <c r="AS41" s="47" t="s">
        <v>965</v>
      </c>
      <c r="AT41" s="47" t="s">
        <v>965</v>
      </c>
      <c r="AU41" s="47" t="s">
        <v>965</v>
      </c>
      <c r="AV41" s="47" t="s">
        <v>965</v>
      </c>
      <c r="AW41" s="47" t="s">
        <v>965</v>
      </c>
      <c r="AX41" s="47" t="s">
        <v>965</v>
      </c>
      <c r="AY41" s="47" t="s">
        <v>965</v>
      </c>
      <c r="AZ41" s="47" t="s">
        <v>965</v>
      </c>
      <c r="BA41" s="47" t="s">
        <v>965</v>
      </c>
      <c r="BB41" s="47" t="s">
        <v>965</v>
      </c>
      <c r="BC41" s="47" t="s">
        <v>965</v>
      </c>
      <c r="BD41" s="47" t="s">
        <v>833</v>
      </c>
      <c r="BE41" s="47" t="s">
        <v>835</v>
      </c>
      <c r="BF41" s="47">
        <v>6</v>
      </c>
      <c r="BG41" s="47">
        <v>3</v>
      </c>
      <c r="BH41" s="47">
        <v>0</v>
      </c>
      <c r="BI41" s="47">
        <v>0</v>
      </c>
      <c r="BJ41" s="47">
        <v>0</v>
      </c>
      <c r="BK41" s="47">
        <v>2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8</v>
      </c>
      <c r="BR41" s="47">
        <v>0</v>
      </c>
      <c r="BS41" s="47">
        <v>3</v>
      </c>
      <c r="BT41" s="47">
        <v>11</v>
      </c>
      <c r="BU41" s="47">
        <v>8</v>
      </c>
      <c r="BV41" s="52">
        <f t="shared" si="0"/>
        <v>0.72727272727272729</v>
      </c>
      <c r="BW41" s="50"/>
    </row>
    <row r="42" spans="1:75" x14ac:dyDescent="0.2">
      <c r="A42" s="47">
        <v>2025</v>
      </c>
      <c r="B42" s="47" t="s">
        <v>958</v>
      </c>
      <c r="C42" s="47" t="s">
        <v>1023</v>
      </c>
      <c r="D42" s="47" t="s">
        <v>1025</v>
      </c>
      <c r="E42" s="48" t="s">
        <v>882</v>
      </c>
      <c r="F42" s="48" t="s">
        <v>30</v>
      </c>
      <c r="H42" s="48"/>
      <c r="I42" s="48"/>
      <c r="J42" s="48"/>
      <c r="K42" s="47" t="s">
        <v>962</v>
      </c>
      <c r="L42" s="47" t="s">
        <v>963</v>
      </c>
      <c r="M42" s="47" t="s">
        <v>849</v>
      </c>
      <c r="N42" s="47" t="s">
        <v>964</v>
      </c>
      <c r="O42" s="47" t="s">
        <v>965</v>
      </c>
      <c r="P42" s="47" t="s">
        <v>965</v>
      </c>
      <c r="Q42" s="47" t="s">
        <v>965</v>
      </c>
      <c r="R42" s="47" t="s">
        <v>965</v>
      </c>
      <c r="S42" s="47" t="s">
        <v>965</v>
      </c>
      <c r="T42" s="47" t="s">
        <v>965</v>
      </c>
      <c r="U42" s="47" t="s">
        <v>965</v>
      </c>
      <c r="V42" s="47" t="s">
        <v>965</v>
      </c>
      <c r="W42" s="47" t="s">
        <v>965</v>
      </c>
      <c r="X42" s="47" t="s">
        <v>965</v>
      </c>
      <c r="Y42" s="47" t="s">
        <v>965</v>
      </c>
      <c r="Z42" s="47" t="s">
        <v>965</v>
      </c>
      <c r="AA42" s="47" t="s">
        <v>965</v>
      </c>
      <c r="AB42" s="47" t="s">
        <v>965</v>
      </c>
      <c r="AC42" s="47" t="s">
        <v>965</v>
      </c>
      <c r="AD42" s="47" t="s">
        <v>965</v>
      </c>
      <c r="AE42" s="47" t="s">
        <v>965</v>
      </c>
      <c r="AF42" s="47" t="s">
        <v>965</v>
      </c>
      <c r="AG42" s="47" t="s">
        <v>965</v>
      </c>
      <c r="AH42" s="47" t="s">
        <v>965</v>
      </c>
      <c r="AI42" s="47" t="s">
        <v>965</v>
      </c>
      <c r="AJ42" s="47" t="s">
        <v>965</v>
      </c>
      <c r="AK42" s="47" t="s">
        <v>965</v>
      </c>
      <c r="AL42" s="47" t="s">
        <v>965</v>
      </c>
      <c r="AM42" s="47" t="s">
        <v>965</v>
      </c>
      <c r="AN42" s="47" t="s">
        <v>965</v>
      </c>
      <c r="AO42" s="47" t="s">
        <v>965</v>
      </c>
      <c r="AP42" s="47" t="s">
        <v>965</v>
      </c>
      <c r="AQ42" s="47" t="s">
        <v>965</v>
      </c>
      <c r="AR42" s="47" t="s">
        <v>965</v>
      </c>
      <c r="AS42" s="47" t="s">
        <v>965</v>
      </c>
      <c r="AT42" s="47" t="s">
        <v>965</v>
      </c>
      <c r="AU42" s="47" t="s">
        <v>965</v>
      </c>
      <c r="AV42" s="47" t="s">
        <v>965</v>
      </c>
      <c r="AW42" s="47" t="s">
        <v>965</v>
      </c>
      <c r="AX42" s="47" t="s">
        <v>965</v>
      </c>
      <c r="AY42" s="47" t="s">
        <v>965</v>
      </c>
      <c r="AZ42" s="47" t="s">
        <v>965</v>
      </c>
      <c r="BA42" s="47" t="s">
        <v>965</v>
      </c>
      <c r="BB42" s="47" t="s">
        <v>965</v>
      </c>
      <c r="BC42" s="47" t="s">
        <v>965</v>
      </c>
      <c r="BD42" s="47" t="s">
        <v>833</v>
      </c>
      <c r="BE42" s="47" t="s">
        <v>835</v>
      </c>
      <c r="BF42" s="47">
        <v>12</v>
      </c>
      <c r="BG42" s="47">
        <v>6</v>
      </c>
      <c r="BH42" s="47">
        <v>0</v>
      </c>
      <c r="BI42" s="47">
        <v>0</v>
      </c>
      <c r="BJ42" s="47">
        <v>0</v>
      </c>
      <c r="BK42" s="47">
        <v>4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16</v>
      </c>
      <c r="BR42" s="47">
        <v>0</v>
      </c>
      <c r="BS42" s="47">
        <v>6</v>
      </c>
      <c r="BT42" s="47">
        <v>22</v>
      </c>
      <c r="BU42" s="47">
        <v>18</v>
      </c>
      <c r="BV42" s="52">
        <f t="shared" si="0"/>
        <v>0.81818181818181823</v>
      </c>
      <c r="BW42" s="56">
        <v>0.96</v>
      </c>
    </row>
    <row r="43" spans="1:75" x14ac:dyDescent="0.2">
      <c r="A43" s="47">
        <v>2025</v>
      </c>
      <c r="B43" s="47" t="s">
        <v>958</v>
      </c>
      <c r="C43" s="47" t="s">
        <v>1023</v>
      </c>
      <c r="D43" s="47" t="s">
        <v>1008</v>
      </c>
      <c r="E43" s="48" t="s">
        <v>882</v>
      </c>
      <c r="F43" s="48" t="s">
        <v>30</v>
      </c>
      <c r="G43" s="51"/>
      <c r="H43" s="5"/>
      <c r="I43" s="5"/>
      <c r="J43" s="5"/>
      <c r="K43" s="47" t="s">
        <v>962</v>
      </c>
      <c r="L43" s="47" t="s">
        <v>963</v>
      </c>
      <c r="M43" s="47" t="s">
        <v>854</v>
      </c>
      <c r="N43" s="47" t="s">
        <v>964</v>
      </c>
      <c r="O43" s="47" t="s">
        <v>965</v>
      </c>
      <c r="P43" s="47" t="s">
        <v>965</v>
      </c>
      <c r="Q43" s="47" t="s">
        <v>965</v>
      </c>
      <c r="R43" s="47" t="s">
        <v>965</v>
      </c>
      <c r="S43" s="47" t="s">
        <v>965</v>
      </c>
      <c r="T43" s="47" t="s">
        <v>965</v>
      </c>
      <c r="U43" s="47" t="s">
        <v>965</v>
      </c>
      <c r="V43" s="47" t="s">
        <v>965</v>
      </c>
      <c r="W43" s="47" t="s">
        <v>965</v>
      </c>
      <c r="X43" s="47" t="s">
        <v>965</v>
      </c>
      <c r="Y43" s="47" t="s">
        <v>965</v>
      </c>
      <c r="Z43" s="47" t="s">
        <v>965</v>
      </c>
      <c r="AA43" s="47" t="s">
        <v>965</v>
      </c>
      <c r="AB43" s="47" t="s">
        <v>965</v>
      </c>
      <c r="AC43" s="47" t="s">
        <v>965</v>
      </c>
      <c r="AD43" s="47" t="s">
        <v>965</v>
      </c>
      <c r="AE43" s="47" t="s">
        <v>965</v>
      </c>
      <c r="AF43" s="47" t="s">
        <v>965</v>
      </c>
      <c r="AG43" s="47" t="s">
        <v>965</v>
      </c>
      <c r="AH43" s="47" t="s">
        <v>965</v>
      </c>
      <c r="AI43" s="47" t="s">
        <v>965</v>
      </c>
      <c r="AJ43" s="47" t="s">
        <v>965</v>
      </c>
      <c r="AK43" s="47" t="s">
        <v>965</v>
      </c>
      <c r="AL43" s="47" t="s">
        <v>965</v>
      </c>
      <c r="AM43" s="47" t="s">
        <v>965</v>
      </c>
      <c r="AN43" s="47" t="s">
        <v>965</v>
      </c>
      <c r="AO43" s="47" t="s">
        <v>965</v>
      </c>
      <c r="AP43" s="47" t="s">
        <v>965</v>
      </c>
      <c r="AQ43" s="47" t="s">
        <v>965</v>
      </c>
      <c r="AR43" s="47" t="s">
        <v>965</v>
      </c>
      <c r="AS43" s="47" t="s">
        <v>965</v>
      </c>
      <c r="AT43" s="47" t="s">
        <v>965</v>
      </c>
      <c r="AU43" s="47" t="s">
        <v>965</v>
      </c>
      <c r="AV43" s="47" t="s">
        <v>965</v>
      </c>
      <c r="AW43" s="47" t="s">
        <v>965</v>
      </c>
      <c r="AX43" s="47" t="s">
        <v>965</v>
      </c>
      <c r="AY43" s="47" t="s">
        <v>965</v>
      </c>
      <c r="AZ43" s="47" t="s">
        <v>965</v>
      </c>
      <c r="BA43" s="47" t="s">
        <v>965</v>
      </c>
      <c r="BB43" s="47" t="s">
        <v>965</v>
      </c>
      <c r="BC43" s="47" t="s">
        <v>965</v>
      </c>
      <c r="BD43" s="47" t="s">
        <v>833</v>
      </c>
      <c r="BE43" s="47" t="s">
        <v>855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6</v>
      </c>
      <c r="BT43" s="47">
        <v>6</v>
      </c>
      <c r="BU43" s="47">
        <v>0</v>
      </c>
      <c r="BV43" s="52">
        <f t="shared" si="0"/>
        <v>0</v>
      </c>
      <c r="BW43" s="5"/>
    </row>
    <row r="44" spans="1:75" x14ac:dyDescent="0.2">
      <c r="A44" s="47">
        <v>2025</v>
      </c>
      <c r="B44" s="47" t="s">
        <v>958</v>
      </c>
      <c r="C44" s="47" t="s">
        <v>1026</v>
      </c>
      <c r="D44" s="47" t="s">
        <v>1027</v>
      </c>
      <c r="E44" s="48" t="s">
        <v>1028</v>
      </c>
      <c r="F44" s="48" t="s">
        <v>1029</v>
      </c>
      <c r="G44" s="51"/>
      <c r="H44" s="48"/>
      <c r="I44" s="48"/>
      <c r="J44" s="48"/>
      <c r="K44" s="47" t="s">
        <v>833</v>
      </c>
      <c r="L44" s="47" t="s">
        <v>963</v>
      </c>
      <c r="M44" s="47" t="s">
        <v>854</v>
      </c>
      <c r="N44" s="47" t="s">
        <v>834</v>
      </c>
      <c r="O44" s="47" t="s">
        <v>965</v>
      </c>
      <c r="P44" s="47" t="s">
        <v>965</v>
      </c>
      <c r="Q44" s="47" t="s">
        <v>965</v>
      </c>
      <c r="R44" s="47" t="s">
        <v>965</v>
      </c>
      <c r="S44" s="47" t="s">
        <v>965</v>
      </c>
      <c r="T44" s="47" t="s">
        <v>965</v>
      </c>
      <c r="U44" s="47" t="s">
        <v>965</v>
      </c>
      <c r="V44" s="47" t="s">
        <v>965</v>
      </c>
      <c r="W44" s="47" t="s">
        <v>965</v>
      </c>
      <c r="X44" s="47" t="s">
        <v>965</v>
      </c>
      <c r="Y44" s="47" t="s">
        <v>965</v>
      </c>
      <c r="Z44" s="47" t="s">
        <v>965</v>
      </c>
      <c r="AA44" s="47" t="s">
        <v>965</v>
      </c>
      <c r="AB44" s="47" t="s">
        <v>965</v>
      </c>
      <c r="AC44" s="47" t="s">
        <v>965</v>
      </c>
      <c r="AD44" s="47" t="s">
        <v>965</v>
      </c>
      <c r="AE44" s="47" t="s">
        <v>965</v>
      </c>
      <c r="AF44" s="47" t="s">
        <v>965</v>
      </c>
      <c r="AG44" s="47" t="s">
        <v>965</v>
      </c>
      <c r="AH44" s="47" t="s">
        <v>965</v>
      </c>
      <c r="AI44" s="47" t="s">
        <v>965</v>
      </c>
      <c r="AJ44" s="47" t="s">
        <v>965</v>
      </c>
      <c r="AK44" s="47" t="s">
        <v>965</v>
      </c>
      <c r="AL44" s="47" t="s">
        <v>965</v>
      </c>
      <c r="AM44" s="47" t="s">
        <v>965</v>
      </c>
      <c r="AN44" s="47" t="s">
        <v>965</v>
      </c>
      <c r="AO44" s="47" t="s">
        <v>965</v>
      </c>
      <c r="AP44" s="47" t="s">
        <v>965</v>
      </c>
      <c r="AQ44" s="47" t="s">
        <v>965</v>
      </c>
      <c r="AR44" s="47" t="s">
        <v>965</v>
      </c>
      <c r="AS44" s="47" t="s">
        <v>965</v>
      </c>
      <c r="AT44" s="47" t="s">
        <v>965</v>
      </c>
      <c r="AU44" s="47" t="s">
        <v>965</v>
      </c>
      <c r="AV44" s="47" t="s">
        <v>965</v>
      </c>
      <c r="AW44" s="47" t="s">
        <v>965</v>
      </c>
      <c r="AX44" s="47" t="s">
        <v>965</v>
      </c>
      <c r="AY44" s="47" t="s">
        <v>965</v>
      </c>
      <c r="AZ44" s="47" t="s">
        <v>965</v>
      </c>
      <c r="BA44" s="47" t="s">
        <v>965</v>
      </c>
      <c r="BB44" s="47" t="s">
        <v>965</v>
      </c>
      <c r="BC44" s="47" t="s">
        <v>965</v>
      </c>
      <c r="BD44" s="47" t="s">
        <v>965</v>
      </c>
      <c r="BE44" s="47" t="s">
        <v>855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1</v>
      </c>
      <c r="BT44" s="47">
        <v>1</v>
      </c>
      <c r="BU44" s="47">
        <v>1</v>
      </c>
      <c r="BV44" s="52">
        <f t="shared" si="0"/>
        <v>1</v>
      </c>
      <c r="BW44" s="56">
        <v>0.96</v>
      </c>
    </row>
    <row r="45" spans="1:75" x14ac:dyDescent="0.2">
      <c r="A45" s="47">
        <v>2025</v>
      </c>
      <c r="B45" s="47" t="s">
        <v>958</v>
      </c>
      <c r="C45" s="47" t="s">
        <v>981</v>
      </c>
      <c r="D45" s="47" t="s">
        <v>1030</v>
      </c>
      <c r="E45" s="48" t="s">
        <v>871</v>
      </c>
      <c r="F45" s="48" t="s">
        <v>335</v>
      </c>
      <c r="G45" s="51"/>
      <c r="H45" s="5"/>
      <c r="I45" s="5"/>
      <c r="J45" s="5"/>
      <c r="K45" s="47" t="s">
        <v>833</v>
      </c>
      <c r="L45" s="47" t="s">
        <v>963</v>
      </c>
      <c r="M45" s="47" t="s">
        <v>849</v>
      </c>
      <c r="N45" s="47" t="s">
        <v>834</v>
      </c>
      <c r="O45" s="47" t="s">
        <v>965</v>
      </c>
      <c r="P45" s="47" t="s">
        <v>965</v>
      </c>
      <c r="Q45" s="47" t="s">
        <v>965</v>
      </c>
      <c r="R45" s="47" t="s">
        <v>965</v>
      </c>
      <c r="S45" s="47" t="s">
        <v>965</v>
      </c>
      <c r="T45" s="47" t="s">
        <v>965</v>
      </c>
      <c r="U45" s="47" t="s">
        <v>965</v>
      </c>
      <c r="V45" s="47" t="s">
        <v>965</v>
      </c>
      <c r="W45" s="47" t="s">
        <v>965</v>
      </c>
      <c r="X45" s="47" t="s">
        <v>965</v>
      </c>
      <c r="Y45" s="47" t="s">
        <v>965</v>
      </c>
      <c r="Z45" s="47" t="s">
        <v>965</v>
      </c>
      <c r="AA45" s="47" t="s">
        <v>965</v>
      </c>
      <c r="AB45" s="47" t="s">
        <v>965</v>
      </c>
      <c r="AC45" s="47" t="s">
        <v>965</v>
      </c>
      <c r="AD45" s="47" t="s">
        <v>965</v>
      </c>
      <c r="AE45" s="47" t="s">
        <v>965</v>
      </c>
      <c r="AF45" s="47" t="s">
        <v>965</v>
      </c>
      <c r="AG45" s="47" t="s">
        <v>965</v>
      </c>
      <c r="AH45" s="47" t="s">
        <v>965</v>
      </c>
      <c r="AI45" s="47" t="s">
        <v>965</v>
      </c>
      <c r="AJ45" s="47" t="s">
        <v>965</v>
      </c>
      <c r="AK45" s="47" t="s">
        <v>965</v>
      </c>
      <c r="AL45" s="47" t="s">
        <v>965</v>
      </c>
      <c r="AM45" s="47" t="s">
        <v>965</v>
      </c>
      <c r="AN45" s="47" t="s">
        <v>965</v>
      </c>
      <c r="AO45" s="47" t="s">
        <v>965</v>
      </c>
      <c r="AP45" s="47" t="s">
        <v>965</v>
      </c>
      <c r="AQ45" s="47" t="s">
        <v>965</v>
      </c>
      <c r="AR45" s="47" t="s">
        <v>965</v>
      </c>
      <c r="AS45" s="47" t="s">
        <v>965</v>
      </c>
      <c r="AT45" s="47" t="s">
        <v>965</v>
      </c>
      <c r="AU45" s="47" t="s">
        <v>965</v>
      </c>
      <c r="AV45" s="47" t="s">
        <v>965</v>
      </c>
      <c r="AW45" s="47" t="s">
        <v>965</v>
      </c>
      <c r="AX45" s="47" t="s">
        <v>965</v>
      </c>
      <c r="AY45" s="47" t="s">
        <v>965</v>
      </c>
      <c r="AZ45" s="47" t="s">
        <v>965</v>
      </c>
      <c r="BA45" s="47" t="s">
        <v>965</v>
      </c>
      <c r="BB45" s="47" t="s">
        <v>965</v>
      </c>
      <c r="BC45" s="47" t="s">
        <v>965</v>
      </c>
      <c r="BD45" s="47" t="s">
        <v>965</v>
      </c>
      <c r="BE45" s="47" t="s">
        <v>835</v>
      </c>
      <c r="BF45" s="47">
        <v>20</v>
      </c>
      <c r="BG45" s="47">
        <v>5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20</v>
      </c>
      <c r="BR45" s="47">
        <v>0</v>
      </c>
      <c r="BS45" s="47">
        <v>0</v>
      </c>
      <c r="BT45" s="47">
        <v>20</v>
      </c>
      <c r="BU45" s="47">
        <v>15</v>
      </c>
      <c r="BV45" s="52">
        <f t="shared" si="0"/>
        <v>0.75</v>
      </c>
      <c r="BW45" s="5"/>
    </row>
    <row r="46" spans="1:75" x14ac:dyDescent="0.2">
      <c r="A46" s="47">
        <v>2025</v>
      </c>
      <c r="B46" s="47" t="s">
        <v>958</v>
      </c>
      <c r="C46" s="47" t="s">
        <v>1031</v>
      </c>
      <c r="D46" s="47" t="s">
        <v>1032</v>
      </c>
      <c r="E46" s="48" t="s">
        <v>893</v>
      </c>
      <c r="F46" s="48" t="s">
        <v>95</v>
      </c>
      <c r="G46" s="51"/>
      <c r="H46" s="48"/>
      <c r="I46" s="48"/>
      <c r="J46" s="48"/>
      <c r="K46" s="47" t="s">
        <v>833</v>
      </c>
      <c r="L46" s="47" t="s">
        <v>963</v>
      </c>
      <c r="M46" s="47" t="s">
        <v>849</v>
      </c>
      <c r="N46" s="47" t="s">
        <v>834</v>
      </c>
      <c r="O46" s="47" t="s">
        <v>965</v>
      </c>
      <c r="P46" s="47" t="s">
        <v>965</v>
      </c>
      <c r="Q46" s="47" t="s">
        <v>965</v>
      </c>
      <c r="R46" s="47" t="s">
        <v>965</v>
      </c>
      <c r="S46" s="47" t="s">
        <v>965</v>
      </c>
      <c r="T46" s="47" t="s">
        <v>965</v>
      </c>
      <c r="U46" s="47" t="s">
        <v>965</v>
      </c>
      <c r="V46" s="47" t="s">
        <v>965</v>
      </c>
      <c r="W46" s="47" t="s">
        <v>965</v>
      </c>
      <c r="X46" s="47" t="s">
        <v>965</v>
      </c>
      <c r="Y46" s="47" t="s">
        <v>965</v>
      </c>
      <c r="Z46" s="47" t="s">
        <v>965</v>
      </c>
      <c r="AA46" s="47" t="s">
        <v>965</v>
      </c>
      <c r="AB46" s="47" t="s">
        <v>965</v>
      </c>
      <c r="AC46" s="47" t="s">
        <v>965</v>
      </c>
      <c r="AD46" s="47" t="s">
        <v>965</v>
      </c>
      <c r="AE46" s="47" t="s">
        <v>965</v>
      </c>
      <c r="AF46" s="47" t="s">
        <v>965</v>
      </c>
      <c r="AG46" s="47" t="s">
        <v>965</v>
      </c>
      <c r="AH46" s="47" t="s">
        <v>965</v>
      </c>
      <c r="AI46" s="47" t="s">
        <v>965</v>
      </c>
      <c r="AJ46" s="47" t="s">
        <v>965</v>
      </c>
      <c r="AK46" s="47" t="s">
        <v>965</v>
      </c>
      <c r="AL46" s="47" t="s">
        <v>965</v>
      </c>
      <c r="AM46" s="47" t="s">
        <v>965</v>
      </c>
      <c r="AN46" s="47" t="s">
        <v>965</v>
      </c>
      <c r="AO46" s="47" t="s">
        <v>965</v>
      </c>
      <c r="AP46" s="47" t="s">
        <v>965</v>
      </c>
      <c r="AQ46" s="47" t="s">
        <v>965</v>
      </c>
      <c r="AR46" s="47" t="s">
        <v>965</v>
      </c>
      <c r="AS46" s="47" t="s">
        <v>965</v>
      </c>
      <c r="AT46" s="47" t="s">
        <v>965</v>
      </c>
      <c r="AU46" s="47" t="s">
        <v>965</v>
      </c>
      <c r="AV46" s="47" t="s">
        <v>965</v>
      </c>
      <c r="AW46" s="47" t="s">
        <v>965</v>
      </c>
      <c r="AX46" s="47" t="s">
        <v>965</v>
      </c>
      <c r="AY46" s="47" t="s">
        <v>965</v>
      </c>
      <c r="AZ46" s="47" t="s">
        <v>965</v>
      </c>
      <c r="BA46" s="47" t="s">
        <v>965</v>
      </c>
      <c r="BB46" s="47" t="s">
        <v>965</v>
      </c>
      <c r="BC46" s="47" t="s">
        <v>965</v>
      </c>
      <c r="BD46" s="47" t="s">
        <v>965</v>
      </c>
      <c r="BE46" s="47" t="s">
        <v>887</v>
      </c>
      <c r="BF46" s="47">
        <v>8</v>
      </c>
      <c r="BG46" s="47">
        <v>2</v>
      </c>
      <c r="BH46" s="47">
        <v>0</v>
      </c>
      <c r="BI46" s="47">
        <v>0</v>
      </c>
      <c r="BJ46" s="47">
        <v>0</v>
      </c>
      <c r="BK46" s="47">
        <v>11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19</v>
      </c>
      <c r="BR46" s="47">
        <v>0</v>
      </c>
      <c r="BS46" s="47">
        <v>0</v>
      </c>
      <c r="BT46" s="47">
        <v>19</v>
      </c>
      <c r="BU46" s="47">
        <v>14</v>
      </c>
      <c r="BV46" s="52">
        <f t="shared" si="0"/>
        <v>0.73684210526315785</v>
      </c>
      <c r="BW46" s="50"/>
    </row>
    <row r="47" spans="1:75" x14ac:dyDescent="0.2">
      <c r="A47" s="47">
        <v>2025</v>
      </c>
      <c r="B47" s="47" t="s">
        <v>958</v>
      </c>
      <c r="C47" s="47" t="s">
        <v>1031</v>
      </c>
      <c r="D47" s="47" t="s">
        <v>1033</v>
      </c>
      <c r="E47" s="48" t="s">
        <v>893</v>
      </c>
      <c r="F47" s="48" t="s">
        <v>95</v>
      </c>
      <c r="G47" s="51"/>
      <c r="H47" s="48"/>
      <c r="I47" s="48"/>
      <c r="J47" s="48"/>
      <c r="K47" s="47" t="s">
        <v>833</v>
      </c>
      <c r="L47" s="47" t="s">
        <v>963</v>
      </c>
      <c r="M47" s="47" t="s">
        <v>849</v>
      </c>
      <c r="N47" s="47" t="s">
        <v>834</v>
      </c>
      <c r="O47" s="47" t="s">
        <v>965</v>
      </c>
      <c r="P47" s="47" t="s">
        <v>965</v>
      </c>
      <c r="Q47" s="47" t="s">
        <v>965</v>
      </c>
      <c r="R47" s="47" t="s">
        <v>965</v>
      </c>
      <c r="S47" s="47" t="s">
        <v>965</v>
      </c>
      <c r="T47" s="47" t="s">
        <v>965</v>
      </c>
      <c r="U47" s="47" t="s">
        <v>965</v>
      </c>
      <c r="V47" s="47" t="s">
        <v>965</v>
      </c>
      <c r="W47" s="47" t="s">
        <v>965</v>
      </c>
      <c r="X47" s="47" t="s">
        <v>965</v>
      </c>
      <c r="Y47" s="47" t="s">
        <v>965</v>
      </c>
      <c r="Z47" s="47" t="s">
        <v>965</v>
      </c>
      <c r="AA47" s="47" t="s">
        <v>965</v>
      </c>
      <c r="AB47" s="47" t="s">
        <v>965</v>
      </c>
      <c r="AC47" s="47" t="s">
        <v>965</v>
      </c>
      <c r="AD47" s="47" t="s">
        <v>965</v>
      </c>
      <c r="AE47" s="47" t="s">
        <v>965</v>
      </c>
      <c r="AF47" s="47" t="s">
        <v>965</v>
      </c>
      <c r="AG47" s="47" t="s">
        <v>965</v>
      </c>
      <c r="AH47" s="47" t="s">
        <v>965</v>
      </c>
      <c r="AI47" s="47" t="s">
        <v>965</v>
      </c>
      <c r="AJ47" s="47" t="s">
        <v>965</v>
      </c>
      <c r="AK47" s="47" t="s">
        <v>965</v>
      </c>
      <c r="AL47" s="47" t="s">
        <v>965</v>
      </c>
      <c r="AM47" s="47" t="s">
        <v>965</v>
      </c>
      <c r="AN47" s="47" t="s">
        <v>965</v>
      </c>
      <c r="AO47" s="47" t="s">
        <v>965</v>
      </c>
      <c r="AP47" s="47" t="s">
        <v>965</v>
      </c>
      <c r="AQ47" s="47" t="s">
        <v>965</v>
      </c>
      <c r="AR47" s="47" t="s">
        <v>965</v>
      </c>
      <c r="AS47" s="47" t="s">
        <v>965</v>
      </c>
      <c r="AT47" s="47" t="s">
        <v>965</v>
      </c>
      <c r="AU47" s="47" t="s">
        <v>965</v>
      </c>
      <c r="AV47" s="47" t="s">
        <v>965</v>
      </c>
      <c r="AW47" s="47" t="s">
        <v>965</v>
      </c>
      <c r="AX47" s="47" t="s">
        <v>965</v>
      </c>
      <c r="AY47" s="47" t="s">
        <v>965</v>
      </c>
      <c r="AZ47" s="47" t="s">
        <v>965</v>
      </c>
      <c r="BA47" s="47" t="s">
        <v>965</v>
      </c>
      <c r="BB47" s="47" t="s">
        <v>965</v>
      </c>
      <c r="BC47" s="47" t="s">
        <v>965</v>
      </c>
      <c r="BD47" s="47" t="s">
        <v>965</v>
      </c>
      <c r="BE47" s="47" t="s">
        <v>835</v>
      </c>
      <c r="BF47" s="47">
        <v>10</v>
      </c>
      <c r="BG47" s="47">
        <v>7</v>
      </c>
      <c r="BH47" s="47">
        <v>0</v>
      </c>
      <c r="BI47" s="47">
        <v>0</v>
      </c>
      <c r="BJ47" s="47">
        <v>0</v>
      </c>
      <c r="BK47" s="47">
        <v>4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14</v>
      </c>
      <c r="BR47" s="47">
        <v>0</v>
      </c>
      <c r="BS47" s="47">
        <v>0</v>
      </c>
      <c r="BT47" s="47">
        <v>14</v>
      </c>
      <c r="BU47" s="47">
        <v>7</v>
      </c>
      <c r="BV47" s="52">
        <f t="shared" si="0"/>
        <v>0.5</v>
      </c>
      <c r="BW47" s="54">
        <v>0.81</v>
      </c>
    </row>
    <row r="48" spans="1:75" x14ac:dyDescent="0.2">
      <c r="A48" s="47">
        <v>2025</v>
      </c>
      <c r="B48" s="47" t="s">
        <v>958</v>
      </c>
      <c r="C48" s="47" t="s">
        <v>1034</v>
      </c>
      <c r="D48" s="47" t="s">
        <v>1035</v>
      </c>
      <c r="E48" s="48" t="s">
        <v>893</v>
      </c>
      <c r="F48" s="48" t="s">
        <v>95</v>
      </c>
      <c r="G48" s="51"/>
      <c r="H48" s="5"/>
      <c r="I48" s="5"/>
      <c r="J48" s="5"/>
      <c r="K48" s="47" t="s">
        <v>833</v>
      </c>
      <c r="L48" s="47" t="s">
        <v>963</v>
      </c>
      <c r="M48" s="47" t="s">
        <v>849</v>
      </c>
      <c r="N48" s="47" t="s">
        <v>834</v>
      </c>
      <c r="O48" s="47" t="s">
        <v>833</v>
      </c>
      <c r="P48" s="47" t="s">
        <v>965</v>
      </c>
      <c r="Q48" s="47" t="s">
        <v>965</v>
      </c>
      <c r="R48" s="47" t="s">
        <v>965</v>
      </c>
      <c r="S48" s="47" t="s">
        <v>965</v>
      </c>
      <c r="T48" s="47" t="s">
        <v>965</v>
      </c>
      <c r="U48" s="47" t="s">
        <v>965</v>
      </c>
      <c r="V48" s="47" t="s">
        <v>965</v>
      </c>
      <c r="W48" s="47" t="s">
        <v>965</v>
      </c>
      <c r="X48" s="47" t="s">
        <v>965</v>
      </c>
      <c r="Y48" s="47" t="s">
        <v>965</v>
      </c>
      <c r="Z48" s="47" t="s">
        <v>965</v>
      </c>
      <c r="AA48" s="47" t="s">
        <v>965</v>
      </c>
      <c r="AB48" s="47" t="s">
        <v>965</v>
      </c>
      <c r="AC48" s="47" t="s">
        <v>965</v>
      </c>
      <c r="AD48" s="47" t="s">
        <v>965</v>
      </c>
      <c r="AE48" s="47" t="s">
        <v>965</v>
      </c>
      <c r="AF48" s="47" t="s">
        <v>965</v>
      </c>
      <c r="AG48" s="47" t="s">
        <v>965</v>
      </c>
      <c r="AH48" s="47" t="s">
        <v>965</v>
      </c>
      <c r="AI48" s="47" t="s">
        <v>965</v>
      </c>
      <c r="AJ48" s="47" t="s">
        <v>965</v>
      </c>
      <c r="AK48" s="47" t="s">
        <v>965</v>
      </c>
      <c r="AL48" s="47" t="s">
        <v>965</v>
      </c>
      <c r="AM48" s="47" t="s">
        <v>965</v>
      </c>
      <c r="AN48" s="47" t="s">
        <v>965</v>
      </c>
      <c r="AO48" s="47" t="s">
        <v>965</v>
      </c>
      <c r="AP48" s="47" t="s">
        <v>965</v>
      </c>
      <c r="AQ48" s="47" t="s">
        <v>965</v>
      </c>
      <c r="AR48" s="47" t="s">
        <v>965</v>
      </c>
      <c r="AS48" s="47" t="s">
        <v>965</v>
      </c>
      <c r="AT48" s="47" t="s">
        <v>965</v>
      </c>
      <c r="AU48" s="47" t="s">
        <v>965</v>
      </c>
      <c r="AV48" s="47" t="s">
        <v>965</v>
      </c>
      <c r="AW48" s="47" t="s">
        <v>965</v>
      </c>
      <c r="AX48" s="47" t="s">
        <v>965</v>
      </c>
      <c r="AY48" s="47" t="s">
        <v>965</v>
      </c>
      <c r="AZ48" s="47" t="s">
        <v>965</v>
      </c>
      <c r="BA48" s="47" t="s">
        <v>965</v>
      </c>
      <c r="BB48" s="47" t="s">
        <v>965</v>
      </c>
      <c r="BC48" s="47" t="s">
        <v>965</v>
      </c>
      <c r="BD48" s="47" t="s">
        <v>965</v>
      </c>
      <c r="BE48" s="47" t="s">
        <v>835</v>
      </c>
      <c r="BF48" s="47">
        <v>60</v>
      </c>
      <c r="BG48" s="47">
        <v>20</v>
      </c>
      <c r="BH48" s="47">
        <v>0</v>
      </c>
      <c r="BI48" s="47">
        <v>0</v>
      </c>
      <c r="BJ48" s="47">
        <v>0</v>
      </c>
      <c r="BK48" s="47">
        <v>2</v>
      </c>
      <c r="BL48" s="47">
        <v>0</v>
      </c>
      <c r="BM48" s="47">
        <v>0</v>
      </c>
      <c r="BN48" s="47">
        <v>0</v>
      </c>
      <c r="BO48" s="47">
        <v>0</v>
      </c>
      <c r="BP48" s="47">
        <v>0</v>
      </c>
      <c r="BQ48" s="47">
        <v>62</v>
      </c>
      <c r="BR48" s="47">
        <v>0</v>
      </c>
      <c r="BS48" s="47">
        <v>0</v>
      </c>
      <c r="BT48" s="47">
        <v>62</v>
      </c>
      <c r="BU48" s="47">
        <v>62</v>
      </c>
      <c r="BV48" s="52">
        <f t="shared" si="0"/>
        <v>1</v>
      </c>
      <c r="BW48" s="54">
        <v>0.92</v>
      </c>
    </row>
    <row r="49" spans="1:79" x14ac:dyDescent="0.2">
      <c r="A49" s="47">
        <v>2025</v>
      </c>
      <c r="B49" s="47" t="s">
        <v>958</v>
      </c>
      <c r="C49" s="47" t="s">
        <v>1036</v>
      </c>
      <c r="D49" s="47" t="s">
        <v>1037</v>
      </c>
      <c r="E49" s="48" t="s">
        <v>860</v>
      </c>
      <c r="F49" s="48" t="s">
        <v>90</v>
      </c>
      <c r="G49" s="51"/>
      <c r="H49" s="5"/>
      <c r="I49" s="5"/>
      <c r="J49" s="5"/>
      <c r="K49" s="47" t="s">
        <v>833</v>
      </c>
      <c r="L49" s="47" t="s">
        <v>963</v>
      </c>
      <c r="M49" s="47" t="s">
        <v>854</v>
      </c>
      <c r="N49" s="47" t="s">
        <v>834</v>
      </c>
      <c r="O49" s="47" t="s">
        <v>965</v>
      </c>
      <c r="P49" s="47" t="s">
        <v>965</v>
      </c>
      <c r="Q49" s="47" t="s">
        <v>965</v>
      </c>
      <c r="R49" s="47" t="s">
        <v>965</v>
      </c>
      <c r="S49" s="47" t="s">
        <v>965</v>
      </c>
      <c r="T49" s="47" t="s">
        <v>965</v>
      </c>
      <c r="U49" s="47" t="s">
        <v>965</v>
      </c>
      <c r="V49" s="47" t="s">
        <v>965</v>
      </c>
      <c r="W49" s="47" t="s">
        <v>965</v>
      </c>
      <c r="X49" s="47" t="s">
        <v>965</v>
      </c>
      <c r="Y49" s="47" t="s">
        <v>965</v>
      </c>
      <c r="Z49" s="47" t="s">
        <v>965</v>
      </c>
      <c r="AA49" s="47" t="s">
        <v>965</v>
      </c>
      <c r="AB49" s="47" t="s">
        <v>965</v>
      </c>
      <c r="AC49" s="47" t="s">
        <v>965</v>
      </c>
      <c r="AD49" s="47" t="s">
        <v>965</v>
      </c>
      <c r="AE49" s="47" t="s">
        <v>965</v>
      </c>
      <c r="AF49" s="47" t="s">
        <v>965</v>
      </c>
      <c r="AG49" s="47" t="s">
        <v>965</v>
      </c>
      <c r="AH49" s="47" t="s">
        <v>965</v>
      </c>
      <c r="AI49" s="47" t="s">
        <v>965</v>
      </c>
      <c r="AJ49" s="47" t="s">
        <v>965</v>
      </c>
      <c r="AK49" s="47" t="s">
        <v>965</v>
      </c>
      <c r="AL49" s="47" t="s">
        <v>965</v>
      </c>
      <c r="AM49" s="47" t="s">
        <v>965</v>
      </c>
      <c r="AN49" s="47" t="s">
        <v>965</v>
      </c>
      <c r="AO49" s="47" t="s">
        <v>965</v>
      </c>
      <c r="AP49" s="47" t="s">
        <v>965</v>
      </c>
      <c r="AQ49" s="47" t="s">
        <v>965</v>
      </c>
      <c r="AR49" s="47" t="s">
        <v>965</v>
      </c>
      <c r="AS49" s="47" t="s">
        <v>965</v>
      </c>
      <c r="AT49" s="47" t="s">
        <v>965</v>
      </c>
      <c r="AU49" s="47" t="s">
        <v>965</v>
      </c>
      <c r="AV49" s="47" t="s">
        <v>965</v>
      </c>
      <c r="AW49" s="47" t="s">
        <v>965</v>
      </c>
      <c r="AX49" s="47" t="s">
        <v>965</v>
      </c>
      <c r="AY49" s="47" t="s">
        <v>965</v>
      </c>
      <c r="AZ49" s="47" t="s">
        <v>965</v>
      </c>
      <c r="BA49" s="47" t="s">
        <v>965</v>
      </c>
      <c r="BB49" s="47" t="s">
        <v>965</v>
      </c>
      <c r="BC49" s="47" t="s">
        <v>965</v>
      </c>
      <c r="BD49" s="47" t="s">
        <v>965</v>
      </c>
      <c r="BE49" s="47" t="s">
        <v>855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1</v>
      </c>
      <c r="BT49" s="47">
        <v>1</v>
      </c>
      <c r="BU49" s="47">
        <v>0</v>
      </c>
      <c r="BV49" s="52">
        <f t="shared" si="0"/>
        <v>0</v>
      </c>
      <c r="BW49" s="50"/>
    </row>
    <row r="50" spans="1:79" x14ac:dyDescent="0.2">
      <c r="A50" s="47">
        <v>2025</v>
      </c>
      <c r="B50" s="47" t="s">
        <v>958</v>
      </c>
      <c r="C50" s="47" t="s">
        <v>1036</v>
      </c>
      <c r="D50" s="47" t="s">
        <v>1038</v>
      </c>
      <c r="E50" s="48" t="s">
        <v>860</v>
      </c>
      <c r="F50" s="48" t="s">
        <v>90</v>
      </c>
      <c r="G50" s="51"/>
      <c r="H50" s="48"/>
      <c r="I50" s="48"/>
      <c r="J50" s="48"/>
      <c r="K50" s="47" t="s">
        <v>833</v>
      </c>
      <c r="L50" s="47" t="s">
        <v>963</v>
      </c>
      <c r="M50" s="47" t="s">
        <v>849</v>
      </c>
      <c r="N50" s="47" t="s">
        <v>834</v>
      </c>
      <c r="O50" s="47" t="s">
        <v>833</v>
      </c>
      <c r="P50" s="47" t="s">
        <v>965</v>
      </c>
      <c r="Q50" s="47" t="s">
        <v>965</v>
      </c>
      <c r="R50" s="47" t="s">
        <v>965</v>
      </c>
      <c r="S50" s="47" t="s">
        <v>965</v>
      </c>
      <c r="T50" s="47" t="s">
        <v>965</v>
      </c>
      <c r="U50" s="47" t="s">
        <v>965</v>
      </c>
      <c r="V50" s="47" t="s">
        <v>965</v>
      </c>
      <c r="W50" s="47" t="s">
        <v>965</v>
      </c>
      <c r="X50" s="47" t="s">
        <v>965</v>
      </c>
      <c r="Y50" s="47" t="s">
        <v>965</v>
      </c>
      <c r="Z50" s="47" t="s">
        <v>965</v>
      </c>
      <c r="AA50" s="47" t="s">
        <v>965</v>
      </c>
      <c r="AB50" s="47" t="s">
        <v>965</v>
      </c>
      <c r="AC50" s="47" t="s">
        <v>965</v>
      </c>
      <c r="AD50" s="47" t="s">
        <v>965</v>
      </c>
      <c r="AE50" s="47" t="s">
        <v>965</v>
      </c>
      <c r="AF50" s="47" t="s">
        <v>965</v>
      </c>
      <c r="AG50" s="47" t="s">
        <v>965</v>
      </c>
      <c r="AH50" s="47" t="s">
        <v>965</v>
      </c>
      <c r="AI50" s="47" t="s">
        <v>965</v>
      </c>
      <c r="AJ50" s="47" t="s">
        <v>965</v>
      </c>
      <c r="AK50" s="47" t="s">
        <v>965</v>
      </c>
      <c r="AL50" s="47" t="s">
        <v>965</v>
      </c>
      <c r="AM50" s="47" t="s">
        <v>965</v>
      </c>
      <c r="AN50" s="47" t="s">
        <v>965</v>
      </c>
      <c r="AO50" s="47" t="s">
        <v>965</v>
      </c>
      <c r="AP50" s="47" t="s">
        <v>965</v>
      </c>
      <c r="AQ50" s="47" t="s">
        <v>965</v>
      </c>
      <c r="AR50" s="47" t="s">
        <v>965</v>
      </c>
      <c r="AS50" s="47" t="s">
        <v>965</v>
      </c>
      <c r="AT50" s="47" t="s">
        <v>965</v>
      </c>
      <c r="AU50" s="47" t="s">
        <v>965</v>
      </c>
      <c r="AV50" s="47" t="s">
        <v>965</v>
      </c>
      <c r="AW50" s="47" t="s">
        <v>965</v>
      </c>
      <c r="AX50" s="47" t="s">
        <v>965</v>
      </c>
      <c r="AY50" s="47" t="s">
        <v>965</v>
      </c>
      <c r="AZ50" s="47" t="s">
        <v>965</v>
      </c>
      <c r="BA50" s="47" t="s">
        <v>965</v>
      </c>
      <c r="BB50" s="47" t="s">
        <v>965</v>
      </c>
      <c r="BC50" s="47" t="s">
        <v>833</v>
      </c>
      <c r="BD50" s="47" t="s">
        <v>965</v>
      </c>
      <c r="BE50" s="47" t="s">
        <v>835</v>
      </c>
      <c r="BF50" s="47">
        <v>24</v>
      </c>
      <c r="BG50" s="47">
        <v>8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24</v>
      </c>
      <c r="BR50" s="47">
        <v>0</v>
      </c>
      <c r="BS50" s="47">
        <v>0</v>
      </c>
      <c r="BT50" s="47">
        <v>24</v>
      </c>
      <c r="BU50" s="47">
        <v>18</v>
      </c>
      <c r="BV50" s="52">
        <f t="shared" si="0"/>
        <v>0.75</v>
      </c>
      <c r="BW50" s="50"/>
    </row>
    <row r="51" spans="1:79" x14ac:dyDescent="0.2">
      <c r="A51" s="47">
        <v>2025</v>
      </c>
      <c r="B51" s="47" t="s">
        <v>958</v>
      </c>
      <c r="C51" s="47" t="s">
        <v>1036</v>
      </c>
      <c r="D51" s="47" t="s">
        <v>1038</v>
      </c>
      <c r="E51" s="48" t="s">
        <v>860</v>
      </c>
      <c r="F51" s="48" t="s">
        <v>90</v>
      </c>
      <c r="G51" s="51"/>
      <c r="H51" s="48"/>
      <c r="I51" s="48"/>
      <c r="J51" s="48"/>
      <c r="K51" s="47" t="s">
        <v>833</v>
      </c>
      <c r="L51" s="47" t="s">
        <v>1039</v>
      </c>
      <c r="M51" s="47" t="s">
        <v>849</v>
      </c>
      <c r="N51" s="47" t="s">
        <v>834</v>
      </c>
      <c r="O51" s="47" t="s">
        <v>833</v>
      </c>
      <c r="P51" s="47" t="s">
        <v>965</v>
      </c>
      <c r="Q51" s="47" t="s">
        <v>965</v>
      </c>
      <c r="R51" s="47" t="s">
        <v>965</v>
      </c>
      <c r="S51" s="47" t="s">
        <v>965</v>
      </c>
      <c r="T51" s="47" t="s">
        <v>965</v>
      </c>
      <c r="U51" s="47" t="s">
        <v>965</v>
      </c>
      <c r="V51" s="47" t="s">
        <v>965</v>
      </c>
      <c r="W51" s="47" t="s">
        <v>965</v>
      </c>
      <c r="X51" s="47" t="s">
        <v>965</v>
      </c>
      <c r="Y51" s="47" t="s">
        <v>965</v>
      </c>
      <c r="Z51" s="47" t="s">
        <v>965</v>
      </c>
      <c r="AA51" s="47" t="s">
        <v>965</v>
      </c>
      <c r="AB51" s="47" t="s">
        <v>965</v>
      </c>
      <c r="AC51" s="47" t="s">
        <v>965</v>
      </c>
      <c r="AD51" s="47" t="s">
        <v>965</v>
      </c>
      <c r="AE51" s="47" t="s">
        <v>965</v>
      </c>
      <c r="AF51" s="47" t="s">
        <v>965</v>
      </c>
      <c r="AG51" s="47" t="s">
        <v>965</v>
      </c>
      <c r="AH51" s="47" t="s">
        <v>965</v>
      </c>
      <c r="AI51" s="47" t="s">
        <v>965</v>
      </c>
      <c r="AJ51" s="47" t="s">
        <v>965</v>
      </c>
      <c r="AK51" s="47" t="s">
        <v>965</v>
      </c>
      <c r="AL51" s="47" t="s">
        <v>965</v>
      </c>
      <c r="AM51" s="47" t="s">
        <v>965</v>
      </c>
      <c r="AN51" s="47" t="s">
        <v>965</v>
      </c>
      <c r="AO51" s="47" t="s">
        <v>965</v>
      </c>
      <c r="AP51" s="47" t="s">
        <v>965</v>
      </c>
      <c r="AQ51" s="47" t="s">
        <v>965</v>
      </c>
      <c r="AR51" s="47" t="s">
        <v>965</v>
      </c>
      <c r="AS51" s="47" t="s">
        <v>965</v>
      </c>
      <c r="AT51" s="47" t="s">
        <v>965</v>
      </c>
      <c r="AU51" s="47" t="s">
        <v>965</v>
      </c>
      <c r="AV51" s="47" t="s">
        <v>965</v>
      </c>
      <c r="AW51" s="47" t="s">
        <v>965</v>
      </c>
      <c r="AX51" s="47" t="s">
        <v>965</v>
      </c>
      <c r="AY51" s="47" t="s">
        <v>965</v>
      </c>
      <c r="AZ51" s="47" t="s">
        <v>965</v>
      </c>
      <c r="BA51" s="47" t="s">
        <v>965</v>
      </c>
      <c r="BB51" s="47" t="s">
        <v>965</v>
      </c>
      <c r="BC51" s="47" t="s">
        <v>833</v>
      </c>
      <c r="BD51" s="47" t="s">
        <v>965</v>
      </c>
      <c r="BE51" s="47" t="s">
        <v>835</v>
      </c>
      <c r="BF51" s="47">
        <v>33</v>
      </c>
      <c r="BG51" s="47">
        <v>11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33</v>
      </c>
      <c r="BR51" s="47">
        <v>0</v>
      </c>
      <c r="BS51" s="47">
        <v>0</v>
      </c>
      <c r="BT51" s="47">
        <v>33</v>
      </c>
      <c r="BU51" s="47">
        <v>0</v>
      </c>
      <c r="BV51" s="52"/>
      <c r="BW51" s="54">
        <v>0.42</v>
      </c>
    </row>
    <row r="52" spans="1:79" x14ac:dyDescent="0.2">
      <c r="A52" s="47">
        <v>2025</v>
      </c>
      <c r="B52" s="47" t="s">
        <v>958</v>
      </c>
      <c r="C52" s="47" t="s">
        <v>1036</v>
      </c>
      <c r="D52" s="47" t="s">
        <v>1040</v>
      </c>
      <c r="E52" s="48" t="s">
        <v>860</v>
      </c>
      <c r="F52" s="48" t="s">
        <v>90</v>
      </c>
      <c r="G52" s="51" t="s">
        <v>1041</v>
      </c>
      <c r="H52" s="35">
        <v>0.84</v>
      </c>
      <c r="I52" s="35">
        <v>0.5</v>
      </c>
      <c r="J52" s="32">
        <v>0.28000000000000003</v>
      </c>
      <c r="K52" s="47" t="s">
        <v>833</v>
      </c>
      <c r="L52" s="47" t="s">
        <v>963</v>
      </c>
      <c r="M52" s="47" t="s">
        <v>849</v>
      </c>
      <c r="N52" s="47" t="s">
        <v>834</v>
      </c>
      <c r="O52" s="47" t="s">
        <v>965</v>
      </c>
      <c r="P52" s="47" t="s">
        <v>965</v>
      </c>
      <c r="Q52" s="47" t="s">
        <v>965</v>
      </c>
      <c r="R52" s="47" t="s">
        <v>965</v>
      </c>
      <c r="S52" s="47" t="s">
        <v>965</v>
      </c>
      <c r="T52" s="47" t="s">
        <v>965</v>
      </c>
      <c r="U52" s="47" t="s">
        <v>965</v>
      </c>
      <c r="V52" s="47" t="s">
        <v>965</v>
      </c>
      <c r="W52" s="47" t="s">
        <v>965</v>
      </c>
      <c r="X52" s="47" t="s">
        <v>965</v>
      </c>
      <c r="Y52" s="47" t="s">
        <v>965</v>
      </c>
      <c r="Z52" s="47" t="s">
        <v>965</v>
      </c>
      <c r="AA52" s="47" t="s">
        <v>965</v>
      </c>
      <c r="AB52" s="47" t="s">
        <v>965</v>
      </c>
      <c r="AC52" s="47" t="s">
        <v>965</v>
      </c>
      <c r="AD52" s="47" t="s">
        <v>965</v>
      </c>
      <c r="AE52" s="47" t="s">
        <v>965</v>
      </c>
      <c r="AF52" s="47" t="s">
        <v>965</v>
      </c>
      <c r="AG52" s="47" t="s">
        <v>965</v>
      </c>
      <c r="AH52" s="47" t="s">
        <v>965</v>
      </c>
      <c r="AI52" s="47" t="s">
        <v>965</v>
      </c>
      <c r="AJ52" s="47" t="s">
        <v>965</v>
      </c>
      <c r="AK52" s="47" t="s">
        <v>965</v>
      </c>
      <c r="AL52" s="47" t="s">
        <v>965</v>
      </c>
      <c r="AM52" s="47" t="s">
        <v>965</v>
      </c>
      <c r="AN52" s="47" t="s">
        <v>965</v>
      </c>
      <c r="AO52" s="47" t="s">
        <v>965</v>
      </c>
      <c r="AP52" s="47" t="s">
        <v>965</v>
      </c>
      <c r="AQ52" s="47" t="s">
        <v>965</v>
      </c>
      <c r="AR52" s="47" t="s">
        <v>965</v>
      </c>
      <c r="AS52" s="47" t="s">
        <v>965</v>
      </c>
      <c r="AT52" s="47" t="s">
        <v>965</v>
      </c>
      <c r="AU52" s="47" t="s">
        <v>965</v>
      </c>
      <c r="AV52" s="47" t="s">
        <v>965</v>
      </c>
      <c r="AW52" s="47" t="s">
        <v>965</v>
      </c>
      <c r="AX52" s="47" t="s">
        <v>965</v>
      </c>
      <c r="AY52" s="47" t="s">
        <v>965</v>
      </c>
      <c r="AZ52" s="47" t="s">
        <v>965</v>
      </c>
      <c r="BA52" s="47" t="s">
        <v>965</v>
      </c>
      <c r="BB52" s="47" t="s">
        <v>965</v>
      </c>
      <c r="BC52" s="47" t="s">
        <v>833</v>
      </c>
      <c r="BD52" s="47" t="s">
        <v>965</v>
      </c>
      <c r="BE52" s="47" t="s">
        <v>835</v>
      </c>
      <c r="BF52" s="47">
        <v>8</v>
      </c>
      <c r="BG52" s="47">
        <v>2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8</v>
      </c>
      <c r="BR52" s="47">
        <v>0</v>
      </c>
      <c r="BS52" s="47">
        <v>0</v>
      </c>
      <c r="BT52" s="47">
        <v>8</v>
      </c>
      <c r="BU52" s="47">
        <v>3</v>
      </c>
      <c r="BV52" s="52">
        <f t="shared" ref="BV52:BV74" si="1">BU52/BT52</f>
        <v>0.375</v>
      </c>
      <c r="BW52" s="54">
        <v>0.33</v>
      </c>
    </row>
    <row r="53" spans="1:79" x14ac:dyDescent="0.2">
      <c r="A53" s="47">
        <v>2025</v>
      </c>
      <c r="B53" s="47" t="s">
        <v>958</v>
      </c>
      <c r="C53" s="47" t="s">
        <v>861</v>
      </c>
      <c r="D53" s="47" t="s">
        <v>1042</v>
      </c>
      <c r="E53" s="48" t="s">
        <v>860</v>
      </c>
      <c r="F53" s="48" t="s">
        <v>90</v>
      </c>
      <c r="G53" s="51"/>
      <c r="H53" s="5"/>
      <c r="I53" s="5"/>
      <c r="J53" s="5"/>
      <c r="K53" s="47" t="s">
        <v>833</v>
      </c>
      <c r="L53" s="47" t="s">
        <v>963</v>
      </c>
      <c r="M53" s="47" t="s">
        <v>849</v>
      </c>
      <c r="N53" s="47" t="s">
        <v>834</v>
      </c>
      <c r="O53" s="47" t="s">
        <v>965</v>
      </c>
      <c r="P53" s="47" t="s">
        <v>965</v>
      </c>
      <c r="Q53" s="47" t="s">
        <v>965</v>
      </c>
      <c r="R53" s="47" t="s">
        <v>965</v>
      </c>
      <c r="S53" s="47" t="s">
        <v>965</v>
      </c>
      <c r="T53" s="47" t="s">
        <v>965</v>
      </c>
      <c r="U53" s="47" t="s">
        <v>965</v>
      </c>
      <c r="V53" s="47" t="s">
        <v>965</v>
      </c>
      <c r="W53" s="47" t="s">
        <v>965</v>
      </c>
      <c r="X53" s="47" t="s">
        <v>965</v>
      </c>
      <c r="Y53" s="47" t="s">
        <v>965</v>
      </c>
      <c r="Z53" s="47" t="s">
        <v>965</v>
      </c>
      <c r="AA53" s="47" t="s">
        <v>965</v>
      </c>
      <c r="AB53" s="47" t="s">
        <v>965</v>
      </c>
      <c r="AC53" s="47" t="s">
        <v>965</v>
      </c>
      <c r="AD53" s="47" t="s">
        <v>965</v>
      </c>
      <c r="AE53" s="47" t="s">
        <v>965</v>
      </c>
      <c r="AF53" s="47" t="s">
        <v>965</v>
      </c>
      <c r="AG53" s="47" t="s">
        <v>965</v>
      </c>
      <c r="AH53" s="47" t="s">
        <v>965</v>
      </c>
      <c r="AI53" s="47" t="s">
        <v>965</v>
      </c>
      <c r="AJ53" s="47" t="s">
        <v>965</v>
      </c>
      <c r="AK53" s="47" t="s">
        <v>965</v>
      </c>
      <c r="AL53" s="47" t="s">
        <v>965</v>
      </c>
      <c r="AM53" s="47" t="s">
        <v>965</v>
      </c>
      <c r="AN53" s="47" t="s">
        <v>965</v>
      </c>
      <c r="AO53" s="47" t="s">
        <v>965</v>
      </c>
      <c r="AP53" s="47" t="s">
        <v>965</v>
      </c>
      <c r="AQ53" s="47" t="s">
        <v>965</v>
      </c>
      <c r="AR53" s="47" t="s">
        <v>965</v>
      </c>
      <c r="AS53" s="47" t="s">
        <v>965</v>
      </c>
      <c r="AT53" s="47" t="s">
        <v>965</v>
      </c>
      <c r="AU53" s="47" t="s">
        <v>965</v>
      </c>
      <c r="AV53" s="47" t="s">
        <v>965</v>
      </c>
      <c r="AW53" s="47" t="s">
        <v>965</v>
      </c>
      <c r="AX53" s="47" t="s">
        <v>965</v>
      </c>
      <c r="AY53" s="47" t="s">
        <v>965</v>
      </c>
      <c r="AZ53" s="47" t="s">
        <v>965</v>
      </c>
      <c r="BA53" s="47" t="s">
        <v>965</v>
      </c>
      <c r="BB53" s="47" t="s">
        <v>965</v>
      </c>
      <c r="BC53" s="47" t="s">
        <v>965</v>
      </c>
      <c r="BD53" s="47" t="s">
        <v>965</v>
      </c>
      <c r="BE53" s="47" t="s">
        <v>835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5</v>
      </c>
      <c r="BT53" s="47">
        <v>5</v>
      </c>
      <c r="BU53" s="47">
        <v>0</v>
      </c>
      <c r="BV53" s="52">
        <f t="shared" si="1"/>
        <v>0</v>
      </c>
      <c r="BW53" s="54"/>
    </row>
    <row r="54" spans="1:79" x14ac:dyDescent="0.2">
      <c r="A54" s="47">
        <v>2025</v>
      </c>
      <c r="B54" s="47" t="s">
        <v>958</v>
      </c>
      <c r="C54" s="47" t="s">
        <v>861</v>
      </c>
      <c r="D54" s="47" t="s">
        <v>1043</v>
      </c>
      <c r="E54" s="48" t="s">
        <v>860</v>
      </c>
      <c r="F54" s="48" t="s">
        <v>90</v>
      </c>
      <c r="G54" s="51"/>
      <c r="H54" s="5"/>
      <c r="I54" s="5"/>
      <c r="J54" s="5"/>
      <c r="K54" s="47" t="s">
        <v>833</v>
      </c>
      <c r="L54" s="47" t="s">
        <v>963</v>
      </c>
      <c r="M54" s="47" t="s">
        <v>854</v>
      </c>
      <c r="N54" s="47" t="s">
        <v>834</v>
      </c>
      <c r="O54" s="47" t="s">
        <v>965</v>
      </c>
      <c r="P54" s="47" t="s">
        <v>965</v>
      </c>
      <c r="Q54" s="47" t="s">
        <v>965</v>
      </c>
      <c r="R54" s="47" t="s">
        <v>965</v>
      </c>
      <c r="S54" s="47" t="s">
        <v>965</v>
      </c>
      <c r="T54" s="47" t="s">
        <v>965</v>
      </c>
      <c r="U54" s="47" t="s">
        <v>965</v>
      </c>
      <c r="V54" s="47" t="s">
        <v>965</v>
      </c>
      <c r="W54" s="47" t="s">
        <v>965</v>
      </c>
      <c r="X54" s="47" t="s">
        <v>965</v>
      </c>
      <c r="Y54" s="47" t="s">
        <v>965</v>
      </c>
      <c r="Z54" s="47" t="s">
        <v>965</v>
      </c>
      <c r="AA54" s="47" t="s">
        <v>965</v>
      </c>
      <c r="AB54" s="47" t="s">
        <v>965</v>
      </c>
      <c r="AC54" s="47" t="s">
        <v>965</v>
      </c>
      <c r="AD54" s="47" t="s">
        <v>965</v>
      </c>
      <c r="AE54" s="47" t="s">
        <v>965</v>
      </c>
      <c r="AF54" s="47" t="s">
        <v>965</v>
      </c>
      <c r="AG54" s="47" t="s">
        <v>965</v>
      </c>
      <c r="AH54" s="47" t="s">
        <v>965</v>
      </c>
      <c r="AI54" s="47" t="s">
        <v>965</v>
      </c>
      <c r="AJ54" s="47" t="s">
        <v>965</v>
      </c>
      <c r="AK54" s="47" t="s">
        <v>965</v>
      </c>
      <c r="AL54" s="47" t="s">
        <v>965</v>
      </c>
      <c r="AM54" s="47" t="s">
        <v>965</v>
      </c>
      <c r="AN54" s="47" t="s">
        <v>965</v>
      </c>
      <c r="AO54" s="47" t="s">
        <v>965</v>
      </c>
      <c r="AP54" s="47" t="s">
        <v>965</v>
      </c>
      <c r="AQ54" s="47" t="s">
        <v>965</v>
      </c>
      <c r="AR54" s="47" t="s">
        <v>965</v>
      </c>
      <c r="AS54" s="47" t="s">
        <v>965</v>
      </c>
      <c r="AT54" s="47" t="s">
        <v>965</v>
      </c>
      <c r="AU54" s="47" t="s">
        <v>965</v>
      </c>
      <c r="AV54" s="47" t="s">
        <v>965</v>
      </c>
      <c r="AW54" s="47" t="s">
        <v>965</v>
      </c>
      <c r="AX54" s="47" t="s">
        <v>965</v>
      </c>
      <c r="AY54" s="47" t="s">
        <v>965</v>
      </c>
      <c r="AZ54" s="47" t="s">
        <v>965</v>
      </c>
      <c r="BA54" s="47" t="s">
        <v>965</v>
      </c>
      <c r="BB54" s="47" t="s">
        <v>965</v>
      </c>
      <c r="BC54" s="47" t="s">
        <v>833</v>
      </c>
      <c r="BD54" s="47" t="s">
        <v>965</v>
      </c>
      <c r="BE54" s="47" t="s">
        <v>855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12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12</v>
      </c>
      <c r="BR54" s="47">
        <v>0</v>
      </c>
      <c r="BS54" s="47">
        <v>0</v>
      </c>
      <c r="BT54" s="47">
        <v>12</v>
      </c>
      <c r="BU54" s="47">
        <v>10</v>
      </c>
      <c r="BV54" s="52">
        <f t="shared" si="1"/>
        <v>0.83333333333333337</v>
      </c>
      <c r="BW54" s="50"/>
    </row>
    <row r="55" spans="1:79" x14ac:dyDescent="0.2">
      <c r="A55" s="47">
        <v>2025</v>
      </c>
      <c r="B55" s="47" t="s">
        <v>958</v>
      </c>
      <c r="C55" s="47" t="s">
        <v>1044</v>
      </c>
      <c r="D55" s="47" t="s">
        <v>1045</v>
      </c>
      <c r="E55" s="48" t="s">
        <v>838</v>
      </c>
      <c r="F55" s="48" t="s">
        <v>42</v>
      </c>
      <c r="G55" s="51"/>
      <c r="H55" s="48"/>
      <c r="I55" s="48"/>
      <c r="J55" s="48"/>
      <c r="K55" s="47" t="s">
        <v>833</v>
      </c>
      <c r="L55" s="47" t="s">
        <v>963</v>
      </c>
      <c r="M55" s="47" t="s">
        <v>849</v>
      </c>
      <c r="N55" s="47" t="s">
        <v>834</v>
      </c>
      <c r="O55" s="47" t="s">
        <v>965</v>
      </c>
      <c r="P55" s="47" t="s">
        <v>965</v>
      </c>
      <c r="Q55" s="47" t="s">
        <v>965</v>
      </c>
      <c r="R55" s="47" t="s">
        <v>965</v>
      </c>
      <c r="S55" s="47" t="s">
        <v>965</v>
      </c>
      <c r="T55" s="47" t="s">
        <v>965</v>
      </c>
      <c r="U55" s="47" t="s">
        <v>965</v>
      </c>
      <c r="V55" s="47" t="s">
        <v>965</v>
      </c>
      <c r="W55" s="47" t="s">
        <v>965</v>
      </c>
      <c r="X55" s="47" t="s">
        <v>965</v>
      </c>
      <c r="Y55" s="47" t="s">
        <v>965</v>
      </c>
      <c r="Z55" s="47" t="s">
        <v>965</v>
      </c>
      <c r="AA55" s="47" t="s">
        <v>965</v>
      </c>
      <c r="AB55" s="47" t="s">
        <v>965</v>
      </c>
      <c r="AC55" s="47" t="s">
        <v>965</v>
      </c>
      <c r="AD55" s="47" t="s">
        <v>965</v>
      </c>
      <c r="AE55" s="47" t="s">
        <v>965</v>
      </c>
      <c r="AF55" s="47" t="s">
        <v>965</v>
      </c>
      <c r="AG55" s="47" t="s">
        <v>965</v>
      </c>
      <c r="AH55" s="47" t="s">
        <v>965</v>
      </c>
      <c r="AI55" s="47" t="s">
        <v>965</v>
      </c>
      <c r="AJ55" s="47" t="s">
        <v>965</v>
      </c>
      <c r="AK55" s="47" t="s">
        <v>965</v>
      </c>
      <c r="AL55" s="47" t="s">
        <v>965</v>
      </c>
      <c r="AM55" s="47" t="s">
        <v>965</v>
      </c>
      <c r="AN55" s="47" t="s">
        <v>965</v>
      </c>
      <c r="AO55" s="47" t="s">
        <v>965</v>
      </c>
      <c r="AP55" s="47" t="s">
        <v>965</v>
      </c>
      <c r="AQ55" s="47" t="s">
        <v>965</v>
      </c>
      <c r="AR55" s="47" t="s">
        <v>965</v>
      </c>
      <c r="AS55" s="47" t="s">
        <v>965</v>
      </c>
      <c r="AT55" s="47" t="s">
        <v>965</v>
      </c>
      <c r="AU55" s="47" t="s">
        <v>965</v>
      </c>
      <c r="AV55" s="47" t="s">
        <v>965</v>
      </c>
      <c r="AW55" s="47" t="s">
        <v>965</v>
      </c>
      <c r="AX55" s="47" t="s">
        <v>965</v>
      </c>
      <c r="AY55" s="47" t="s">
        <v>965</v>
      </c>
      <c r="AZ55" s="47" t="s">
        <v>965</v>
      </c>
      <c r="BA55" s="47" t="s">
        <v>965</v>
      </c>
      <c r="BB55" s="47" t="s">
        <v>965</v>
      </c>
      <c r="BC55" s="47" t="s">
        <v>965</v>
      </c>
      <c r="BD55" s="47" t="s">
        <v>965</v>
      </c>
      <c r="BE55" s="47" t="s">
        <v>835</v>
      </c>
      <c r="BF55" s="47">
        <v>16</v>
      </c>
      <c r="BG55" s="47">
        <v>8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16</v>
      </c>
      <c r="BR55" s="47">
        <v>0</v>
      </c>
      <c r="BS55" s="47">
        <v>0</v>
      </c>
      <c r="BT55" s="47">
        <v>16</v>
      </c>
      <c r="BU55" s="47">
        <v>19</v>
      </c>
      <c r="BV55" s="52">
        <f t="shared" si="1"/>
        <v>1.1875</v>
      </c>
      <c r="BW55" s="50"/>
    </row>
    <row r="56" spans="1:79" x14ac:dyDescent="0.2">
      <c r="A56" s="47">
        <v>2025</v>
      </c>
      <c r="B56" s="47" t="s">
        <v>958</v>
      </c>
      <c r="C56" s="47" t="s">
        <v>981</v>
      </c>
      <c r="D56" s="47" t="s">
        <v>1046</v>
      </c>
      <c r="E56" s="48" t="s">
        <v>838</v>
      </c>
      <c r="F56" s="48" t="s">
        <v>42</v>
      </c>
      <c r="G56" s="51" t="s">
        <v>120</v>
      </c>
      <c r="H56" s="53">
        <v>0.22</v>
      </c>
      <c r="I56" s="53">
        <v>0.6</v>
      </c>
      <c r="J56" s="49">
        <v>0.99</v>
      </c>
      <c r="K56" s="47" t="s">
        <v>833</v>
      </c>
      <c r="L56" s="47" t="s">
        <v>963</v>
      </c>
      <c r="M56" s="47" t="s">
        <v>849</v>
      </c>
      <c r="N56" s="47" t="s">
        <v>834</v>
      </c>
      <c r="O56" s="47" t="s">
        <v>965</v>
      </c>
      <c r="P56" s="47" t="s">
        <v>965</v>
      </c>
      <c r="Q56" s="47" t="s">
        <v>965</v>
      </c>
      <c r="R56" s="47" t="s">
        <v>965</v>
      </c>
      <c r="S56" s="47" t="s">
        <v>965</v>
      </c>
      <c r="T56" s="47" t="s">
        <v>965</v>
      </c>
      <c r="U56" s="47" t="s">
        <v>965</v>
      </c>
      <c r="V56" s="47" t="s">
        <v>965</v>
      </c>
      <c r="W56" s="47" t="s">
        <v>965</v>
      </c>
      <c r="X56" s="47" t="s">
        <v>965</v>
      </c>
      <c r="Y56" s="47" t="s">
        <v>965</v>
      </c>
      <c r="Z56" s="47" t="s">
        <v>965</v>
      </c>
      <c r="AA56" s="47" t="s">
        <v>965</v>
      </c>
      <c r="AB56" s="47" t="s">
        <v>965</v>
      </c>
      <c r="AC56" s="47" t="s">
        <v>965</v>
      </c>
      <c r="AD56" s="47" t="s">
        <v>965</v>
      </c>
      <c r="AE56" s="47" t="s">
        <v>965</v>
      </c>
      <c r="AF56" s="47" t="s">
        <v>965</v>
      </c>
      <c r="AG56" s="47" t="s">
        <v>965</v>
      </c>
      <c r="AH56" s="47" t="s">
        <v>965</v>
      </c>
      <c r="AI56" s="47" t="s">
        <v>965</v>
      </c>
      <c r="AJ56" s="47" t="s">
        <v>965</v>
      </c>
      <c r="AK56" s="47" t="s">
        <v>965</v>
      </c>
      <c r="AL56" s="47" t="s">
        <v>965</v>
      </c>
      <c r="AM56" s="47" t="s">
        <v>965</v>
      </c>
      <c r="AN56" s="47" t="s">
        <v>965</v>
      </c>
      <c r="AO56" s="47" t="s">
        <v>965</v>
      </c>
      <c r="AP56" s="47" t="s">
        <v>965</v>
      </c>
      <c r="AQ56" s="47" t="s">
        <v>965</v>
      </c>
      <c r="AR56" s="47" t="s">
        <v>965</v>
      </c>
      <c r="AS56" s="47" t="s">
        <v>965</v>
      </c>
      <c r="AT56" s="47" t="s">
        <v>965</v>
      </c>
      <c r="AU56" s="47" t="s">
        <v>965</v>
      </c>
      <c r="AV56" s="47" t="s">
        <v>965</v>
      </c>
      <c r="AW56" s="47" t="s">
        <v>965</v>
      </c>
      <c r="AX56" s="47" t="s">
        <v>965</v>
      </c>
      <c r="AY56" s="47" t="s">
        <v>965</v>
      </c>
      <c r="AZ56" s="47" t="s">
        <v>965</v>
      </c>
      <c r="BA56" s="47" t="s">
        <v>965</v>
      </c>
      <c r="BB56" s="47" t="s">
        <v>965</v>
      </c>
      <c r="BC56" s="47" t="s">
        <v>833</v>
      </c>
      <c r="BD56" s="47" t="s">
        <v>965</v>
      </c>
      <c r="BE56" s="47" t="s">
        <v>835</v>
      </c>
      <c r="BF56" s="47">
        <v>51</v>
      </c>
      <c r="BG56" s="47">
        <v>15</v>
      </c>
      <c r="BH56" s="47">
        <v>0</v>
      </c>
      <c r="BI56" s="47">
        <v>0</v>
      </c>
      <c r="BJ56" s="47">
        <v>0</v>
      </c>
      <c r="BK56" s="47">
        <v>155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206</v>
      </c>
      <c r="BR56" s="47">
        <v>0</v>
      </c>
      <c r="BS56" s="47">
        <v>0</v>
      </c>
      <c r="BT56" s="47">
        <v>206</v>
      </c>
      <c r="BU56" s="47">
        <v>192</v>
      </c>
      <c r="BV56" s="52">
        <f t="shared" si="1"/>
        <v>0.93203883495145634</v>
      </c>
      <c r="BW56" s="54">
        <v>0.55000000000000004</v>
      </c>
    </row>
    <row r="57" spans="1:79" x14ac:dyDescent="0.2">
      <c r="A57" s="47">
        <v>2025</v>
      </c>
      <c r="B57" s="47" t="s">
        <v>958</v>
      </c>
      <c r="C57" s="47" t="s">
        <v>981</v>
      </c>
      <c r="D57" s="47" t="s">
        <v>1047</v>
      </c>
      <c r="E57" s="48" t="s">
        <v>838</v>
      </c>
      <c r="F57" s="48" t="s">
        <v>42</v>
      </c>
      <c r="G57" s="51"/>
      <c r="H57" s="5"/>
      <c r="I57" s="5"/>
      <c r="J57" s="5"/>
      <c r="K57" s="47" t="s">
        <v>833</v>
      </c>
      <c r="L57" s="47" t="s">
        <v>963</v>
      </c>
      <c r="M57" s="47" t="s">
        <v>849</v>
      </c>
      <c r="N57" s="47" t="s">
        <v>834</v>
      </c>
      <c r="O57" s="47" t="s">
        <v>965</v>
      </c>
      <c r="P57" s="47" t="s">
        <v>965</v>
      </c>
      <c r="Q57" s="47" t="s">
        <v>965</v>
      </c>
      <c r="R57" s="47" t="s">
        <v>965</v>
      </c>
      <c r="S57" s="47" t="s">
        <v>965</v>
      </c>
      <c r="T57" s="47" t="s">
        <v>965</v>
      </c>
      <c r="U57" s="47" t="s">
        <v>965</v>
      </c>
      <c r="V57" s="47" t="s">
        <v>965</v>
      </c>
      <c r="W57" s="47" t="s">
        <v>965</v>
      </c>
      <c r="X57" s="47" t="s">
        <v>965</v>
      </c>
      <c r="Y57" s="47" t="s">
        <v>965</v>
      </c>
      <c r="Z57" s="47" t="s">
        <v>965</v>
      </c>
      <c r="AA57" s="47" t="s">
        <v>965</v>
      </c>
      <c r="AB57" s="47" t="s">
        <v>965</v>
      </c>
      <c r="AC57" s="47" t="s">
        <v>965</v>
      </c>
      <c r="AD57" s="47" t="s">
        <v>965</v>
      </c>
      <c r="AE57" s="47" t="s">
        <v>965</v>
      </c>
      <c r="AF57" s="47" t="s">
        <v>965</v>
      </c>
      <c r="AG57" s="47" t="s">
        <v>965</v>
      </c>
      <c r="AH57" s="47" t="s">
        <v>965</v>
      </c>
      <c r="AI57" s="47" t="s">
        <v>965</v>
      </c>
      <c r="AJ57" s="47" t="s">
        <v>965</v>
      </c>
      <c r="AK57" s="47" t="s">
        <v>965</v>
      </c>
      <c r="AL57" s="47" t="s">
        <v>965</v>
      </c>
      <c r="AM57" s="47" t="s">
        <v>965</v>
      </c>
      <c r="AN57" s="47" t="s">
        <v>965</v>
      </c>
      <c r="AO57" s="47" t="s">
        <v>965</v>
      </c>
      <c r="AP57" s="47" t="s">
        <v>965</v>
      </c>
      <c r="AQ57" s="47" t="s">
        <v>965</v>
      </c>
      <c r="AR57" s="47" t="s">
        <v>965</v>
      </c>
      <c r="AS57" s="47" t="s">
        <v>965</v>
      </c>
      <c r="AT57" s="47" t="s">
        <v>965</v>
      </c>
      <c r="AU57" s="47" t="s">
        <v>965</v>
      </c>
      <c r="AV57" s="47" t="s">
        <v>965</v>
      </c>
      <c r="AW57" s="47" t="s">
        <v>965</v>
      </c>
      <c r="AX57" s="47" t="s">
        <v>965</v>
      </c>
      <c r="AY57" s="47" t="s">
        <v>965</v>
      </c>
      <c r="AZ57" s="47" t="s">
        <v>965</v>
      </c>
      <c r="BA57" s="47" t="s">
        <v>965</v>
      </c>
      <c r="BB57" s="47" t="s">
        <v>965</v>
      </c>
      <c r="BC57" s="47" t="s">
        <v>833</v>
      </c>
      <c r="BD57" s="47" t="s">
        <v>965</v>
      </c>
      <c r="BE57" s="47" t="s">
        <v>835</v>
      </c>
      <c r="BF57" s="47">
        <v>6</v>
      </c>
      <c r="BG57" s="47">
        <v>3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6</v>
      </c>
      <c r="BR57" s="47">
        <v>0</v>
      </c>
      <c r="BS57" s="47">
        <v>0</v>
      </c>
      <c r="BT57" s="47">
        <v>6</v>
      </c>
      <c r="BU57" s="47">
        <v>6</v>
      </c>
      <c r="BV57" s="52">
        <f t="shared" si="1"/>
        <v>1</v>
      </c>
      <c r="BW57" s="54">
        <v>0.81</v>
      </c>
    </row>
    <row r="58" spans="1:79" x14ac:dyDescent="0.2">
      <c r="A58" s="47">
        <v>2025</v>
      </c>
      <c r="B58" s="47" t="s">
        <v>958</v>
      </c>
      <c r="C58" s="47" t="s">
        <v>866</v>
      </c>
      <c r="D58" s="47" t="s">
        <v>1048</v>
      </c>
      <c r="E58" s="48" t="s">
        <v>838</v>
      </c>
      <c r="F58" s="48" t="s">
        <v>42</v>
      </c>
      <c r="G58" s="51"/>
      <c r="H58" s="5"/>
      <c r="I58" s="5"/>
      <c r="J58" s="5"/>
      <c r="K58" s="47" t="s">
        <v>833</v>
      </c>
      <c r="L58" s="47" t="s">
        <v>963</v>
      </c>
      <c r="M58" s="47" t="s">
        <v>849</v>
      </c>
      <c r="N58" s="47" t="s">
        <v>834</v>
      </c>
      <c r="O58" s="47" t="s">
        <v>833</v>
      </c>
      <c r="P58" s="47" t="s">
        <v>965</v>
      </c>
      <c r="Q58" s="47" t="s">
        <v>965</v>
      </c>
      <c r="R58" s="47" t="s">
        <v>965</v>
      </c>
      <c r="S58" s="47" t="s">
        <v>965</v>
      </c>
      <c r="T58" s="47" t="s">
        <v>965</v>
      </c>
      <c r="U58" s="47" t="s">
        <v>965</v>
      </c>
      <c r="V58" s="47" t="s">
        <v>965</v>
      </c>
      <c r="W58" s="47" t="s">
        <v>965</v>
      </c>
      <c r="X58" s="47" t="s">
        <v>965</v>
      </c>
      <c r="Y58" s="47" t="s">
        <v>965</v>
      </c>
      <c r="Z58" s="47" t="s">
        <v>965</v>
      </c>
      <c r="AA58" s="47" t="s">
        <v>965</v>
      </c>
      <c r="AB58" s="47" t="s">
        <v>965</v>
      </c>
      <c r="AC58" s="47" t="s">
        <v>965</v>
      </c>
      <c r="AD58" s="47" t="s">
        <v>965</v>
      </c>
      <c r="AE58" s="47" t="s">
        <v>965</v>
      </c>
      <c r="AF58" s="47" t="s">
        <v>965</v>
      </c>
      <c r="AG58" s="47" t="s">
        <v>965</v>
      </c>
      <c r="AH58" s="47" t="s">
        <v>965</v>
      </c>
      <c r="AI58" s="47" t="s">
        <v>965</v>
      </c>
      <c r="AJ58" s="47" t="s">
        <v>965</v>
      </c>
      <c r="AK58" s="47" t="s">
        <v>965</v>
      </c>
      <c r="AL58" s="47" t="s">
        <v>965</v>
      </c>
      <c r="AM58" s="47" t="s">
        <v>965</v>
      </c>
      <c r="AN58" s="47" t="s">
        <v>965</v>
      </c>
      <c r="AO58" s="47" t="s">
        <v>965</v>
      </c>
      <c r="AP58" s="47" t="s">
        <v>965</v>
      </c>
      <c r="AQ58" s="47" t="s">
        <v>965</v>
      </c>
      <c r="AR58" s="47" t="s">
        <v>965</v>
      </c>
      <c r="AS58" s="47" t="s">
        <v>965</v>
      </c>
      <c r="AT58" s="47" t="s">
        <v>965</v>
      </c>
      <c r="AU58" s="47" t="s">
        <v>965</v>
      </c>
      <c r="AV58" s="47" t="s">
        <v>965</v>
      </c>
      <c r="AW58" s="47" t="s">
        <v>965</v>
      </c>
      <c r="AX58" s="47" t="s">
        <v>965</v>
      </c>
      <c r="AY58" s="47" t="s">
        <v>965</v>
      </c>
      <c r="AZ58" s="47" t="s">
        <v>965</v>
      </c>
      <c r="BA58" s="47" t="s">
        <v>965</v>
      </c>
      <c r="BB58" s="47" t="s">
        <v>965</v>
      </c>
      <c r="BC58" s="47" t="s">
        <v>833</v>
      </c>
      <c r="BD58" s="47" t="s">
        <v>965</v>
      </c>
      <c r="BE58" s="47" t="s">
        <v>835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149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149</v>
      </c>
      <c r="BR58" s="47">
        <v>0</v>
      </c>
      <c r="BS58" s="47">
        <v>0</v>
      </c>
      <c r="BT58" s="47">
        <v>149</v>
      </c>
      <c r="BU58" s="47">
        <v>148</v>
      </c>
      <c r="BV58" s="52">
        <f t="shared" si="1"/>
        <v>0.99328859060402686</v>
      </c>
      <c r="BW58" s="54">
        <v>0.81</v>
      </c>
      <c r="CA58" s="18"/>
    </row>
    <row r="59" spans="1:79" x14ac:dyDescent="0.2">
      <c r="A59" s="47">
        <v>2025</v>
      </c>
      <c r="B59" s="47" t="s">
        <v>958</v>
      </c>
      <c r="C59" s="47" t="s">
        <v>1049</v>
      </c>
      <c r="D59" s="47" t="s">
        <v>1050</v>
      </c>
      <c r="E59" s="48" t="s">
        <v>838</v>
      </c>
      <c r="F59" s="48" t="s">
        <v>42</v>
      </c>
      <c r="G59" s="51" t="s">
        <v>1051</v>
      </c>
      <c r="H59" s="35">
        <v>0.09</v>
      </c>
      <c r="I59" s="35">
        <v>0.65</v>
      </c>
      <c r="J59" s="32">
        <v>0.3</v>
      </c>
      <c r="K59" s="47" t="s">
        <v>833</v>
      </c>
      <c r="L59" s="47" t="s">
        <v>963</v>
      </c>
      <c r="M59" s="47" t="s">
        <v>849</v>
      </c>
      <c r="N59" s="47" t="s">
        <v>834</v>
      </c>
      <c r="O59" s="47" t="s">
        <v>965</v>
      </c>
      <c r="P59" s="47" t="s">
        <v>965</v>
      </c>
      <c r="Q59" s="47" t="s">
        <v>965</v>
      </c>
      <c r="R59" s="47" t="s">
        <v>965</v>
      </c>
      <c r="S59" s="47" t="s">
        <v>965</v>
      </c>
      <c r="T59" s="47" t="s">
        <v>965</v>
      </c>
      <c r="U59" s="47" t="s">
        <v>965</v>
      </c>
      <c r="V59" s="47" t="s">
        <v>965</v>
      </c>
      <c r="W59" s="47" t="s">
        <v>965</v>
      </c>
      <c r="X59" s="47" t="s">
        <v>965</v>
      </c>
      <c r="Y59" s="47" t="s">
        <v>965</v>
      </c>
      <c r="Z59" s="47" t="s">
        <v>965</v>
      </c>
      <c r="AA59" s="47" t="s">
        <v>965</v>
      </c>
      <c r="AB59" s="47" t="s">
        <v>965</v>
      </c>
      <c r="AC59" s="47" t="s">
        <v>965</v>
      </c>
      <c r="AD59" s="47" t="s">
        <v>965</v>
      </c>
      <c r="AE59" s="47" t="s">
        <v>965</v>
      </c>
      <c r="AF59" s="47" t="s">
        <v>965</v>
      </c>
      <c r="AG59" s="47" t="s">
        <v>965</v>
      </c>
      <c r="AH59" s="47" t="s">
        <v>965</v>
      </c>
      <c r="AI59" s="47" t="s">
        <v>965</v>
      </c>
      <c r="AJ59" s="47" t="s">
        <v>965</v>
      </c>
      <c r="AK59" s="47" t="s">
        <v>965</v>
      </c>
      <c r="AL59" s="47" t="s">
        <v>965</v>
      </c>
      <c r="AM59" s="47" t="s">
        <v>965</v>
      </c>
      <c r="AN59" s="47" t="s">
        <v>965</v>
      </c>
      <c r="AO59" s="47" t="s">
        <v>965</v>
      </c>
      <c r="AP59" s="47" t="s">
        <v>965</v>
      </c>
      <c r="AQ59" s="47" t="s">
        <v>965</v>
      </c>
      <c r="AR59" s="47" t="s">
        <v>965</v>
      </c>
      <c r="AS59" s="47" t="s">
        <v>965</v>
      </c>
      <c r="AT59" s="47" t="s">
        <v>965</v>
      </c>
      <c r="AU59" s="47" t="s">
        <v>965</v>
      </c>
      <c r="AV59" s="47" t="s">
        <v>965</v>
      </c>
      <c r="AW59" s="47" t="s">
        <v>965</v>
      </c>
      <c r="AX59" s="47" t="s">
        <v>965</v>
      </c>
      <c r="AY59" s="47" t="s">
        <v>965</v>
      </c>
      <c r="AZ59" s="47" t="s">
        <v>965</v>
      </c>
      <c r="BA59" s="47" t="s">
        <v>965</v>
      </c>
      <c r="BB59" s="47" t="s">
        <v>965</v>
      </c>
      <c r="BC59" s="47" t="s">
        <v>833</v>
      </c>
      <c r="BD59" s="47" t="s">
        <v>965</v>
      </c>
      <c r="BE59" s="47" t="s">
        <v>835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425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425</v>
      </c>
      <c r="BR59" s="47">
        <v>0</v>
      </c>
      <c r="BS59" s="47">
        <v>0</v>
      </c>
      <c r="BT59" s="47">
        <v>425</v>
      </c>
      <c r="BU59" s="47">
        <v>414</v>
      </c>
      <c r="BV59" s="52">
        <f t="shared" si="1"/>
        <v>0.97411764705882353</v>
      </c>
      <c r="BW59" s="50"/>
    </row>
    <row r="60" spans="1:79" x14ac:dyDescent="0.2">
      <c r="A60" s="47">
        <v>2025</v>
      </c>
      <c r="B60" s="47" t="s">
        <v>958</v>
      </c>
      <c r="C60" s="47" t="s">
        <v>1013</v>
      </c>
      <c r="D60" s="47" t="s">
        <v>1052</v>
      </c>
      <c r="E60" s="48" t="s">
        <v>838</v>
      </c>
      <c r="F60" s="48" t="s">
        <v>42</v>
      </c>
      <c r="G60" s="51"/>
      <c r="H60" s="47"/>
      <c r="I60" s="47"/>
      <c r="J60" s="47"/>
      <c r="K60" s="47" t="s">
        <v>833</v>
      </c>
      <c r="L60" s="47" t="s">
        <v>963</v>
      </c>
      <c r="M60" s="47" t="s">
        <v>849</v>
      </c>
      <c r="N60" s="47" t="s">
        <v>834</v>
      </c>
      <c r="O60" s="47" t="s">
        <v>965</v>
      </c>
      <c r="P60" s="47" t="s">
        <v>965</v>
      </c>
      <c r="Q60" s="47" t="s">
        <v>965</v>
      </c>
      <c r="R60" s="47" t="s">
        <v>965</v>
      </c>
      <c r="S60" s="47" t="s">
        <v>965</v>
      </c>
      <c r="T60" s="47" t="s">
        <v>965</v>
      </c>
      <c r="U60" s="47" t="s">
        <v>965</v>
      </c>
      <c r="V60" s="47" t="s">
        <v>965</v>
      </c>
      <c r="W60" s="47" t="s">
        <v>965</v>
      </c>
      <c r="X60" s="47" t="s">
        <v>965</v>
      </c>
      <c r="Y60" s="47" t="s">
        <v>965</v>
      </c>
      <c r="Z60" s="47" t="s">
        <v>965</v>
      </c>
      <c r="AA60" s="47" t="s">
        <v>965</v>
      </c>
      <c r="AB60" s="47" t="s">
        <v>965</v>
      </c>
      <c r="AC60" s="47" t="s">
        <v>965</v>
      </c>
      <c r="AD60" s="47" t="s">
        <v>965</v>
      </c>
      <c r="AE60" s="47" t="s">
        <v>965</v>
      </c>
      <c r="AF60" s="47" t="s">
        <v>965</v>
      </c>
      <c r="AG60" s="47" t="s">
        <v>965</v>
      </c>
      <c r="AH60" s="47" t="s">
        <v>965</v>
      </c>
      <c r="AI60" s="47" t="s">
        <v>965</v>
      </c>
      <c r="AJ60" s="47" t="s">
        <v>965</v>
      </c>
      <c r="AK60" s="47" t="s">
        <v>965</v>
      </c>
      <c r="AL60" s="47" t="s">
        <v>965</v>
      </c>
      <c r="AM60" s="47" t="s">
        <v>965</v>
      </c>
      <c r="AN60" s="47" t="s">
        <v>965</v>
      </c>
      <c r="AO60" s="47" t="s">
        <v>965</v>
      </c>
      <c r="AP60" s="47" t="s">
        <v>965</v>
      </c>
      <c r="AQ60" s="47" t="s">
        <v>965</v>
      </c>
      <c r="AR60" s="47" t="s">
        <v>965</v>
      </c>
      <c r="AS60" s="47" t="s">
        <v>965</v>
      </c>
      <c r="AT60" s="47" t="s">
        <v>965</v>
      </c>
      <c r="AU60" s="47" t="s">
        <v>965</v>
      </c>
      <c r="AV60" s="47" t="s">
        <v>965</v>
      </c>
      <c r="AW60" s="47" t="s">
        <v>965</v>
      </c>
      <c r="AX60" s="47" t="s">
        <v>965</v>
      </c>
      <c r="AY60" s="47" t="s">
        <v>965</v>
      </c>
      <c r="AZ60" s="47" t="s">
        <v>965</v>
      </c>
      <c r="BA60" s="47" t="s">
        <v>965</v>
      </c>
      <c r="BB60" s="47" t="s">
        <v>965</v>
      </c>
      <c r="BC60" s="47" t="s">
        <v>833</v>
      </c>
      <c r="BD60" s="47" t="s">
        <v>965</v>
      </c>
      <c r="BE60" s="47" t="s">
        <v>835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10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10</v>
      </c>
      <c r="BR60" s="47">
        <v>0</v>
      </c>
      <c r="BS60" s="47">
        <v>0</v>
      </c>
      <c r="BT60" s="47">
        <v>10</v>
      </c>
      <c r="BU60" s="47">
        <v>7</v>
      </c>
      <c r="BV60" s="52">
        <f t="shared" si="1"/>
        <v>0.7</v>
      </c>
      <c r="BW60" s="50"/>
    </row>
    <row r="61" spans="1:79" x14ac:dyDescent="0.2">
      <c r="A61" s="47">
        <v>2025</v>
      </c>
      <c r="B61" s="47" t="s">
        <v>958</v>
      </c>
      <c r="C61" s="47" t="s">
        <v>1013</v>
      </c>
      <c r="D61" s="47" t="s">
        <v>1053</v>
      </c>
      <c r="E61" s="48" t="s">
        <v>838</v>
      </c>
      <c r="F61" s="48" t="s">
        <v>42</v>
      </c>
      <c r="G61" s="51"/>
      <c r="H61" s="47"/>
      <c r="I61" s="47"/>
      <c r="J61" s="47"/>
      <c r="K61" s="47" t="s">
        <v>833</v>
      </c>
      <c r="L61" s="47" t="s">
        <v>963</v>
      </c>
      <c r="M61" s="47" t="s">
        <v>854</v>
      </c>
      <c r="N61" s="47" t="s">
        <v>834</v>
      </c>
      <c r="O61" s="47" t="s">
        <v>965</v>
      </c>
      <c r="P61" s="47" t="s">
        <v>965</v>
      </c>
      <c r="Q61" s="47" t="s">
        <v>965</v>
      </c>
      <c r="R61" s="47" t="s">
        <v>965</v>
      </c>
      <c r="S61" s="47" t="s">
        <v>965</v>
      </c>
      <c r="T61" s="47" t="s">
        <v>965</v>
      </c>
      <c r="U61" s="47" t="s">
        <v>965</v>
      </c>
      <c r="V61" s="47" t="s">
        <v>965</v>
      </c>
      <c r="W61" s="47" t="s">
        <v>965</v>
      </c>
      <c r="X61" s="47" t="s">
        <v>965</v>
      </c>
      <c r="Y61" s="47" t="s">
        <v>965</v>
      </c>
      <c r="Z61" s="47" t="s">
        <v>965</v>
      </c>
      <c r="AA61" s="47" t="s">
        <v>965</v>
      </c>
      <c r="AB61" s="47" t="s">
        <v>965</v>
      </c>
      <c r="AC61" s="47" t="s">
        <v>965</v>
      </c>
      <c r="AD61" s="47" t="s">
        <v>965</v>
      </c>
      <c r="AE61" s="47" t="s">
        <v>965</v>
      </c>
      <c r="AF61" s="47" t="s">
        <v>965</v>
      </c>
      <c r="AG61" s="47" t="s">
        <v>965</v>
      </c>
      <c r="AH61" s="47" t="s">
        <v>965</v>
      </c>
      <c r="AI61" s="47" t="s">
        <v>965</v>
      </c>
      <c r="AJ61" s="47" t="s">
        <v>965</v>
      </c>
      <c r="AK61" s="47" t="s">
        <v>965</v>
      </c>
      <c r="AL61" s="47" t="s">
        <v>965</v>
      </c>
      <c r="AM61" s="47" t="s">
        <v>965</v>
      </c>
      <c r="AN61" s="47" t="s">
        <v>965</v>
      </c>
      <c r="AO61" s="47" t="s">
        <v>965</v>
      </c>
      <c r="AP61" s="47" t="s">
        <v>965</v>
      </c>
      <c r="AQ61" s="47" t="s">
        <v>965</v>
      </c>
      <c r="AR61" s="47" t="s">
        <v>965</v>
      </c>
      <c r="AS61" s="47" t="s">
        <v>965</v>
      </c>
      <c r="AT61" s="47" t="s">
        <v>965</v>
      </c>
      <c r="AU61" s="47" t="s">
        <v>965</v>
      </c>
      <c r="AV61" s="47" t="s">
        <v>965</v>
      </c>
      <c r="AW61" s="47" t="s">
        <v>965</v>
      </c>
      <c r="AX61" s="47" t="s">
        <v>965</v>
      </c>
      <c r="AY61" s="47" t="s">
        <v>965</v>
      </c>
      <c r="AZ61" s="47" t="s">
        <v>965</v>
      </c>
      <c r="BA61" s="47" t="s">
        <v>965</v>
      </c>
      <c r="BB61" s="47" t="s">
        <v>965</v>
      </c>
      <c r="BC61" s="47" t="s">
        <v>965</v>
      </c>
      <c r="BD61" s="47" t="s">
        <v>965</v>
      </c>
      <c r="BE61" s="47" t="s">
        <v>855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2</v>
      </c>
      <c r="BT61" s="47">
        <v>2</v>
      </c>
      <c r="BU61" s="47">
        <v>2</v>
      </c>
      <c r="BV61" s="52">
        <f t="shared" si="1"/>
        <v>1</v>
      </c>
      <c r="BW61" s="50"/>
    </row>
    <row r="62" spans="1:79" x14ac:dyDescent="0.2">
      <c r="A62" s="47">
        <v>2025</v>
      </c>
      <c r="B62" s="47" t="s">
        <v>958</v>
      </c>
      <c r="C62" s="47" t="s">
        <v>1054</v>
      </c>
      <c r="D62" s="47" t="s">
        <v>1055</v>
      </c>
      <c r="E62" s="48" t="s">
        <v>838</v>
      </c>
      <c r="F62" s="48" t="s">
        <v>42</v>
      </c>
      <c r="G62" s="51"/>
      <c r="H62" s="47"/>
      <c r="I62" s="47"/>
      <c r="J62" s="47"/>
      <c r="K62" s="47" t="s">
        <v>833</v>
      </c>
      <c r="L62" s="47" t="s">
        <v>963</v>
      </c>
      <c r="M62" s="47" t="s">
        <v>849</v>
      </c>
      <c r="N62" s="47" t="s">
        <v>834</v>
      </c>
      <c r="O62" s="47" t="s">
        <v>965</v>
      </c>
      <c r="P62" s="47" t="s">
        <v>965</v>
      </c>
      <c r="Q62" s="47" t="s">
        <v>965</v>
      </c>
      <c r="R62" s="47" t="s">
        <v>965</v>
      </c>
      <c r="S62" s="47" t="s">
        <v>965</v>
      </c>
      <c r="T62" s="47" t="s">
        <v>965</v>
      </c>
      <c r="U62" s="47" t="s">
        <v>965</v>
      </c>
      <c r="V62" s="47" t="s">
        <v>965</v>
      </c>
      <c r="W62" s="47" t="s">
        <v>965</v>
      </c>
      <c r="X62" s="47" t="s">
        <v>965</v>
      </c>
      <c r="Y62" s="47" t="s">
        <v>965</v>
      </c>
      <c r="Z62" s="47" t="s">
        <v>965</v>
      </c>
      <c r="AA62" s="47" t="s">
        <v>965</v>
      </c>
      <c r="AB62" s="47" t="s">
        <v>965</v>
      </c>
      <c r="AC62" s="47" t="s">
        <v>965</v>
      </c>
      <c r="AD62" s="47" t="s">
        <v>965</v>
      </c>
      <c r="AE62" s="47" t="s">
        <v>965</v>
      </c>
      <c r="AF62" s="47" t="s">
        <v>965</v>
      </c>
      <c r="AG62" s="47" t="s">
        <v>965</v>
      </c>
      <c r="AH62" s="47" t="s">
        <v>965</v>
      </c>
      <c r="AI62" s="47" t="s">
        <v>965</v>
      </c>
      <c r="AJ62" s="47" t="s">
        <v>965</v>
      </c>
      <c r="AK62" s="47" t="s">
        <v>965</v>
      </c>
      <c r="AL62" s="47" t="s">
        <v>965</v>
      </c>
      <c r="AM62" s="47" t="s">
        <v>965</v>
      </c>
      <c r="AN62" s="47" t="s">
        <v>965</v>
      </c>
      <c r="AO62" s="47" t="s">
        <v>965</v>
      </c>
      <c r="AP62" s="47" t="s">
        <v>965</v>
      </c>
      <c r="AQ62" s="47" t="s">
        <v>965</v>
      </c>
      <c r="AR62" s="47" t="s">
        <v>965</v>
      </c>
      <c r="AS62" s="47" t="s">
        <v>965</v>
      </c>
      <c r="AT62" s="47" t="s">
        <v>965</v>
      </c>
      <c r="AU62" s="47" t="s">
        <v>965</v>
      </c>
      <c r="AV62" s="47" t="s">
        <v>965</v>
      </c>
      <c r="AW62" s="47" t="s">
        <v>965</v>
      </c>
      <c r="AX62" s="47" t="s">
        <v>965</v>
      </c>
      <c r="AY62" s="47" t="s">
        <v>965</v>
      </c>
      <c r="AZ62" s="47" t="s">
        <v>965</v>
      </c>
      <c r="BA62" s="47" t="s">
        <v>965</v>
      </c>
      <c r="BB62" s="47" t="s">
        <v>965</v>
      </c>
      <c r="BC62" s="47" t="s">
        <v>965</v>
      </c>
      <c r="BD62" s="47" t="s">
        <v>965</v>
      </c>
      <c r="BE62" s="47" t="s">
        <v>835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1</v>
      </c>
      <c r="BT62" s="47">
        <v>1</v>
      </c>
      <c r="BU62" s="47">
        <v>0</v>
      </c>
      <c r="BV62" s="52">
        <f t="shared" si="1"/>
        <v>0</v>
      </c>
      <c r="BW62" s="50"/>
    </row>
    <row r="63" spans="1:79" x14ac:dyDescent="0.2">
      <c r="A63" s="47">
        <v>2025</v>
      </c>
      <c r="B63" s="47" t="s">
        <v>958</v>
      </c>
      <c r="C63" s="47" t="s">
        <v>1044</v>
      </c>
      <c r="D63" s="47" t="s">
        <v>1056</v>
      </c>
      <c r="E63" s="48" t="s">
        <v>1057</v>
      </c>
      <c r="F63" s="48" t="s">
        <v>136</v>
      </c>
      <c r="G63" s="51"/>
      <c r="H63" s="47"/>
      <c r="I63" s="47"/>
      <c r="J63" s="47"/>
      <c r="K63" s="47" t="s">
        <v>833</v>
      </c>
      <c r="L63" s="47" t="s">
        <v>963</v>
      </c>
      <c r="M63" s="47" t="s">
        <v>849</v>
      </c>
      <c r="N63" s="47" t="s">
        <v>834</v>
      </c>
      <c r="O63" s="47" t="s">
        <v>965</v>
      </c>
      <c r="P63" s="47" t="s">
        <v>965</v>
      </c>
      <c r="Q63" s="47" t="s">
        <v>965</v>
      </c>
      <c r="R63" s="47" t="s">
        <v>965</v>
      </c>
      <c r="S63" s="47" t="s">
        <v>965</v>
      </c>
      <c r="T63" s="47" t="s">
        <v>965</v>
      </c>
      <c r="U63" s="47" t="s">
        <v>965</v>
      </c>
      <c r="V63" s="47" t="s">
        <v>965</v>
      </c>
      <c r="W63" s="47" t="s">
        <v>965</v>
      </c>
      <c r="X63" s="47" t="s">
        <v>965</v>
      </c>
      <c r="Y63" s="47" t="s">
        <v>965</v>
      </c>
      <c r="Z63" s="47" t="s">
        <v>965</v>
      </c>
      <c r="AA63" s="47" t="s">
        <v>965</v>
      </c>
      <c r="AB63" s="47" t="s">
        <v>965</v>
      </c>
      <c r="AC63" s="47" t="s">
        <v>965</v>
      </c>
      <c r="AD63" s="47" t="s">
        <v>965</v>
      </c>
      <c r="AE63" s="47" t="s">
        <v>965</v>
      </c>
      <c r="AF63" s="47" t="s">
        <v>965</v>
      </c>
      <c r="AG63" s="47" t="s">
        <v>965</v>
      </c>
      <c r="AH63" s="47" t="s">
        <v>965</v>
      </c>
      <c r="AI63" s="47" t="s">
        <v>965</v>
      </c>
      <c r="AJ63" s="47" t="s">
        <v>965</v>
      </c>
      <c r="AK63" s="47" t="s">
        <v>965</v>
      </c>
      <c r="AL63" s="47" t="s">
        <v>965</v>
      </c>
      <c r="AM63" s="47" t="s">
        <v>965</v>
      </c>
      <c r="AN63" s="47" t="s">
        <v>965</v>
      </c>
      <c r="AO63" s="47" t="s">
        <v>965</v>
      </c>
      <c r="AP63" s="47" t="s">
        <v>965</v>
      </c>
      <c r="AQ63" s="47" t="s">
        <v>965</v>
      </c>
      <c r="AR63" s="47" t="s">
        <v>965</v>
      </c>
      <c r="AS63" s="47" t="s">
        <v>965</v>
      </c>
      <c r="AT63" s="47" t="s">
        <v>965</v>
      </c>
      <c r="AU63" s="47" t="s">
        <v>965</v>
      </c>
      <c r="AV63" s="47" t="s">
        <v>965</v>
      </c>
      <c r="AW63" s="47" t="s">
        <v>965</v>
      </c>
      <c r="AX63" s="47" t="s">
        <v>965</v>
      </c>
      <c r="AY63" s="47" t="s">
        <v>965</v>
      </c>
      <c r="AZ63" s="47" t="s">
        <v>965</v>
      </c>
      <c r="BA63" s="47" t="s">
        <v>965</v>
      </c>
      <c r="BB63" s="47" t="s">
        <v>965</v>
      </c>
      <c r="BC63" s="47" t="s">
        <v>833</v>
      </c>
      <c r="BD63" s="47" t="s">
        <v>965</v>
      </c>
      <c r="BE63" s="47" t="s">
        <v>835</v>
      </c>
      <c r="BF63" s="47">
        <v>30</v>
      </c>
      <c r="BG63" s="47">
        <v>7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30</v>
      </c>
      <c r="BR63" s="47">
        <v>0</v>
      </c>
      <c r="BS63" s="47">
        <v>0</v>
      </c>
      <c r="BT63" s="47">
        <v>30</v>
      </c>
      <c r="BU63" s="47">
        <v>33</v>
      </c>
      <c r="BV63" s="52">
        <f t="shared" si="1"/>
        <v>1.1000000000000001</v>
      </c>
      <c r="BW63" s="50"/>
    </row>
    <row r="64" spans="1:79" x14ac:dyDescent="0.2">
      <c r="A64" s="47">
        <v>2025</v>
      </c>
      <c r="B64" s="47" t="s">
        <v>958</v>
      </c>
      <c r="C64" s="47" t="s">
        <v>1058</v>
      </c>
      <c r="D64" s="47" t="s">
        <v>1059</v>
      </c>
      <c r="E64" s="48" t="s">
        <v>1057</v>
      </c>
      <c r="F64" s="48" t="s">
        <v>136</v>
      </c>
      <c r="G64" s="51"/>
      <c r="H64" s="47"/>
      <c r="I64" s="47"/>
      <c r="J64" s="47"/>
      <c r="K64" s="47" t="s">
        <v>965</v>
      </c>
      <c r="L64" s="47" t="s">
        <v>963</v>
      </c>
      <c r="M64" s="47" t="s">
        <v>849</v>
      </c>
      <c r="N64" s="47" t="s">
        <v>834</v>
      </c>
      <c r="O64" s="47" t="s">
        <v>965</v>
      </c>
      <c r="P64" s="47" t="s">
        <v>965</v>
      </c>
      <c r="Q64" s="47" t="s">
        <v>965</v>
      </c>
      <c r="R64" s="47" t="s">
        <v>965</v>
      </c>
      <c r="S64" s="47" t="s">
        <v>965</v>
      </c>
      <c r="T64" s="47" t="s">
        <v>965</v>
      </c>
      <c r="U64" s="47" t="s">
        <v>965</v>
      </c>
      <c r="V64" s="47" t="s">
        <v>965</v>
      </c>
      <c r="W64" s="47" t="s">
        <v>965</v>
      </c>
      <c r="X64" s="47" t="s">
        <v>965</v>
      </c>
      <c r="Y64" s="47" t="s">
        <v>965</v>
      </c>
      <c r="Z64" s="47" t="s">
        <v>965</v>
      </c>
      <c r="AA64" s="47" t="s">
        <v>965</v>
      </c>
      <c r="AB64" s="47" t="s">
        <v>965</v>
      </c>
      <c r="AC64" s="47" t="s">
        <v>965</v>
      </c>
      <c r="AD64" s="47" t="s">
        <v>965</v>
      </c>
      <c r="AE64" s="47" t="s">
        <v>965</v>
      </c>
      <c r="AF64" s="47" t="s">
        <v>965</v>
      </c>
      <c r="AG64" s="47" t="s">
        <v>965</v>
      </c>
      <c r="AH64" s="47" t="s">
        <v>965</v>
      </c>
      <c r="AI64" s="47" t="s">
        <v>965</v>
      </c>
      <c r="AJ64" s="47" t="s">
        <v>965</v>
      </c>
      <c r="AK64" s="47" t="s">
        <v>965</v>
      </c>
      <c r="AL64" s="47" t="s">
        <v>965</v>
      </c>
      <c r="AM64" s="47" t="s">
        <v>965</v>
      </c>
      <c r="AN64" s="47" t="s">
        <v>965</v>
      </c>
      <c r="AO64" s="47" t="s">
        <v>965</v>
      </c>
      <c r="AP64" s="47" t="s">
        <v>965</v>
      </c>
      <c r="AQ64" s="47" t="s">
        <v>965</v>
      </c>
      <c r="AR64" s="47" t="s">
        <v>965</v>
      </c>
      <c r="AS64" s="47" t="s">
        <v>965</v>
      </c>
      <c r="AT64" s="47" t="s">
        <v>965</v>
      </c>
      <c r="AU64" s="47" t="s">
        <v>965</v>
      </c>
      <c r="AV64" s="47" t="s">
        <v>965</v>
      </c>
      <c r="AW64" s="47" t="s">
        <v>965</v>
      </c>
      <c r="AX64" s="47" t="s">
        <v>965</v>
      </c>
      <c r="AY64" s="47" t="s">
        <v>965</v>
      </c>
      <c r="AZ64" s="47" t="s">
        <v>965</v>
      </c>
      <c r="BA64" s="47" t="s">
        <v>965</v>
      </c>
      <c r="BB64" s="47" t="s">
        <v>965</v>
      </c>
      <c r="BC64" s="47" t="s">
        <v>965</v>
      </c>
      <c r="BD64" s="47" t="s">
        <v>965</v>
      </c>
      <c r="BE64" s="47" t="s">
        <v>887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12</v>
      </c>
      <c r="BP64" s="47">
        <v>0</v>
      </c>
      <c r="BQ64" s="47">
        <v>12</v>
      </c>
      <c r="BR64" s="47">
        <v>0</v>
      </c>
      <c r="BS64" s="47">
        <v>0</v>
      </c>
      <c r="BT64" s="47">
        <v>12</v>
      </c>
      <c r="BU64" s="47">
        <v>6</v>
      </c>
      <c r="BV64" s="52">
        <f t="shared" si="1"/>
        <v>0.5</v>
      </c>
      <c r="BW64" s="50"/>
    </row>
    <row r="65" spans="1:75" x14ac:dyDescent="0.2">
      <c r="A65" s="47">
        <v>2025</v>
      </c>
      <c r="B65" s="47" t="s">
        <v>958</v>
      </c>
      <c r="C65" s="47" t="s">
        <v>1058</v>
      </c>
      <c r="D65" s="47" t="s">
        <v>1060</v>
      </c>
      <c r="E65" s="48" t="s">
        <v>1057</v>
      </c>
      <c r="F65" s="48" t="s">
        <v>136</v>
      </c>
      <c r="G65" s="51"/>
      <c r="H65" s="47"/>
      <c r="I65" s="47"/>
      <c r="J65" s="47"/>
      <c r="K65" s="47" t="s">
        <v>833</v>
      </c>
      <c r="L65" s="47" t="s">
        <v>963</v>
      </c>
      <c r="M65" s="47" t="s">
        <v>849</v>
      </c>
      <c r="N65" s="47" t="s">
        <v>834</v>
      </c>
      <c r="O65" s="47" t="s">
        <v>965</v>
      </c>
      <c r="P65" s="47" t="s">
        <v>965</v>
      </c>
      <c r="Q65" s="47" t="s">
        <v>965</v>
      </c>
      <c r="R65" s="47" t="s">
        <v>965</v>
      </c>
      <c r="S65" s="47" t="s">
        <v>965</v>
      </c>
      <c r="T65" s="47" t="s">
        <v>965</v>
      </c>
      <c r="U65" s="47" t="s">
        <v>965</v>
      </c>
      <c r="V65" s="47" t="s">
        <v>965</v>
      </c>
      <c r="W65" s="47" t="s">
        <v>965</v>
      </c>
      <c r="X65" s="47" t="s">
        <v>965</v>
      </c>
      <c r="Y65" s="47" t="s">
        <v>965</v>
      </c>
      <c r="Z65" s="47" t="s">
        <v>965</v>
      </c>
      <c r="AA65" s="47" t="s">
        <v>965</v>
      </c>
      <c r="AB65" s="47" t="s">
        <v>965</v>
      </c>
      <c r="AC65" s="47" t="s">
        <v>965</v>
      </c>
      <c r="AD65" s="47" t="s">
        <v>965</v>
      </c>
      <c r="AE65" s="47" t="s">
        <v>965</v>
      </c>
      <c r="AF65" s="47" t="s">
        <v>965</v>
      </c>
      <c r="AG65" s="47" t="s">
        <v>965</v>
      </c>
      <c r="AH65" s="47" t="s">
        <v>965</v>
      </c>
      <c r="AI65" s="47" t="s">
        <v>965</v>
      </c>
      <c r="AJ65" s="47" t="s">
        <v>965</v>
      </c>
      <c r="AK65" s="47" t="s">
        <v>965</v>
      </c>
      <c r="AL65" s="47" t="s">
        <v>965</v>
      </c>
      <c r="AM65" s="47" t="s">
        <v>965</v>
      </c>
      <c r="AN65" s="47" t="s">
        <v>965</v>
      </c>
      <c r="AO65" s="47" t="s">
        <v>965</v>
      </c>
      <c r="AP65" s="47" t="s">
        <v>965</v>
      </c>
      <c r="AQ65" s="47" t="s">
        <v>965</v>
      </c>
      <c r="AR65" s="47" t="s">
        <v>965</v>
      </c>
      <c r="AS65" s="47" t="s">
        <v>965</v>
      </c>
      <c r="AT65" s="47" t="s">
        <v>965</v>
      </c>
      <c r="AU65" s="47" t="s">
        <v>965</v>
      </c>
      <c r="AV65" s="47" t="s">
        <v>965</v>
      </c>
      <c r="AW65" s="47" t="s">
        <v>965</v>
      </c>
      <c r="AX65" s="47" t="s">
        <v>965</v>
      </c>
      <c r="AY65" s="47" t="s">
        <v>965</v>
      </c>
      <c r="AZ65" s="47" t="s">
        <v>965</v>
      </c>
      <c r="BA65" s="47" t="s">
        <v>965</v>
      </c>
      <c r="BB65" s="47" t="s">
        <v>965</v>
      </c>
      <c r="BC65" s="47" t="s">
        <v>965</v>
      </c>
      <c r="BD65" s="47" t="s">
        <v>965</v>
      </c>
      <c r="BE65" s="47" t="s">
        <v>835</v>
      </c>
      <c r="BF65" s="47">
        <v>3</v>
      </c>
      <c r="BG65" s="47">
        <v>1</v>
      </c>
      <c r="BH65" s="47">
        <v>0</v>
      </c>
      <c r="BI65" s="47">
        <v>0</v>
      </c>
      <c r="BJ65" s="47">
        <v>0</v>
      </c>
      <c r="BK65" s="47">
        <v>74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77</v>
      </c>
      <c r="BR65" s="47">
        <v>0</v>
      </c>
      <c r="BS65" s="47">
        <v>0</v>
      </c>
      <c r="BT65" s="47">
        <v>77</v>
      </c>
      <c r="BU65" s="47">
        <v>43</v>
      </c>
      <c r="BV65" s="52">
        <f t="shared" si="1"/>
        <v>0.55844155844155841</v>
      </c>
      <c r="BW65" s="50"/>
    </row>
    <row r="66" spans="1:75" x14ac:dyDescent="0.2">
      <c r="A66" s="47">
        <v>2025</v>
      </c>
      <c r="B66" s="47" t="s">
        <v>958</v>
      </c>
      <c r="C66" s="47" t="s">
        <v>1061</v>
      </c>
      <c r="D66" s="47" t="s">
        <v>1062</v>
      </c>
      <c r="E66" s="48" t="s">
        <v>843</v>
      </c>
      <c r="F66" s="48" t="s">
        <v>628</v>
      </c>
      <c r="G66" s="51"/>
      <c r="H66" s="47"/>
      <c r="I66" s="47"/>
      <c r="J66" s="47"/>
      <c r="K66" s="47" t="s">
        <v>833</v>
      </c>
      <c r="L66" s="47" t="s">
        <v>963</v>
      </c>
      <c r="M66" s="47" t="s">
        <v>849</v>
      </c>
      <c r="N66" s="47" t="s">
        <v>834</v>
      </c>
      <c r="O66" s="47" t="s">
        <v>965</v>
      </c>
      <c r="P66" s="47" t="s">
        <v>965</v>
      </c>
      <c r="Q66" s="47" t="s">
        <v>965</v>
      </c>
      <c r="R66" s="47" t="s">
        <v>965</v>
      </c>
      <c r="S66" s="47" t="s">
        <v>965</v>
      </c>
      <c r="T66" s="47" t="s">
        <v>965</v>
      </c>
      <c r="U66" s="47" t="s">
        <v>965</v>
      </c>
      <c r="V66" s="47" t="s">
        <v>965</v>
      </c>
      <c r="W66" s="47" t="s">
        <v>965</v>
      </c>
      <c r="X66" s="47" t="s">
        <v>965</v>
      </c>
      <c r="Y66" s="47" t="s">
        <v>965</v>
      </c>
      <c r="Z66" s="47" t="s">
        <v>965</v>
      </c>
      <c r="AA66" s="47" t="s">
        <v>965</v>
      </c>
      <c r="AB66" s="47" t="s">
        <v>965</v>
      </c>
      <c r="AC66" s="47" t="s">
        <v>965</v>
      </c>
      <c r="AD66" s="47" t="s">
        <v>965</v>
      </c>
      <c r="AE66" s="47" t="s">
        <v>965</v>
      </c>
      <c r="AF66" s="47" t="s">
        <v>965</v>
      </c>
      <c r="AG66" s="47" t="s">
        <v>965</v>
      </c>
      <c r="AH66" s="47" t="s">
        <v>965</v>
      </c>
      <c r="AI66" s="47" t="s">
        <v>965</v>
      </c>
      <c r="AJ66" s="47" t="s">
        <v>965</v>
      </c>
      <c r="AK66" s="47" t="s">
        <v>965</v>
      </c>
      <c r="AL66" s="47" t="s">
        <v>965</v>
      </c>
      <c r="AM66" s="47" t="s">
        <v>965</v>
      </c>
      <c r="AN66" s="47" t="s">
        <v>965</v>
      </c>
      <c r="AO66" s="47" t="s">
        <v>965</v>
      </c>
      <c r="AP66" s="47" t="s">
        <v>833</v>
      </c>
      <c r="AQ66" s="47" t="s">
        <v>965</v>
      </c>
      <c r="AR66" s="47" t="s">
        <v>965</v>
      </c>
      <c r="AS66" s="47" t="s">
        <v>965</v>
      </c>
      <c r="AT66" s="47" t="s">
        <v>965</v>
      </c>
      <c r="AU66" s="47" t="s">
        <v>965</v>
      </c>
      <c r="AV66" s="47" t="s">
        <v>965</v>
      </c>
      <c r="AW66" s="47" t="s">
        <v>965</v>
      </c>
      <c r="AX66" s="47" t="s">
        <v>965</v>
      </c>
      <c r="AY66" s="47" t="s">
        <v>965</v>
      </c>
      <c r="AZ66" s="47" t="s">
        <v>965</v>
      </c>
      <c r="BA66" s="47" t="s">
        <v>965</v>
      </c>
      <c r="BB66" s="47" t="s">
        <v>965</v>
      </c>
      <c r="BC66" s="47" t="s">
        <v>965</v>
      </c>
      <c r="BD66" s="47" t="s">
        <v>965</v>
      </c>
      <c r="BE66" s="47" t="s">
        <v>835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12</v>
      </c>
      <c r="BP66" s="47">
        <v>0</v>
      </c>
      <c r="BQ66" s="47">
        <v>12</v>
      </c>
      <c r="BR66" s="47">
        <v>0</v>
      </c>
      <c r="BS66" s="47">
        <v>0</v>
      </c>
      <c r="BT66" s="47">
        <v>12</v>
      </c>
      <c r="BU66" s="47">
        <v>1</v>
      </c>
      <c r="BV66" s="52">
        <f t="shared" si="1"/>
        <v>8.3333333333333329E-2</v>
      </c>
      <c r="BW66" s="54">
        <v>0.69</v>
      </c>
    </row>
    <row r="67" spans="1:75" x14ac:dyDescent="0.2">
      <c r="A67" s="47">
        <v>2025</v>
      </c>
      <c r="B67" s="47" t="s">
        <v>958</v>
      </c>
      <c r="C67" s="47" t="s">
        <v>861</v>
      </c>
      <c r="D67" s="47" t="s">
        <v>1063</v>
      </c>
      <c r="E67" s="48" t="s">
        <v>843</v>
      </c>
      <c r="F67" s="48" t="s">
        <v>628</v>
      </c>
      <c r="G67" s="51"/>
      <c r="K67" s="47" t="s">
        <v>833</v>
      </c>
      <c r="L67" s="47" t="s">
        <v>963</v>
      </c>
      <c r="M67" s="47" t="s">
        <v>849</v>
      </c>
      <c r="N67" s="47" t="s">
        <v>834</v>
      </c>
      <c r="O67" s="47" t="s">
        <v>833</v>
      </c>
      <c r="P67" s="47" t="s">
        <v>965</v>
      </c>
      <c r="Q67" s="47" t="s">
        <v>965</v>
      </c>
      <c r="R67" s="47" t="s">
        <v>965</v>
      </c>
      <c r="S67" s="47" t="s">
        <v>965</v>
      </c>
      <c r="T67" s="47" t="s">
        <v>965</v>
      </c>
      <c r="U67" s="47" t="s">
        <v>965</v>
      </c>
      <c r="V67" s="47" t="s">
        <v>965</v>
      </c>
      <c r="W67" s="47" t="s">
        <v>965</v>
      </c>
      <c r="X67" s="47" t="s">
        <v>965</v>
      </c>
      <c r="Y67" s="47" t="s">
        <v>965</v>
      </c>
      <c r="Z67" s="47" t="s">
        <v>965</v>
      </c>
      <c r="AA67" s="47" t="s">
        <v>965</v>
      </c>
      <c r="AB67" s="47" t="s">
        <v>965</v>
      </c>
      <c r="AC67" s="47" t="s">
        <v>965</v>
      </c>
      <c r="AD67" s="47" t="s">
        <v>965</v>
      </c>
      <c r="AE67" s="47" t="s">
        <v>965</v>
      </c>
      <c r="AF67" s="47" t="s">
        <v>965</v>
      </c>
      <c r="AG67" s="47" t="s">
        <v>965</v>
      </c>
      <c r="AH67" s="47" t="s">
        <v>965</v>
      </c>
      <c r="AI67" s="47" t="s">
        <v>965</v>
      </c>
      <c r="AJ67" s="47" t="s">
        <v>965</v>
      </c>
      <c r="AK67" s="47" t="s">
        <v>965</v>
      </c>
      <c r="AL67" s="47" t="s">
        <v>965</v>
      </c>
      <c r="AM67" s="47" t="s">
        <v>965</v>
      </c>
      <c r="AN67" s="47" t="s">
        <v>965</v>
      </c>
      <c r="AO67" s="47" t="s">
        <v>965</v>
      </c>
      <c r="AP67" s="47" t="s">
        <v>965</v>
      </c>
      <c r="AQ67" s="47" t="s">
        <v>965</v>
      </c>
      <c r="AR67" s="47" t="s">
        <v>965</v>
      </c>
      <c r="AS67" s="47" t="s">
        <v>965</v>
      </c>
      <c r="AT67" s="47" t="s">
        <v>965</v>
      </c>
      <c r="AU67" s="47" t="s">
        <v>965</v>
      </c>
      <c r="AV67" s="47" t="s">
        <v>965</v>
      </c>
      <c r="AW67" s="47" t="s">
        <v>965</v>
      </c>
      <c r="AX67" s="47" t="s">
        <v>965</v>
      </c>
      <c r="AY67" s="47" t="s">
        <v>965</v>
      </c>
      <c r="AZ67" s="47" t="s">
        <v>965</v>
      </c>
      <c r="BA67" s="47" t="s">
        <v>965</v>
      </c>
      <c r="BB67" s="47" t="s">
        <v>965</v>
      </c>
      <c r="BC67" s="47" t="s">
        <v>833</v>
      </c>
      <c r="BD67" s="47" t="s">
        <v>965</v>
      </c>
      <c r="BE67" s="47" t="s">
        <v>835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30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30</v>
      </c>
      <c r="BR67" s="47">
        <v>0</v>
      </c>
      <c r="BS67" s="47">
        <v>0</v>
      </c>
      <c r="BT67" s="47">
        <v>30</v>
      </c>
      <c r="BU67" s="47">
        <v>25</v>
      </c>
      <c r="BV67" s="52">
        <f t="shared" si="1"/>
        <v>0.83333333333333337</v>
      </c>
      <c r="BW67" s="50"/>
    </row>
    <row r="68" spans="1:75" x14ac:dyDescent="0.2">
      <c r="A68" s="47">
        <v>2025</v>
      </c>
      <c r="B68" s="47" t="s">
        <v>958</v>
      </c>
      <c r="C68" s="47" t="s">
        <v>861</v>
      </c>
      <c r="D68" s="47" t="s">
        <v>1064</v>
      </c>
      <c r="E68" s="48" t="s">
        <v>843</v>
      </c>
      <c r="F68" s="48" t="s">
        <v>628</v>
      </c>
      <c r="G68" s="51"/>
      <c r="H68" s="47"/>
      <c r="I68" s="47"/>
      <c r="J68" s="47"/>
      <c r="K68" s="47" t="s">
        <v>833</v>
      </c>
      <c r="L68" s="47" t="s">
        <v>963</v>
      </c>
      <c r="M68" s="47" t="s">
        <v>849</v>
      </c>
      <c r="N68" s="47" t="s">
        <v>834</v>
      </c>
      <c r="O68" s="47" t="s">
        <v>965</v>
      </c>
      <c r="P68" s="47" t="s">
        <v>965</v>
      </c>
      <c r="Q68" s="47" t="s">
        <v>965</v>
      </c>
      <c r="R68" s="47" t="s">
        <v>965</v>
      </c>
      <c r="S68" s="47" t="s">
        <v>965</v>
      </c>
      <c r="T68" s="47" t="s">
        <v>965</v>
      </c>
      <c r="U68" s="47" t="s">
        <v>965</v>
      </c>
      <c r="V68" s="47" t="s">
        <v>965</v>
      </c>
      <c r="W68" s="47" t="s">
        <v>965</v>
      </c>
      <c r="X68" s="47" t="s">
        <v>965</v>
      </c>
      <c r="Y68" s="47" t="s">
        <v>965</v>
      </c>
      <c r="Z68" s="47" t="s">
        <v>965</v>
      </c>
      <c r="AA68" s="47" t="s">
        <v>965</v>
      </c>
      <c r="AB68" s="47" t="s">
        <v>965</v>
      </c>
      <c r="AC68" s="47" t="s">
        <v>965</v>
      </c>
      <c r="AD68" s="47" t="s">
        <v>965</v>
      </c>
      <c r="AE68" s="47" t="s">
        <v>965</v>
      </c>
      <c r="AF68" s="47" t="s">
        <v>965</v>
      </c>
      <c r="AG68" s="47" t="s">
        <v>965</v>
      </c>
      <c r="AH68" s="47" t="s">
        <v>965</v>
      </c>
      <c r="AI68" s="47" t="s">
        <v>965</v>
      </c>
      <c r="AJ68" s="47" t="s">
        <v>965</v>
      </c>
      <c r="AK68" s="47" t="s">
        <v>965</v>
      </c>
      <c r="AL68" s="47" t="s">
        <v>965</v>
      </c>
      <c r="AM68" s="47" t="s">
        <v>965</v>
      </c>
      <c r="AN68" s="47" t="s">
        <v>965</v>
      </c>
      <c r="AO68" s="47" t="s">
        <v>965</v>
      </c>
      <c r="AP68" s="47" t="s">
        <v>965</v>
      </c>
      <c r="AQ68" s="47" t="s">
        <v>965</v>
      </c>
      <c r="AR68" s="47" t="s">
        <v>965</v>
      </c>
      <c r="AS68" s="47" t="s">
        <v>965</v>
      </c>
      <c r="AT68" s="47" t="s">
        <v>965</v>
      </c>
      <c r="AU68" s="47" t="s">
        <v>965</v>
      </c>
      <c r="AV68" s="47" t="s">
        <v>965</v>
      </c>
      <c r="AW68" s="47" t="s">
        <v>965</v>
      </c>
      <c r="AX68" s="47" t="s">
        <v>965</v>
      </c>
      <c r="AY68" s="47" t="s">
        <v>965</v>
      </c>
      <c r="AZ68" s="47" t="s">
        <v>965</v>
      </c>
      <c r="BA68" s="47" t="s">
        <v>965</v>
      </c>
      <c r="BB68" s="47" t="s">
        <v>965</v>
      </c>
      <c r="BC68" s="47" t="s">
        <v>833</v>
      </c>
      <c r="BD68" s="47" t="s">
        <v>965</v>
      </c>
      <c r="BE68" s="47" t="s">
        <v>835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30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30</v>
      </c>
      <c r="BR68" s="47">
        <v>0</v>
      </c>
      <c r="BS68" s="47">
        <v>0</v>
      </c>
      <c r="BT68" s="47">
        <v>30</v>
      </c>
      <c r="BU68" s="47">
        <v>30</v>
      </c>
      <c r="BV68" s="52">
        <f t="shared" si="1"/>
        <v>1</v>
      </c>
      <c r="BW68" s="50"/>
    </row>
    <row r="69" spans="1:75" x14ac:dyDescent="0.2">
      <c r="A69" s="47">
        <v>2025</v>
      </c>
      <c r="B69" s="47" t="s">
        <v>958</v>
      </c>
      <c r="C69" s="47" t="s">
        <v>973</v>
      </c>
      <c r="D69" s="47" t="s">
        <v>1065</v>
      </c>
      <c r="E69" s="48" t="s">
        <v>843</v>
      </c>
      <c r="F69" s="48" t="s">
        <v>628</v>
      </c>
      <c r="G69" s="51"/>
      <c r="H69" s="47"/>
      <c r="I69" s="47"/>
      <c r="J69" s="47"/>
      <c r="K69" s="47" t="s">
        <v>833</v>
      </c>
      <c r="L69" s="47" t="s">
        <v>963</v>
      </c>
      <c r="M69" s="47" t="s">
        <v>849</v>
      </c>
      <c r="N69" s="47" t="s">
        <v>834</v>
      </c>
      <c r="O69" s="47" t="s">
        <v>965</v>
      </c>
      <c r="P69" s="47" t="s">
        <v>965</v>
      </c>
      <c r="Q69" s="47" t="s">
        <v>965</v>
      </c>
      <c r="R69" s="47" t="s">
        <v>965</v>
      </c>
      <c r="S69" s="47" t="s">
        <v>965</v>
      </c>
      <c r="T69" s="47" t="s">
        <v>965</v>
      </c>
      <c r="U69" s="47" t="s">
        <v>965</v>
      </c>
      <c r="V69" s="47" t="s">
        <v>965</v>
      </c>
      <c r="W69" s="47" t="s">
        <v>965</v>
      </c>
      <c r="X69" s="47" t="s">
        <v>965</v>
      </c>
      <c r="Y69" s="47" t="s">
        <v>965</v>
      </c>
      <c r="Z69" s="47" t="s">
        <v>965</v>
      </c>
      <c r="AA69" s="47" t="s">
        <v>965</v>
      </c>
      <c r="AB69" s="47" t="s">
        <v>965</v>
      </c>
      <c r="AC69" s="47" t="s">
        <v>965</v>
      </c>
      <c r="AD69" s="47" t="s">
        <v>965</v>
      </c>
      <c r="AE69" s="47" t="s">
        <v>965</v>
      </c>
      <c r="AF69" s="47" t="s">
        <v>965</v>
      </c>
      <c r="AG69" s="47" t="s">
        <v>965</v>
      </c>
      <c r="AH69" s="47" t="s">
        <v>965</v>
      </c>
      <c r="AI69" s="47" t="s">
        <v>965</v>
      </c>
      <c r="AJ69" s="47" t="s">
        <v>965</v>
      </c>
      <c r="AK69" s="47" t="s">
        <v>965</v>
      </c>
      <c r="AL69" s="47" t="s">
        <v>965</v>
      </c>
      <c r="AM69" s="47" t="s">
        <v>965</v>
      </c>
      <c r="AN69" s="47" t="s">
        <v>965</v>
      </c>
      <c r="AO69" s="47" t="s">
        <v>965</v>
      </c>
      <c r="AP69" s="47" t="s">
        <v>965</v>
      </c>
      <c r="AQ69" s="47" t="s">
        <v>965</v>
      </c>
      <c r="AR69" s="47" t="s">
        <v>965</v>
      </c>
      <c r="AS69" s="47" t="s">
        <v>965</v>
      </c>
      <c r="AT69" s="47" t="s">
        <v>965</v>
      </c>
      <c r="AU69" s="47" t="s">
        <v>965</v>
      </c>
      <c r="AV69" s="47" t="s">
        <v>965</v>
      </c>
      <c r="AW69" s="47" t="s">
        <v>965</v>
      </c>
      <c r="AX69" s="47" t="s">
        <v>965</v>
      </c>
      <c r="AY69" s="47" t="s">
        <v>965</v>
      </c>
      <c r="AZ69" s="47" t="s">
        <v>965</v>
      </c>
      <c r="BA69" s="47" t="s">
        <v>965</v>
      </c>
      <c r="BB69" s="47" t="s">
        <v>965</v>
      </c>
      <c r="BC69" s="47" t="s">
        <v>965</v>
      </c>
      <c r="BD69" s="47" t="s">
        <v>965</v>
      </c>
      <c r="BE69" s="47" t="s">
        <v>835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32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32</v>
      </c>
      <c r="BR69" s="47">
        <v>0</v>
      </c>
      <c r="BS69" s="47">
        <v>2</v>
      </c>
      <c r="BT69" s="47">
        <v>34</v>
      </c>
      <c r="BU69" s="47">
        <v>23</v>
      </c>
      <c r="BV69" s="52">
        <f t="shared" si="1"/>
        <v>0.67647058823529416</v>
      </c>
      <c r="BW69" s="50"/>
    </row>
    <row r="70" spans="1:75" x14ac:dyDescent="0.2">
      <c r="A70" s="47">
        <v>2025</v>
      </c>
      <c r="B70" s="47" t="s">
        <v>958</v>
      </c>
      <c r="C70" s="47" t="s">
        <v>1034</v>
      </c>
      <c r="D70" s="47" t="s">
        <v>1066</v>
      </c>
      <c r="E70" s="48" t="s">
        <v>843</v>
      </c>
      <c r="F70" s="48" t="s">
        <v>628</v>
      </c>
      <c r="G70" s="51"/>
      <c r="H70" s="47"/>
      <c r="I70" s="47"/>
      <c r="J70" s="47"/>
      <c r="K70" s="47" t="s">
        <v>833</v>
      </c>
      <c r="L70" s="47" t="s">
        <v>963</v>
      </c>
      <c r="M70" s="47" t="s">
        <v>849</v>
      </c>
      <c r="N70" s="47" t="s">
        <v>834</v>
      </c>
      <c r="O70" s="47" t="s">
        <v>965</v>
      </c>
      <c r="P70" s="47" t="s">
        <v>965</v>
      </c>
      <c r="Q70" s="47" t="s">
        <v>965</v>
      </c>
      <c r="R70" s="47" t="s">
        <v>965</v>
      </c>
      <c r="S70" s="47" t="s">
        <v>965</v>
      </c>
      <c r="T70" s="47" t="s">
        <v>965</v>
      </c>
      <c r="U70" s="47" t="s">
        <v>965</v>
      </c>
      <c r="V70" s="47" t="s">
        <v>965</v>
      </c>
      <c r="W70" s="47" t="s">
        <v>965</v>
      </c>
      <c r="X70" s="47" t="s">
        <v>965</v>
      </c>
      <c r="Y70" s="47" t="s">
        <v>965</v>
      </c>
      <c r="Z70" s="47" t="s">
        <v>965</v>
      </c>
      <c r="AA70" s="47" t="s">
        <v>965</v>
      </c>
      <c r="AB70" s="47" t="s">
        <v>965</v>
      </c>
      <c r="AC70" s="47" t="s">
        <v>965</v>
      </c>
      <c r="AD70" s="47" t="s">
        <v>965</v>
      </c>
      <c r="AE70" s="47" t="s">
        <v>965</v>
      </c>
      <c r="AF70" s="47" t="s">
        <v>965</v>
      </c>
      <c r="AG70" s="47" t="s">
        <v>965</v>
      </c>
      <c r="AH70" s="47" t="s">
        <v>965</v>
      </c>
      <c r="AI70" s="47" t="s">
        <v>965</v>
      </c>
      <c r="AJ70" s="47" t="s">
        <v>965</v>
      </c>
      <c r="AK70" s="47" t="s">
        <v>965</v>
      </c>
      <c r="AL70" s="47" t="s">
        <v>965</v>
      </c>
      <c r="AM70" s="47" t="s">
        <v>965</v>
      </c>
      <c r="AN70" s="47" t="s">
        <v>965</v>
      </c>
      <c r="AO70" s="47" t="s">
        <v>965</v>
      </c>
      <c r="AP70" s="47" t="s">
        <v>965</v>
      </c>
      <c r="AQ70" s="47" t="s">
        <v>965</v>
      </c>
      <c r="AR70" s="47" t="s">
        <v>965</v>
      </c>
      <c r="AS70" s="47" t="s">
        <v>965</v>
      </c>
      <c r="AT70" s="47" t="s">
        <v>965</v>
      </c>
      <c r="AU70" s="47" t="s">
        <v>965</v>
      </c>
      <c r="AV70" s="47" t="s">
        <v>965</v>
      </c>
      <c r="AW70" s="47" t="s">
        <v>965</v>
      </c>
      <c r="AX70" s="47" t="s">
        <v>965</v>
      </c>
      <c r="AY70" s="47" t="s">
        <v>965</v>
      </c>
      <c r="AZ70" s="47" t="s">
        <v>965</v>
      </c>
      <c r="BA70" s="47" t="s">
        <v>965</v>
      </c>
      <c r="BB70" s="47" t="s">
        <v>965</v>
      </c>
      <c r="BC70" s="47" t="s">
        <v>965</v>
      </c>
      <c r="BD70" s="47" t="s">
        <v>965</v>
      </c>
      <c r="BE70" s="47" t="s">
        <v>835</v>
      </c>
      <c r="BF70" s="47">
        <v>6</v>
      </c>
      <c r="BG70" s="47">
        <v>2</v>
      </c>
      <c r="BH70" s="47">
        <v>0</v>
      </c>
      <c r="BI70" s="47">
        <v>0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6</v>
      </c>
      <c r="BR70" s="47">
        <v>0</v>
      </c>
      <c r="BS70" s="47">
        <v>0</v>
      </c>
      <c r="BT70" s="47">
        <v>6</v>
      </c>
      <c r="BU70" s="47">
        <v>2</v>
      </c>
      <c r="BV70" s="52">
        <f t="shared" si="1"/>
        <v>0.33333333333333331</v>
      </c>
      <c r="BW70" s="50"/>
    </row>
    <row r="71" spans="1:75" x14ac:dyDescent="0.2">
      <c r="A71" s="47">
        <v>2025</v>
      </c>
      <c r="B71" s="47" t="s">
        <v>958</v>
      </c>
      <c r="C71" s="47" t="s">
        <v>981</v>
      </c>
      <c r="D71" s="47" t="s">
        <v>1067</v>
      </c>
      <c r="E71" s="48" t="s">
        <v>843</v>
      </c>
      <c r="F71" s="48" t="s">
        <v>628</v>
      </c>
      <c r="G71" s="51"/>
      <c r="H71" s="47"/>
      <c r="I71" s="47"/>
      <c r="J71" s="47"/>
      <c r="K71" s="47" t="s">
        <v>833</v>
      </c>
      <c r="L71" s="47" t="s">
        <v>963</v>
      </c>
      <c r="M71" s="47" t="s">
        <v>849</v>
      </c>
      <c r="N71" s="47" t="s">
        <v>834</v>
      </c>
      <c r="O71" s="47" t="s">
        <v>833</v>
      </c>
      <c r="P71" s="47" t="s">
        <v>965</v>
      </c>
      <c r="Q71" s="47" t="s">
        <v>965</v>
      </c>
      <c r="R71" s="47" t="s">
        <v>965</v>
      </c>
      <c r="S71" s="47" t="s">
        <v>965</v>
      </c>
      <c r="T71" s="47" t="s">
        <v>965</v>
      </c>
      <c r="U71" s="47" t="s">
        <v>965</v>
      </c>
      <c r="V71" s="47" t="s">
        <v>965</v>
      </c>
      <c r="W71" s="47" t="s">
        <v>965</v>
      </c>
      <c r="X71" s="47" t="s">
        <v>965</v>
      </c>
      <c r="Y71" s="47" t="s">
        <v>965</v>
      </c>
      <c r="Z71" s="47" t="s">
        <v>965</v>
      </c>
      <c r="AA71" s="47" t="s">
        <v>965</v>
      </c>
      <c r="AB71" s="47" t="s">
        <v>965</v>
      </c>
      <c r="AC71" s="47" t="s">
        <v>965</v>
      </c>
      <c r="AD71" s="47" t="s">
        <v>965</v>
      </c>
      <c r="AE71" s="47" t="s">
        <v>965</v>
      </c>
      <c r="AF71" s="47" t="s">
        <v>965</v>
      </c>
      <c r="AG71" s="47" t="s">
        <v>965</v>
      </c>
      <c r="AH71" s="47" t="s">
        <v>965</v>
      </c>
      <c r="AI71" s="47" t="s">
        <v>965</v>
      </c>
      <c r="AJ71" s="47" t="s">
        <v>965</v>
      </c>
      <c r="AK71" s="47" t="s">
        <v>965</v>
      </c>
      <c r="AL71" s="47" t="s">
        <v>965</v>
      </c>
      <c r="AM71" s="47" t="s">
        <v>965</v>
      </c>
      <c r="AN71" s="47" t="s">
        <v>965</v>
      </c>
      <c r="AO71" s="47" t="s">
        <v>965</v>
      </c>
      <c r="AP71" s="47" t="s">
        <v>965</v>
      </c>
      <c r="AQ71" s="47" t="s">
        <v>965</v>
      </c>
      <c r="AR71" s="47" t="s">
        <v>965</v>
      </c>
      <c r="AS71" s="47" t="s">
        <v>965</v>
      </c>
      <c r="AT71" s="47" t="s">
        <v>965</v>
      </c>
      <c r="AU71" s="47" t="s">
        <v>965</v>
      </c>
      <c r="AV71" s="47" t="s">
        <v>965</v>
      </c>
      <c r="AW71" s="47" t="s">
        <v>965</v>
      </c>
      <c r="AX71" s="47" t="s">
        <v>965</v>
      </c>
      <c r="AY71" s="47" t="s">
        <v>965</v>
      </c>
      <c r="AZ71" s="47" t="s">
        <v>965</v>
      </c>
      <c r="BA71" s="47" t="s">
        <v>965</v>
      </c>
      <c r="BB71" s="47" t="s">
        <v>965</v>
      </c>
      <c r="BC71" s="47" t="s">
        <v>833</v>
      </c>
      <c r="BD71" s="47" t="s">
        <v>965</v>
      </c>
      <c r="BE71" s="47" t="s">
        <v>835</v>
      </c>
      <c r="BF71" s="47">
        <v>36</v>
      </c>
      <c r="BG71" s="47">
        <v>9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36</v>
      </c>
      <c r="BR71" s="47">
        <v>0</v>
      </c>
      <c r="BS71" s="47">
        <v>0</v>
      </c>
      <c r="BT71" s="47">
        <v>36</v>
      </c>
      <c r="BU71" s="47">
        <v>25</v>
      </c>
      <c r="BV71" s="52">
        <f t="shared" si="1"/>
        <v>0.69444444444444442</v>
      </c>
      <c r="BW71" s="50"/>
    </row>
    <row r="72" spans="1:75" x14ac:dyDescent="0.2">
      <c r="A72" s="47">
        <v>2025</v>
      </c>
      <c r="B72" s="47" t="s">
        <v>958</v>
      </c>
      <c r="C72" s="47" t="s">
        <v>1068</v>
      </c>
      <c r="D72" s="47" t="s">
        <v>958</v>
      </c>
      <c r="E72" s="48" t="s">
        <v>843</v>
      </c>
      <c r="F72" s="48" t="s">
        <v>628</v>
      </c>
      <c r="G72" s="51"/>
      <c r="H72" s="47"/>
      <c r="I72" s="47"/>
      <c r="J72" s="47"/>
      <c r="K72" s="47" t="s">
        <v>962</v>
      </c>
      <c r="L72" s="47" t="s">
        <v>963</v>
      </c>
      <c r="M72" s="47" t="s">
        <v>849</v>
      </c>
      <c r="N72" s="47" t="s">
        <v>964</v>
      </c>
      <c r="O72" s="47" t="s">
        <v>833</v>
      </c>
      <c r="P72" s="47" t="s">
        <v>965</v>
      </c>
      <c r="Q72" s="47" t="s">
        <v>965</v>
      </c>
      <c r="R72" s="47" t="s">
        <v>965</v>
      </c>
      <c r="S72" s="47" t="s">
        <v>965</v>
      </c>
      <c r="T72" s="47" t="s">
        <v>965</v>
      </c>
      <c r="U72" s="47" t="s">
        <v>965</v>
      </c>
      <c r="V72" s="47" t="s">
        <v>965</v>
      </c>
      <c r="W72" s="47" t="s">
        <v>965</v>
      </c>
      <c r="X72" s="47" t="s">
        <v>965</v>
      </c>
      <c r="Y72" s="47" t="s">
        <v>965</v>
      </c>
      <c r="Z72" s="47" t="s">
        <v>965</v>
      </c>
      <c r="AA72" s="47" t="s">
        <v>965</v>
      </c>
      <c r="AB72" s="47" t="s">
        <v>965</v>
      </c>
      <c r="AC72" s="47" t="s">
        <v>965</v>
      </c>
      <c r="AD72" s="47" t="s">
        <v>965</v>
      </c>
      <c r="AE72" s="47" t="s">
        <v>965</v>
      </c>
      <c r="AF72" s="47" t="s">
        <v>965</v>
      </c>
      <c r="AG72" s="47" t="s">
        <v>965</v>
      </c>
      <c r="AH72" s="47" t="s">
        <v>965</v>
      </c>
      <c r="AI72" s="47" t="s">
        <v>965</v>
      </c>
      <c r="AJ72" s="47" t="s">
        <v>965</v>
      </c>
      <c r="AK72" s="47" t="s">
        <v>965</v>
      </c>
      <c r="AL72" s="47" t="s">
        <v>965</v>
      </c>
      <c r="AM72" s="47" t="s">
        <v>965</v>
      </c>
      <c r="AN72" s="47" t="s">
        <v>965</v>
      </c>
      <c r="AO72" s="47" t="s">
        <v>965</v>
      </c>
      <c r="AP72" s="47" t="s">
        <v>965</v>
      </c>
      <c r="AQ72" s="47" t="s">
        <v>965</v>
      </c>
      <c r="AR72" s="47" t="s">
        <v>965</v>
      </c>
      <c r="AS72" s="47" t="s">
        <v>965</v>
      </c>
      <c r="AT72" s="47" t="s">
        <v>965</v>
      </c>
      <c r="AU72" s="47" t="s">
        <v>965</v>
      </c>
      <c r="AV72" s="47" t="s">
        <v>965</v>
      </c>
      <c r="AW72" s="47" t="s">
        <v>965</v>
      </c>
      <c r="AX72" s="47" t="s">
        <v>965</v>
      </c>
      <c r="AY72" s="47" t="s">
        <v>965</v>
      </c>
      <c r="AZ72" s="47" t="s">
        <v>965</v>
      </c>
      <c r="BA72" s="47" t="s">
        <v>965</v>
      </c>
      <c r="BB72" s="47" t="s">
        <v>965</v>
      </c>
      <c r="BC72" s="47" t="s">
        <v>965</v>
      </c>
      <c r="BD72" s="47" t="s">
        <v>833</v>
      </c>
      <c r="BE72" s="47" t="s">
        <v>835</v>
      </c>
      <c r="BF72" s="47">
        <v>47</v>
      </c>
      <c r="BG72" s="47">
        <v>12</v>
      </c>
      <c r="BH72" s="47">
        <v>0</v>
      </c>
      <c r="BI72" s="47">
        <v>0</v>
      </c>
      <c r="BJ72" s="47">
        <v>0</v>
      </c>
      <c r="BK72" s="47">
        <v>5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52</v>
      </c>
      <c r="BR72" s="47">
        <v>0</v>
      </c>
      <c r="BS72" s="47">
        <v>0</v>
      </c>
      <c r="BT72" s="47">
        <v>52</v>
      </c>
      <c r="BU72" s="47">
        <v>52</v>
      </c>
      <c r="BV72" s="52">
        <f t="shared" si="1"/>
        <v>1</v>
      </c>
      <c r="BW72" s="54">
        <v>0.69</v>
      </c>
    </row>
    <row r="73" spans="1:75" x14ac:dyDescent="0.2">
      <c r="A73" s="47">
        <v>2025</v>
      </c>
      <c r="B73" s="47" t="s">
        <v>958</v>
      </c>
      <c r="C73" s="47" t="s">
        <v>1069</v>
      </c>
      <c r="D73" s="47" t="s">
        <v>958</v>
      </c>
      <c r="E73" s="48" t="s">
        <v>843</v>
      </c>
      <c r="F73" s="48" t="s">
        <v>628</v>
      </c>
      <c r="G73" s="51"/>
      <c r="K73" s="47" t="s">
        <v>965</v>
      </c>
      <c r="L73" s="47" t="s">
        <v>963</v>
      </c>
      <c r="M73" s="47" t="s">
        <v>849</v>
      </c>
      <c r="N73" s="47" t="s">
        <v>834</v>
      </c>
      <c r="O73" s="47" t="s">
        <v>965</v>
      </c>
      <c r="P73" s="47" t="s">
        <v>965</v>
      </c>
      <c r="Q73" s="47" t="s">
        <v>965</v>
      </c>
      <c r="R73" s="47" t="s">
        <v>965</v>
      </c>
      <c r="S73" s="47" t="s">
        <v>965</v>
      </c>
      <c r="T73" s="47" t="s">
        <v>965</v>
      </c>
      <c r="U73" s="47" t="s">
        <v>965</v>
      </c>
      <c r="V73" s="47" t="s">
        <v>965</v>
      </c>
      <c r="W73" s="47" t="s">
        <v>965</v>
      </c>
      <c r="X73" s="47" t="s">
        <v>965</v>
      </c>
      <c r="Y73" s="47" t="s">
        <v>965</v>
      </c>
      <c r="Z73" s="47" t="s">
        <v>965</v>
      </c>
      <c r="AA73" s="47" t="s">
        <v>965</v>
      </c>
      <c r="AB73" s="47" t="s">
        <v>965</v>
      </c>
      <c r="AC73" s="47" t="s">
        <v>965</v>
      </c>
      <c r="AD73" s="47" t="s">
        <v>965</v>
      </c>
      <c r="AE73" s="47" t="s">
        <v>965</v>
      </c>
      <c r="AF73" s="47" t="s">
        <v>965</v>
      </c>
      <c r="AG73" s="47" t="s">
        <v>965</v>
      </c>
      <c r="AH73" s="47" t="s">
        <v>965</v>
      </c>
      <c r="AI73" s="47" t="s">
        <v>965</v>
      </c>
      <c r="AJ73" s="47" t="s">
        <v>965</v>
      </c>
      <c r="AK73" s="47" t="s">
        <v>965</v>
      </c>
      <c r="AL73" s="47" t="s">
        <v>965</v>
      </c>
      <c r="AM73" s="47" t="s">
        <v>965</v>
      </c>
      <c r="AN73" s="47" t="s">
        <v>965</v>
      </c>
      <c r="AO73" s="47" t="s">
        <v>965</v>
      </c>
      <c r="AP73" s="47" t="s">
        <v>965</v>
      </c>
      <c r="AQ73" s="47" t="s">
        <v>965</v>
      </c>
      <c r="AR73" s="47" t="s">
        <v>965</v>
      </c>
      <c r="AS73" s="47" t="s">
        <v>965</v>
      </c>
      <c r="AT73" s="47" t="s">
        <v>965</v>
      </c>
      <c r="AU73" s="47" t="s">
        <v>965</v>
      </c>
      <c r="AV73" s="47" t="s">
        <v>965</v>
      </c>
      <c r="AW73" s="47" t="s">
        <v>965</v>
      </c>
      <c r="AX73" s="47" t="s">
        <v>965</v>
      </c>
      <c r="AY73" s="47" t="s">
        <v>965</v>
      </c>
      <c r="AZ73" s="47" t="s">
        <v>965</v>
      </c>
      <c r="BA73" s="47" t="s">
        <v>965</v>
      </c>
      <c r="BB73" s="47" t="s">
        <v>965</v>
      </c>
      <c r="BC73" s="47" t="s">
        <v>965</v>
      </c>
      <c r="BD73" s="47" t="s">
        <v>965</v>
      </c>
      <c r="BE73" s="47" t="s">
        <v>835</v>
      </c>
      <c r="BF73" s="47">
        <v>2</v>
      </c>
      <c r="BG73" s="47">
        <v>1</v>
      </c>
      <c r="BH73" s="47">
        <v>0</v>
      </c>
      <c r="BI73" s="47">
        <v>0</v>
      </c>
      <c r="BJ73" s="47">
        <v>0</v>
      </c>
      <c r="BK73" s="47">
        <v>4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6</v>
      </c>
      <c r="BR73" s="47">
        <v>0</v>
      </c>
      <c r="BS73" s="47">
        <v>0</v>
      </c>
      <c r="BT73" s="47">
        <v>6</v>
      </c>
      <c r="BU73" s="47">
        <v>2</v>
      </c>
      <c r="BV73" s="52">
        <f t="shared" si="1"/>
        <v>0.33333333333333331</v>
      </c>
      <c r="BW73" s="54">
        <v>0.9</v>
      </c>
    </row>
    <row r="74" spans="1:75" x14ac:dyDescent="0.2">
      <c r="A74" s="47">
        <v>2025</v>
      </c>
      <c r="B74" s="47" t="s">
        <v>958</v>
      </c>
      <c r="C74" s="47" t="s">
        <v>991</v>
      </c>
      <c r="D74" s="47" t="s">
        <v>1070</v>
      </c>
      <c r="E74" s="48" t="s">
        <v>843</v>
      </c>
      <c r="F74" s="48" t="s">
        <v>628</v>
      </c>
      <c r="G74" s="51" t="s">
        <v>1071</v>
      </c>
      <c r="H74" s="35">
        <v>0.87</v>
      </c>
      <c r="I74" s="32">
        <v>0.16</v>
      </c>
      <c r="J74" s="32">
        <v>0.9</v>
      </c>
      <c r="K74" s="47" t="s">
        <v>833</v>
      </c>
      <c r="L74" s="47" t="s">
        <v>963</v>
      </c>
      <c r="M74" s="47" t="s">
        <v>849</v>
      </c>
      <c r="N74" s="47" t="s">
        <v>834</v>
      </c>
      <c r="O74" s="47" t="s">
        <v>965</v>
      </c>
      <c r="P74" s="47" t="s">
        <v>965</v>
      </c>
      <c r="Q74" s="47" t="s">
        <v>965</v>
      </c>
      <c r="R74" s="47" t="s">
        <v>965</v>
      </c>
      <c r="S74" s="47" t="s">
        <v>965</v>
      </c>
      <c r="T74" s="47" t="s">
        <v>965</v>
      </c>
      <c r="U74" s="47" t="s">
        <v>965</v>
      </c>
      <c r="V74" s="47" t="s">
        <v>965</v>
      </c>
      <c r="W74" s="47" t="s">
        <v>965</v>
      </c>
      <c r="X74" s="47" t="s">
        <v>965</v>
      </c>
      <c r="Y74" s="47" t="s">
        <v>965</v>
      </c>
      <c r="Z74" s="47" t="s">
        <v>965</v>
      </c>
      <c r="AA74" s="47" t="s">
        <v>965</v>
      </c>
      <c r="AB74" s="47" t="s">
        <v>965</v>
      </c>
      <c r="AC74" s="47" t="s">
        <v>965</v>
      </c>
      <c r="AD74" s="47" t="s">
        <v>965</v>
      </c>
      <c r="AE74" s="47" t="s">
        <v>965</v>
      </c>
      <c r="AF74" s="47" t="s">
        <v>965</v>
      </c>
      <c r="AG74" s="47" t="s">
        <v>965</v>
      </c>
      <c r="AH74" s="47" t="s">
        <v>965</v>
      </c>
      <c r="AI74" s="47" t="s">
        <v>965</v>
      </c>
      <c r="AJ74" s="47" t="s">
        <v>965</v>
      </c>
      <c r="AK74" s="47" t="s">
        <v>965</v>
      </c>
      <c r="AL74" s="47" t="s">
        <v>965</v>
      </c>
      <c r="AM74" s="47" t="s">
        <v>965</v>
      </c>
      <c r="AN74" s="47" t="s">
        <v>965</v>
      </c>
      <c r="AO74" s="47" t="s">
        <v>965</v>
      </c>
      <c r="AP74" s="47" t="s">
        <v>965</v>
      </c>
      <c r="AQ74" s="47" t="s">
        <v>965</v>
      </c>
      <c r="AR74" s="47" t="s">
        <v>965</v>
      </c>
      <c r="AS74" s="47" t="s">
        <v>965</v>
      </c>
      <c r="AT74" s="47" t="s">
        <v>965</v>
      </c>
      <c r="AU74" s="47" t="s">
        <v>965</v>
      </c>
      <c r="AV74" s="47" t="s">
        <v>965</v>
      </c>
      <c r="AW74" s="47" t="s">
        <v>965</v>
      </c>
      <c r="AX74" s="47" t="s">
        <v>965</v>
      </c>
      <c r="AY74" s="47" t="s">
        <v>965</v>
      </c>
      <c r="AZ74" s="47" t="s">
        <v>965</v>
      </c>
      <c r="BA74" s="47" t="s">
        <v>965</v>
      </c>
      <c r="BB74" s="47" t="s">
        <v>965</v>
      </c>
      <c r="BC74" s="47" t="s">
        <v>833</v>
      </c>
      <c r="BD74" s="47" t="s">
        <v>965</v>
      </c>
      <c r="BE74" s="47" t="s">
        <v>835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100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100</v>
      </c>
      <c r="BR74" s="47">
        <v>0</v>
      </c>
      <c r="BS74" s="47">
        <v>0</v>
      </c>
      <c r="BT74" s="47">
        <v>100</v>
      </c>
      <c r="BU74" s="47">
        <v>96</v>
      </c>
      <c r="BV74" s="52">
        <f t="shared" si="1"/>
        <v>0.96</v>
      </c>
      <c r="BW74" s="50"/>
    </row>
    <row r="75" spans="1:75" x14ac:dyDescent="0.2">
      <c r="A75" s="47"/>
      <c r="B75" s="47" t="s">
        <v>1072</v>
      </c>
      <c r="C75" s="47"/>
      <c r="D75" s="47" t="s">
        <v>468</v>
      </c>
      <c r="E75" s="48"/>
      <c r="F75" s="47" t="s">
        <v>15</v>
      </c>
      <c r="G75" s="47" t="s">
        <v>469</v>
      </c>
      <c r="H75" s="49">
        <v>0.86199999999999999</v>
      </c>
      <c r="I75" s="49">
        <v>0.38300000000000001</v>
      </c>
      <c r="J75" s="49">
        <v>0.48799999999999999</v>
      </c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 t="s">
        <v>1073</v>
      </c>
      <c r="BU75" s="47"/>
      <c r="BV75" s="47"/>
      <c r="BW75" s="54">
        <v>0.73</v>
      </c>
    </row>
    <row r="76" spans="1:75" x14ac:dyDescent="0.2">
      <c r="A76" s="47"/>
      <c r="B76" s="47" t="s">
        <v>406</v>
      </c>
      <c r="C76" s="47"/>
      <c r="D76" s="47" t="s">
        <v>778</v>
      </c>
      <c r="E76" s="48"/>
      <c r="F76" s="47" t="s">
        <v>242</v>
      </c>
      <c r="G76" s="47" t="s">
        <v>243</v>
      </c>
      <c r="H76" s="32">
        <v>0.78300000000000003</v>
      </c>
      <c r="I76" s="32">
        <v>0.80700000000000005</v>
      </c>
      <c r="J76" s="32">
        <v>9.5000000000000001E-2</v>
      </c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 t="s">
        <v>1074</v>
      </c>
      <c r="BU76" s="47"/>
      <c r="BV76" s="47"/>
      <c r="BW76" s="50"/>
    </row>
    <row r="77" spans="1:75" x14ac:dyDescent="0.2">
      <c r="A77" s="47"/>
      <c r="B77" s="47" t="s">
        <v>406</v>
      </c>
      <c r="C77" s="47"/>
      <c r="D77" s="47" t="s">
        <v>375</v>
      </c>
      <c r="E77" s="48"/>
      <c r="F77" s="47" t="s">
        <v>15</v>
      </c>
      <c r="G77" s="47" t="s">
        <v>210</v>
      </c>
      <c r="H77" s="32">
        <v>0.42399999999999999</v>
      </c>
      <c r="I77" s="49">
        <v>0.22700000000000001</v>
      </c>
      <c r="J77" s="49">
        <v>0.64500000000000002</v>
      </c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 t="s">
        <v>1075</v>
      </c>
      <c r="BU77" s="47"/>
      <c r="BV77" s="47"/>
      <c r="BW77" s="54">
        <v>0.64</v>
      </c>
    </row>
    <row r="78" spans="1:75" x14ac:dyDescent="0.2">
      <c r="A78" s="47"/>
      <c r="B78" s="47" t="s">
        <v>406</v>
      </c>
      <c r="C78" s="47"/>
      <c r="D78" s="47" t="s">
        <v>380</v>
      </c>
      <c r="E78" s="48"/>
      <c r="F78" s="47" t="s">
        <v>15</v>
      </c>
      <c r="G78" s="47" t="s">
        <v>134</v>
      </c>
      <c r="H78" s="32">
        <v>0.40300000000000002</v>
      </c>
      <c r="I78" s="32">
        <v>0.17899999999999999</v>
      </c>
      <c r="J78" s="32">
        <v>0.19600000000000001</v>
      </c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 t="s">
        <v>1076</v>
      </c>
      <c r="BU78" s="47"/>
      <c r="BV78" s="47"/>
      <c r="BW78" s="50"/>
    </row>
    <row r="79" spans="1:75" x14ac:dyDescent="0.2">
      <c r="A79" s="47"/>
      <c r="B79" s="47" t="s">
        <v>406</v>
      </c>
      <c r="C79" s="47"/>
      <c r="D79" s="47" t="s">
        <v>381</v>
      </c>
      <c r="E79" s="48"/>
      <c r="F79" s="47" t="s">
        <v>15</v>
      </c>
      <c r="G79" s="47" t="s">
        <v>134</v>
      </c>
      <c r="H79" s="49">
        <v>0.40300000000000002</v>
      </c>
      <c r="I79" s="49">
        <v>0.17899999999999999</v>
      </c>
      <c r="J79" s="49">
        <v>0.19600000000000001</v>
      </c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 t="s">
        <v>1075</v>
      </c>
      <c r="BU79" s="47"/>
      <c r="BV79" s="47"/>
      <c r="BW79" s="54">
        <v>0.73</v>
      </c>
    </row>
    <row r="80" spans="1:75" x14ac:dyDescent="0.2">
      <c r="A80" s="47"/>
      <c r="B80" s="47" t="s">
        <v>406</v>
      </c>
      <c r="C80" s="47"/>
      <c r="D80" s="47" t="s">
        <v>382</v>
      </c>
      <c r="E80" s="48"/>
      <c r="F80" s="47" t="s">
        <v>15</v>
      </c>
      <c r="G80" s="6" t="s">
        <v>134</v>
      </c>
      <c r="H80" s="32">
        <v>0.40300000000000002</v>
      </c>
      <c r="I80" s="32">
        <v>0.17899999999999999</v>
      </c>
      <c r="J80" s="32">
        <v>0.19600000000000001</v>
      </c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 t="s">
        <v>1076</v>
      </c>
      <c r="BU80" s="47"/>
      <c r="BV80" s="47"/>
      <c r="BW80" s="54">
        <v>0.48</v>
      </c>
    </row>
    <row r="81" spans="1:75" x14ac:dyDescent="0.2">
      <c r="A81" s="47"/>
      <c r="B81" s="47" t="s">
        <v>406</v>
      </c>
      <c r="C81" s="47"/>
      <c r="D81" s="47" t="s">
        <v>386</v>
      </c>
      <c r="E81" s="48"/>
      <c r="F81" s="47" t="s">
        <v>15</v>
      </c>
      <c r="G81" s="47" t="s">
        <v>387</v>
      </c>
      <c r="H81" s="32">
        <v>0.95</v>
      </c>
      <c r="I81" s="32">
        <v>5.6000000000000001E-2</v>
      </c>
      <c r="J81" s="32">
        <v>0.81299999999999994</v>
      </c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 t="s">
        <v>1075</v>
      </c>
      <c r="BU81" s="47"/>
      <c r="BV81" s="47"/>
      <c r="BW81" s="54">
        <v>0.73</v>
      </c>
    </row>
    <row r="82" spans="1:75" x14ac:dyDescent="0.2">
      <c r="A82" s="47"/>
      <c r="B82" s="47" t="s">
        <v>406</v>
      </c>
      <c r="C82" s="47"/>
      <c r="D82" s="47" t="s">
        <v>412</v>
      </c>
      <c r="E82" s="48"/>
      <c r="F82" s="47" t="s">
        <v>15</v>
      </c>
      <c r="G82" s="47" t="s">
        <v>413</v>
      </c>
      <c r="H82" s="32">
        <v>0.46</v>
      </c>
      <c r="I82" s="32">
        <v>8.5999999999999993E-2</v>
      </c>
      <c r="J82" s="32">
        <v>0.94099999999999995</v>
      </c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 t="s">
        <v>1077</v>
      </c>
      <c r="BU82" s="47"/>
      <c r="BV82" s="47"/>
      <c r="BW82" s="50"/>
    </row>
    <row r="83" spans="1:75" x14ac:dyDescent="0.2">
      <c r="A83" s="47"/>
      <c r="B83" s="47" t="s">
        <v>406</v>
      </c>
      <c r="C83" s="47"/>
      <c r="D83" s="47" t="s">
        <v>248</v>
      </c>
      <c r="E83" s="48"/>
      <c r="F83" s="47" t="s">
        <v>15</v>
      </c>
      <c r="G83" s="47" t="s">
        <v>50</v>
      </c>
      <c r="H83" s="49">
        <v>0.76700000000000002</v>
      </c>
      <c r="I83" s="49">
        <v>0.214</v>
      </c>
      <c r="J83" s="49">
        <v>0.98399999999999999</v>
      </c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 t="s">
        <v>1078</v>
      </c>
      <c r="BU83" s="47"/>
      <c r="BV83" s="47"/>
      <c r="BW83" s="50"/>
    </row>
    <row r="84" spans="1:75" x14ac:dyDescent="0.2">
      <c r="A84" s="47"/>
      <c r="B84" s="47" t="s">
        <v>406</v>
      </c>
      <c r="C84" s="47"/>
      <c r="D84" s="47" t="s">
        <v>454</v>
      </c>
      <c r="E84" s="48"/>
      <c r="F84" s="47" t="s">
        <v>15</v>
      </c>
      <c r="G84" s="47" t="s">
        <v>72</v>
      </c>
      <c r="H84" s="49">
        <v>9.4E-2</v>
      </c>
      <c r="I84" s="49">
        <v>0.33800000000000002</v>
      </c>
      <c r="J84" s="49">
        <v>0.59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 t="s">
        <v>1078</v>
      </c>
      <c r="BU84" s="47"/>
      <c r="BV84" s="47"/>
      <c r="BW84" s="50"/>
    </row>
    <row r="85" spans="1:75" x14ac:dyDescent="0.2">
      <c r="A85" s="47"/>
      <c r="B85" s="47" t="s">
        <v>406</v>
      </c>
      <c r="C85" s="47"/>
      <c r="D85" s="47" t="s">
        <v>459</v>
      </c>
      <c r="E85" s="48"/>
      <c r="F85" s="47" t="s">
        <v>15</v>
      </c>
      <c r="G85" s="47" t="s">
        <v>50</v>
      </c>
      <c r="H85" s="49">
        <v>0.76700000000000002</v>
      </c>
      <c r="I85" s="49">
        <v>0.214</v>
      </c>
      <c r="J85" s="49">
        <v>0.98399999999999999</v>
      </c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 t="s">
        <v>1079</v>
      </c>
      <c r="BU85" s="47"/>
      <c r="BV85" s="47"/>
      <c r="BW85" s="50"/>
    </row>
    <row r="86" spans="1:75" x14ac:dyDescent="0.2">
      <c r="A86" s="47"/>
      <c r="B86" s="47" t="s">
        <v>406</v>
      </c>
      <c r="C86" s="47"/>
      <c r="D86" s="47" t="s">
        <v>476</v>
      </c>
      <c r="E86" s="48"/>
      <c r="F86" s="47" t="s">
        <v>15</v>
      </c>
      <c r="G86" s="47" t="s">
        <v>477</v>
      </c>
      <c r="H86" s="49">
        <v>0.16900000000000001</v>
      </c>
      <c r="I86" s="49">
        <v>0.29699999999999999</v>
      </c>
      <c r="J86" s="49">
        <v>0.93700000000000006</v>
      </c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 t="s">
        <v>1080</v>
      </c>
      <c r="BU86" s="47"/>
      <c r="BV86" s="47"/>
      <c r="BW86" s="50"/>
    </row>
    <row r="87" spans="1:75" x14ac:dyDescent="0.2">
      <c r="A87" s="47"/>
      <c r="B87" s="47" t="s">
        <v>406</v>
      </c>
      <c r="C87" s="47"/>
      <c r="D87" s="47" t="s">
        <v>1081</v>
      </c>
      <c r="E87" s="48"/>
      <c r="F87" s="47" t="s">
        <v>15</v>
      </c>
      <c r="G87" s="47" t="s">
        <v>306</v>
      </c>
      <c r="H87" s="49">
        <v>0.13100000000000001</v>
      </c>
      <c r="I87" s="49">
        <v>0.254</v>
      </c>
      <c r="J87" s="49">
        <v>0.86199999999999999</v>
      </c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 t="s">
        <v>1082</v>
      </c>
      <c r="BU87" s="47"/>
      <c r="BV87" s="47"/>
      <c r="BW87" s="50"/>
    </row>
    <row r="88" spans="1:75" x14ac:dyDescent="0.2">
      <c r="A88" s="47"/>
      <c r="B88" s="47" t="s">
        <v>406</v>
      </c>
      <c r="C88" s="47"/>
      <c r="D88" s="47" t="s">
        <v>1083</v>
      </c>
      <c r="E88" s="48"/>
      <c r="F88" s="47" t="s">
        <v>15</v>
      </c>
      <c r="G88" s="47" t="s">
        <v>804</v>
      </c>
      <c r="H88" s="49"/>
      <c r="I88" s="49"/>
      <c r="J88" s="49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 t="s">
        <v>1084</v>
      </c>
      <c r="BU88" s="47"/>
      <c r="BV88" s="47"/>
      <c r="BW88" s="50"/>
    </row>
    <row r="89" spans="1:75" x14ac:dyDescent="0.2">
      <c r="A89" s="47"/>
      <c r="B89" s="47" t="s">
        <v>406</v>
      </c>
      <c r="C89" s="47"/>
      <c r="D89" s="47" t="s">
        <v>133</v>
      </c>
      <c r="E89" s="48"/>
      <c r="F89" s="47" t="s">
        <v>15</v>
      </c>
      <c r="G89" s="47" t="s">
        <v>134</v>
      </c>
      <c r="H89" s="49">
        <v>0.40300000000000002</v>
      </c>
      <c r="I89" s="49">
        <v>0.17899999999999999</v>
      </c>
      <c r="J89" s="49">
        <v>0.19600000000000001</v>
      </c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 t="s">
        <v>1085</v>
      </c>
      <c r="BU89" s="47"/>
      <c r="BV89" s="47"/>
      <c r="BW89" s="50"/>
    </row>
    <row r="90" spans="1:75" x14ac:dyDescent="0.2">
      <c r="A90" s="47"/>
      <c r="B90" s="47" t="s">
        <v>406</v>
      </c>
      <c r="C90" s="47"/>
      <c r="D90" s="47" t="s">
        <v>1086</v>
      </c>
      <c r="E90" s="48"/>
      <c r="F90" s="47" t="s">
        <v>15</v>
      </c>
      <c r="G90" s="47" t="s">
        <v>118</v>
      </c>
      <c r="H90" s="49">
        <v>0.79700000000000004</v>
      </c>
      <c r="I90" s="49">
        <v>8.2000000000000003E-2</v>
      </c>
      <c r="J90" s="49">
        <v>0.73799999999999999</v>
      </c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 t="s">
        <v>1087</v>
      </c>
      <c r="BU90" s="47"/>
      <c r="BV90" s="47"/>
      <c r="BW90" s="50"/>
    </row>
    <row r="91" spans="1:75" x14ac:dyDescent="0.2">
      <c r="A91" s="47"/>
      <c r="B91" s="47" t="s">
        <v>406</v>
      </c>
      <c r="C91" s="47"/>
      <c r="D91" s="47" t="s">
        <v>209</v>
      </c>
      <c r="E91" s="48"/>
      <c r="F91" s="47" t="s">
        <v>15</v>
      </c>
      <c r="G91" s="47" t="s">
        <v>210</v>
      </c>
      <c r="H91" s="49">
        <v>0.42399999999999999</v>
      </c>
      <c r="I91" s="49">
        <v>0.22700000000000001</v>
      </c>
      <c r="J91" s="49">
        <v>0.64500000000000002</v>
      </c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 t="s">
        <v>1075</v>
      </c>
      <c r="BU91" s="47"/>
      <c r="BV91" s="47"/>
      <c r="BW91" s="50"/>
    </row>
    <row r="92" spans="1:75" x14ac:dyDescent="0.2">
      <c r="A92" s="47"/>
      <c r="B92" s="47" t="s">
        <v>406</v>
      </c>
      <c r="C92" s="47"/>
      <c r="D92" s="47" t="s">
        <v>320</v>
      </c>
      <c r="E92" s="48"/>
      <c r="F92" s="47" t="s">
        <v>15</v>
      </c>
      <c r="G92" s="47" t="s">
        <v>118</v>
      </c>
      <c r="H92" s="49">
        <v>0.79700000000000004</v>
      </c>
      <c r="I92" s="49">
        <v>8.2000000000000003E-2</v>
      </c>
      <c r="J92" s="49">
        <v>0.73799999999999999</v>
      </c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 t="s">
        <v>1088</v>
      </c>
      <c r="BU92" s="47"/>
      <c r="BV92" s="47"/>
      <c r="BW92" s="54">
        <v>0.3</v>
      </c>
    </row>
    <row r="93" spans="1:75" x14ac:dyDescent="0.2">
      <c r="A93" s="47"/>
      <c r="B93" s="47" t="s">
        <v>406</v>
      </c>
      <c r="C93" s="47"/>
      <c r="D93" s="47" t="s">
        <v>239</v>
      </c>
      <c r="E93" s="48"/>
      <c r="F93" s="47" t="s">
        <v>15</v>
      </c>
      <c r="G93" s="47" t="s">
        <v>28</v>
      </c>
      <c r="H93" s="32">
        <v>0.76200000000000001</v>
      </c>
      <c r="I93" s="32">
        <v>0.01</v>
      </c>
      <c r="J93" s="32">
        <v>0.95799999999999996</v>
      </c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 t="s">
        <v>1089</v>
      </c>
      <c r="BU93" s="47"/>
      <c r="BV93" s="47"/>
      <c r="BW93" s="54">
        <v>0.4</v>
      </c>
    </row>
    <row r="94" spans="1:75" x14ac:dyDescent="0.2">
      <c r="A94" s="47"/>
      <c r="B94" s="47" t="s">
        <v>406</v>
      </c>
      <c r="C94" s="47"/>
      <c r="D94" s="47" t="s">
        <v>499</v>
      </c>
      <c r="E94" s="48"/>
      <c r="F94" s="47" t="s">
        <v>15</v>
      </c>
      <c r="G94" s="47" t="s">
        <v>500</v>
      </c>
      <c r="H94" s="32">
        <v>0.79100000000000004</v>
      </c>
      <c r="I94" s="32">
        <v>0.35299999999999998</v>
      </c>
      <c r="J94" s="32">
        <v>0.60599999999999998</v>
      </c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 t="s">
        <v>1075</v>
      </c>
      <c r="BU94" s="47"/>
      <c r="BV94" s="47"/>
      <c r="BW94" s="54">
        <v>0.4</v>
      </c>
    </row>
    <row r="95" spans="1:75" x14ac:dyDescent="0.2">
      <c r="A95" s="47"/>
      <c r="B95" s="47" t="s">
        <v>406</v>
      </c>
      <c r="C95" s="47"/>
      <c r="D95" s="47" t="s">
        <v>878</v>
      </c>
      <c r="E95" s="48"/>
      <c r="F95" s="47" t="s">
        <v>15</v>
      </c>
      <c r="G95" s="47" t="s">
        <v>804</v>
      </c>
      <c r="H95" s="32"/>
      <c r="I95" s="32"/>
      <c r="J95" s="32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 t="s">
        <v>1090</v>
      </c>
      <c r="BU95" s="47"/>
      <c r="BV95" s="47"/>
      <c r="BW95" s="50"/>
    </row>
    <row r="96" spans="1:75" x14ac:dyDescent="0.2">
      <c r="A96" s="47"/>
      <c r="B96" s="47" t="s">
        <v>406</v>
      </c>
      <c r="C96" s="47"/>
      <c r="D96" s="47" t="s">
        <v>528</v>
      </c>
      <c r="E96" s="48"/>
      <c r="F96" s="47" t="s">
        <v>15</v>
      </c>
      <c r="G96" s="47" t="s">
        <v>28</v>
      </c>
      <c r="H96" s="49">
        <v>0.76200000000000001</v>
      </c>
      <c r="I96" s="49">
        <v>0.01</v>
      </c>
      <c r="J96" s="49">
        <v>0.95799999999999996</v>
      </c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 t="s">
        <v>1091</v>
      </c>
      <c r="BU96" s="47"/>
      <c r="BV96" s="47"/>
      <c r="BW96" s="50"/>
    </row>
    <row r="97" spans="1:75" x14ac:dyDescent="0.2">
      <c r="A97" s="47"/>
      <c r="B97" s="47" t="s">
        <v>406</v>
      </c>
      <c r="C97" s="47"/>
      <c r="D97" s="47" t="s">
        <v>539</v>
      </c>
      <c r="E97" s="48"/>
      <c r="F97" s="47" t="s">
        <v>15</v>
      </c>
      <c r="G97" s="47" t="s">
        <v>387</v>
      </c>
      <c r="H97" s="49">
        <v>0.95</v>
      </c>
      <c r="I97" s="49">
        <v>5.6000000000000001E-2</v>
      </c>
      <c r="J97" s="49">
        <v>0.81299999999999994</v>
      </c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 t="s">
        <v>1092</v>
      </c>
      <c r="BU97" s="47"/>
      <c r="BV97" s="47"/>
      <c r="BW97" s="50"/>
    </row>
    <row r="98" spans="1:75" x14ac:dyDescent="0.2">
      <c r="A98" s="47"/>
      <c r="B98" s="47" t="s">
        <v>406</v>
      </c>
      <c r="C98" s="47"/>
      <c r="D98" s="47" t="s">
        <v>1093</v>
      </c>
      <c r="E98" s="48"/>
      <c r="F98" s="47" t="s">
        <v>15</v>
      </c>
      <c r="G98" s="47" t="s">
        <v>387</v>
      </c>
      <c r="H98" s="49">
        <v>0.95</v>
      </c>
      <c r="I98" s="49">
        <v>5.6000000000000001E-2</v>
      </c>
      <c r="J98" s="49">
        <v>0.81299999999999994</v>
      </c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 t="s">
        <v>1094</v>
      </c>
      <c r="BU98" s="47"/>
      <c r="BV98" s="47"/>
      <c r="BW98" s="50"/>
    </row>
    <row r="99" spans="1:75" x14ac:dyDescent="0.2">
      <c r="A99" s="47"/>
      <c r="B99" s="47" t="s">
        <v>406</v>
      </c>
      <c r="C99" s="47"/>
      <c r="D99" s="47" t="s">
        <v>545</v>
      </c>
      <c r="E99" s="48"/>
      <c r="F99" s="47" t="s">
        <v>15</v>
      </c>
      <c r="G99" s="47" t="s">
        <v>546</v>
      </c>
      <c r="H99" s="49">
        <v>0.57899999999999996</v>
      </c>
      <c r="I99" s="49">
        <v>0.11700000000000001</v>
      </c>
      <c r="J99" s="49">
        <v>0.88900000000000001</v>
      </c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 t="s">
        <v>1095</v>
      </c>
      <c r="BU99" s="47"/>
      <c r="BV99" s="47"/>
      <c r="BW99" s="54">
        <v>0.45</v>
      </c>
    </row>
    <row r="100" spans="1:75" x14ac:dyDescent="0.2">
      <c r="A100" s="47"/>
      <c r="B100" s="47" t="s">
        <v>406</v>
      </c>
      <c r="C100" s="47"/>
      <c r="D100" s="47" t="s">
        <v>560</v>
      </c>
      <c r="E100" s="48"/>
      <c r="F100" s="47" t="s">
        <v>15</v>
      </c>
      <c r="G100" s="47" t="s">
        <v>210</v>
      </c>
      <c r="H100" s="32">
        <v>0.42399999999999999</v>
      </c>
      <c r="I100" s="32">
        <v>0.22700000000000001</v>
      </c>
      <c r="J100" s="32">
        <v>0.64500000000000002</v>
      </c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 t="s">
        <v>1096</v>
      </c>
      <c r="BU100" s="47"/>
      <c r="BV100" s="47"/>
      <c r="BW100" s="50"/>
    </row>
    <row r="101" spans="1:75" x14ac:dyDescent="0.2">
      <c r="A101" s="47"/>
      <c r="B101" s="47" t="s">
        <v>406</v>
      </c>
      <c r="C101" s="47"/>
      <c r="D101" s="47" t="s">
        <v>561</v>
      </c>
      <c r="E101" s="48"/>
      <c r="F101" s="47" t="s">
        <v>15</v>
      </c>
      <c r="G101" s="47" t="s">
        <v>210</v>
      </c>
      <c r="H101" s="49">
        <v>0.42399999999999999</v>
      </c>
      <c r="I101" s="49">
        <v>0.22700000000000001</v>
      </c>
      <c r="J101" s="49">
        <v>0.64500000000000002</v>
      </c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 t="s">
        <v>1097</v>
      </c>
      <c r="BU101" s="47"/>
      <c r="BV101" s="47"/>
      <c r="BW101" s="54">
        <v>0.66</v>
      </c>
    </row>
    <row r="102" spans="1:75" x14ac:dyDescent="0.2">
      <c r="A102" s="47"/>
      <c r="B102" s="47" t="s">
        <v>406</v>
      </c>
      <c r="C102" s="47"/>
      <c r="D102" s="47" t="s">
        <v>1098</v>
      </c>
      <c r="E102" s="48"/>
      <c r="F102" s="47" t="s">
        <v>15</v>
      </c>
      <c r="G102" s="47" t="s">
        <v>28</v>
      </c>
      <c r="H102" s="32">
        <v>0.76200000000000001</v>
      </c>
      <c r="I102" s="32">
        <v>0.01</v>
      </c>
      <c r="J102" s="32">
        <v>0.95799999999999996</v>
      </c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 t="s">
        <v>1099</v>
      </c>
      <c r="BU102" s="47"/>
      <c r="BV102" s="47"/>
      <c r="BW102" s="50"/>
    </row>
    <row r="103" spans="1:75" x14ac:dyDescent="0.2">
      <c r="A103" s="47"/>
      <c r="B103" s="47" t="s">
        <v>406</v>
      </c>
      <c r="C103" s="47"/>
      <c r="D103" s="47" t="s">
        <v>632</v>
      </c>
      <c r="E103" s="48"/>
      <c r="F103" s="47" t="s">
        <v>15</v>
      </c>
      <c r="G103" s="47" t="s">
        <v>118</v>
      </c>
      <c r="H103" s="49">
        <v>0.79700000000000004</v>
      </c>
      <c r="I103" s="49">
        <v>8.2000000000000003E-2</v>
      </c>
      <c r="J103" s="49">
        <v>0.73799999999999999</v>
      </c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 t="s">
        <v>1100</v>
      </c>
      <c r="BU103" s="47"/>
      <c r="BV103" s="47"/>
      <c r="BW103" s="50"/>
    </row>
    <row r="104" spans="1:75" x14ac:dyDescent="0.2">
      <c r="A104" s="47"/>
      <c r="B104" s="47" t="s">
        <v>406</v>
      </c>
      <c r="C104" s="47"/>
      <c r="D104" s="47" t="s">
        <v>658</v>
      </c>
      <c r="E104" s="48"/>
      <c r="F104" s="47" t="s">
        <v>15</v>
      </c>
      <c r="G104" s="47" t="s">
        <v>546</v>
      </c>
      <c r="H104" s="49">
        <v>0.57899999999999996</v>
      </c>
      <c r="I104" s="49">
        <v>0.11700000000000001</v>
      </c>
      <c r="J104" s="49">
        <v>0.88900000000000001</v>
      </c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 t="s">
        <v>1101</v>
      </c>
      <c r="BU104" s="47"/>
      <c r="BV104" s="47"/>
      <c r="BW104" s="50"/>
    </row>
    <row r="105" spans="1:75" x14ac:dyDescent="0.2">
      <c r="A105" s="47"/>
      <c r="B105" s="47" t="s">
        <v>406</v>
      </c>
      <c r="C105" s="47"/>
      <c r="D105" s="47" t="s">
        <v>659</v>
      </c>
      <c r="E105" s="48"/>
      <c r="F105" s="47" t="s">
        <v>15</v>
      </c>
      <c r="G105" s="47" t="s">
        <v>660</v>
      </c>
      <c r="H105" s="49">
        <v>0.64800000000000002</v>
      </c>
      <c r="I105" s="49">
        <v>0.123</v>
      </c>
      <c r="J105" s="49">
        <v>0.81599999999999995</v>
      </c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 t="s">
        <v>1102</v>
      </c>
      <c r="BU105" s="47"/>
      <c r="BV105" s="47"/>
      <c r="BW105" s="50"/>
    </row>
    <row r="106" spans="1:75" x14ac:dyDescent="0.2">
      <c r="A106" s="47"/>
      <c r="B106" s="47" t="s">
        <v>406</v>
      </c>
      <c r="C106" s="47"/>
      <c r="D106" s="47" t="s">
        <v>677</v>
      </c>
      <c r="E106" s="48"/>
      <c r="F106" s="47" t="s">
        <v>15</v>
      </c>
      <c r="G106" s="47" t="s">
        <v>804</v>
      </c>
      <c r="H106" s="49"/>
      <c r="I106" s="49"/>
      <c r="J106" s="49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 t="s">
        <v>1103</v>
      </c>
      <c r="BU106" s="47"/>
      <c r="BV106" s="47"/>
      <c r="BW106" s="50"/>
    </row>
    <row r="107" spans="1:75" x14ac:dyDescent="0.2">
      <c r="A107" s="47"/>
      <c r="B107" s="47" t="s">
        <v>406</v>
      </c>
      <c r="C107" s="47"/>
      <c r="D107" s="47" t="s">
        <v>681</v>
      </c>
      <c r="E107" s="48"/>
      <c r="F107" s="47" t="s">
        <v>15</v>
      </c>
      <c r="G107" s="47" t="s">
        <v>471</v>
      </c>
      <c r="H107" s="49">
        <v>0.94199999999999995</v>
      </c>
      <c r="I107" s="49">
        <v>4.8000000000000001E-2</v>
      </c>
      <c r="J107" s="49">
        <v>0.98899999999999999</v>
      </c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 t="s">
        <v>1103</v>
      </c>
      <c r="BU107" s="47"/>
      <c r="BV107" s="47"/>
      <c r="BW107" s="50"/>
    </row>
    <row r="108" spans="1:75" x14ac:dyDescent="0.2">
      <c r="A108" s="47"/>
      <c r="B108" s="47" t="s">
        <v>406</v>
      </c>
      <c r="C108" s="47"/>
      <c r="D108" s="47" t="s">
        <v>740</v>
      </c>
      <c r="E108" s="48"/>
      <c r="F108" s="47" t="s">
        <v>15</v>
      </c>
      <c r="G108" s="47" t="s">
        <v>134</v>
      </c>
      <c r="H108" s="49">
        <v>0.40300000000000002</v>
      </c>
      <c r="I108" s="49">
        <v>0.17899999999999999</v>
      </c>
      <c r="J108" s="49">
        <v>0.19600000000000001</v>
      </c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 t="s">
        <v>1104</v>
      </c>
      <c r="BU108" s="47"/>
      <c r="BV108" s="47"/>
      <c r="BW108" s="50"/>
    </row>
    <row r="109" spans="1:75" x14ac:dyDescent="0.2">
      <c r="A109" s="47"/>
      <c r="B109" s="47" t="s">
        <v>406</v>
      </c>
      <c r="C109" s="47"/>
      <c r="D109" s="47" t="s">
        <v>745</v>
      </c>
      <c r="E109" s="48"/>
      <c r="F109" s="47" t="s">
        <v>15</v>
      </c>
      <c r="G109" s="47" t="s">
        <v>333</v>
      </c>
      <c r="H109" s="49">
        <v>0.79200000000000004</v>
      </c>
      <c r="I109" s="49">
        <v>6.8000000000000005E-2</v>
      </c>
      <c r="J109" s="49">
        <v>0.75600000000000001</v>
      </c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 t="s">
        <v>1105</v>
      </c>
      <c r="BU109" s="47"/>
      <c r="BV109" s="47"/>
      <c r="BW109" s="50"/>
    </row>
    <row r="110" spans="1:75" x14ac:dyDescent="0.2">
      <c r="A110" s="47"/>
      <c r="B110" s="47" t="s">
        <v>406</v>
      </c>
      <c r="C110" s="47"/>
      <c r="D110" s="47" t="s">
        <v>760</v>
      </c>
      <c r="E110" s="48"/>
      <c r="F110" s="47" t="s">
        <v>15</v>
      </c>
      <c r="G110" s="47" t="s">
        <v>28</v>
      </c>
      <c r="H110" s="49">
        <v>0.76200000000000001</v>
      </c>
      <c r="I110" s="49">
        <v>0.01</v>
      </c>
      <c r="J110" s="49">
        <v>0.95799999999999996</v>
      </c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 t="s">
        <v>1106</v>
      </c>
      <c r="BU110" s="47"/>
      <c r="BV110" s="47"/>
      <c r="BW110" s="50"/>
    </row>
    <row r="111" spans="1:75" x14ac:dyDescent="0.2">
      <c r="A111" s="47"/>
      <c r="B111" s="47" t="s">
        <v>406</v>
      </c>
      <c r="C111" s="47"/>
      <c r="D111" s="47" t="s">
        <v>388</v>
      </c>
      <c r="E111" s="48"/>
      <c r="F111" s="47" t="s">
        <v>64</v>
      </c>
      <c r="G111" s="47" t="s">
        <v>389</v>
      </c>
      <c r="H111" s="49">
        <v>0.53300000000000003</v>
      </c>
      <c r="I111" s="49">
        <v>0.63600000000000001</v>
      </c>
      <c r="J111" s="49">
        <v>1.4999999999999999E-2</v>
      </c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 t="s">
        <v>1103</v>
      </c>
      <c r="BU111" s="47"/>
      <c r="BV111" s="47"/>
      <c r="BW111" s="50"/>
    </row>
    <row r="112" spans="1:75" x14ac:dyDescent="0.2">
      <c r="A112" s="47"/>
      <c r="B112" s="47" t="s">
        <v>406</v>
      </c>
      <c r="C112" s="47"/>
      <c r="D112" s="47" t="s">
        <v>441</v>
      </c>
      <c r="E112" s="48"/>
      <c r="F112" s="47" t="s">
        <v>64</v>
      </c>
      <c r="G112" s="47" t="s">
        <v>440</v>
      </c>
      <c r="H112" s="49">
        <v>0.215</v>
      </c>
      <c r="I112" s="49">
        <v>0.65400000000000003</v>
      </c>
      <c r="J112" s="49">
        <v>0.44700000000000001</v>
      </c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 t="s">
        <v>1107</v>
      </c>
      <c r="BU112" s="47"/>
      <c r="BV112" s="47"/>
      <c r="BW112" s="54">
        <v>0.76</v>
      </c>
    </row>
    <row r="113" spans="1:75" x14ac:dyDescent="0.2">
      <c r="A113" s="47"/>
      <c r="B113" s="47" t="s">
        <v>406</v>
      </c>
      <c r="C113" s="47"/>
      <c r="D113" s="47" t="s">
        <v>258</v>
      </c>
      <c r="E113" s="48"/>
      <c r="F113" s="47" t="s">
        <v>64</v>
      </c>
      <c r="G113" s="47" t="s">
        <v>65</v>
      </c>
      <c r="H113" s="32">
        <v>0.86499999999999999</v>
      </c>
      <c r="I113" s="32">
        <v>0.32800000000000001</v>
      </c>
      <c r="J113" s="32">
        <v>0.88300000000000001</v>
      </c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 t="s">
        <v>1103</v>
      </c>
      <c r="BU113" s="47"/>
      <c r="BV113" s="47"/>
      <c r="BW113" s="54">
        <v>0.7</v>
      </c>
    </row>
    <row r="114" spans="1:75" x14ac:dyDescent="0.2">
      <c r="A114" s="47"/>
      <c r="B114" s="47" t="s">
        <v>406</v>
      </c>
      <c r="C114" s="47"/>
      <c r="D114" s="47" t="s">
        <v>258</v>
      </c>
      <c r="E114" s="48"/>
      <c r="F114" s="47" t="s">
        <v>64</v>
      </c>
      <c r="G114" s="47" t="s">
        <v>65</v>
      </c>
      <c r="H114" s="32">
        <v>0.86499999999999999</v>
      </c>
      <c r="I114" s="32">
        <v>0.32800000000000001</v>
      </c>
      <c r="J114" s="32">
        <v>0.88300000000000001</v>
      </c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  <c r="BT114" s="47" t="s">
        <v>1108</v>
      </c>
      <c r="BU114" s="47"/>
      <c r="BV114" s="47"/>
      <c r="BW114" s="50"/>
    </row>
    <row r="115" spans="1:75" x14ac:dyDescent="0.2">
      <c r="A115" s="47"/>
      <c r="B115" s="47" t="s">
        <v>406</v>
      </c>
      <c r="C115" s="47"/>
      <c r="D115" s="47" t="s">
        <v>444</v>
      </c>
      <c r="E115" s="48"/>
      <c r="F115" s="47" t="s">
        <v>64</v>
      </c>
      <c r="G115" s="47" t="s">
        <v>445</v>
      </c>
      <c r="H115" s="49">
        <v>0.31</v>
      </c>
      <c r="I115" s="49">
        <v>0.95499999999999996</v>
      </c>
      <c r="J115" s="49">
        <v>8.0000000000000002E-3</v>
      </c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 t="s">
        <v>1109</v>
      </c>
      <c r="BU115" s="47"/>
      <c r="BV115" s="47"/>
      <c r="BW115" s="50"/>
    </row>
    <row r="116" spans="1:75" x14ac:dyDescent="0.2">
      <c r="A116" s="47"/>
      <c r="B116" s="47" t="s">
        <v>406</v>
      </c>
      <c r="C116" s="47"/>
      <c r="D116" s="47" t="s">
        <v>461</v>
      </c>
      <c r="E116" s="48"/>
      <c r="F116" s="47" t="s">
        <v>64</v>
      </c>
      <c r="G116" s="47" t="s">
        <v>462</v>
      </c>
      <c r="H116" s="49">
        <v>0.21099999999999999</v>
      </c>
      <c r="I116" s="49">
        <v>0.379</v>
      </c>
      <c r="J116" s="49">
        <v>0.17799999999999999</v>
      </c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 t="s">
        <v>1110</v>
      </c>
      <c r="BU116" s="47"/>
      <c r="BV116" s="47"/>
      <c r="BW116" s="50"/>
    </row>
    <row r="117" spans="1:75" x14ac:dyDescent="0.2">
      <c r="A117" s="47"/>
      <c r="B117" s="47" t="s">
        <v>406</v>
      </c>
      <c r="C117" s="47"/>
      <c r="D117" s="47" t="s">
        <v>63</v>
      </c>
      <c r="E117" s="48"/>
      <c r="F117" s="47" t="s">
        <v>64</v>
      </c>
      <c r="G117" s="47" t="s">
        <v>65</v>
      </c>
      <c r="H117" s="49">
        <v>0.86499999999999999</v>
      </c>
      <c r="I117" s="49">
        <v>0.32800000000000001</v>
      </c>
      <c r="J117" s="49">
        <v>0.88300000000000001</v>
      </c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 t="s">
        <v>1105</v>
      </c>
      <c r="BU117" s="47"/>
      <c r="BV117" s="47"/>
      <c r="BW117" s="54">
        <v>0.08</v>
      </c>
    </row>
    <row r="118" spans="1:75" x14ac:dyDescent="0.2">
      <c r="A118" s="47"/>
      <c r="B118" s="47" t="s">
        <v>406</v>
      </c>
      <c r="C118" s="47"/>
      <c r="D118" s="47" t="s">
        <v>652</v>
      </c>
      <c r="E118" s="48"/>
      <c r="F118" s="47" t="s">
        <v>64</v>
      </c>
      <c r="G118" s="47" t="s">
        <v>65</v>
      </c>
      <c r="H118" s="32">
        <v>0.86499999999999999</v>
      </c>
      <c r="I118" s="32">
        <v>0.32800000000000001</v>
      </c>
      <c r="J118" s="32">
        <v>0.88300000000000001</v>
      </c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 t="s">
        <v>1089</v>
      </c>
      <c r="BU118" s="47"/>
      <c r="BV118" s="47"/>
      <c r="BW118" s="50"/>
    </row>
    <row r="119" spans="1:75" x14ac:dyDescent="0.2">
      <c r="A119" s="47"/>
      <c r="B119" s="47" t="s">
        <v>406</v>
      </c>
      <c r="C119" s="47"/>
      <c r="D119" s="47" t="s">
        <v>671</v>
      </c>
      <c r="E119" s="48"/>
      <c r="F119" s="47" t="s">
        <v>64</v>
      </c>
      <c r="G119" s="47" t="s">
        <v>462</v>
      </c>
      <c r="H119" s="49">
        <v>0.21099999999999999</v>
      </c>
      <c r="I119" s="49">
        <v>0.379</v>
      </c>
      <c r="J119" s="49">
        <v>0.17799999999999999</v>
      </c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 t="s">
        <v>1111</v>
      </c>
      <c r="BU119" s="47"/>
      <c r="BV119" s="47"/>
      <c r="BW119" s="50"/>
    </row>
    <row r="120" spans="1:75" x14ac:dyDescent="0.2">
      <c r="A120" s="47"/>
      <c r="B120" s="47" t="s">
        <v>406</v>
      </c>
      <c r="C120" s="47"/>
      <c r="D120" s="47" t="s">
        <v>695</v>
      </c>
      <c r="E120" s="48"/>
      <c r="F120" s="47" t="s">
        <v>64</v>
      </c>
      <c r="G120" s="47" t="s">
        <v>445</v>
      </c>
      <c r="H120" s="49">
        <v>0.31</v>
      </c>
      <c r="I120" s="49">
        <v>0.95499999999999996</v>
      </c>
      <c r="J120" s="49">
        <v>8.0000000000000002E-3</v>
      </c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 t="s">
        <v>1112</v>
      </c>
      <c r="BU120" s="47"/>
      <c r="BV120" s="47"/>
      <c r="BW120" s="50"/>
    </row>
    <row r="121" spans="1:75" x14ac:dyDescent="0.2">
      <c r="A121" s="47"/>
      <c r="B121" s="47" t="s">
        <v>406</v>
      </c>
      <c r="C121" s="47"/>
      <c r="D121" s="47" t="s">
        <v>701</v>
      </c>
      <c r="E121" s="48"/>
      <c r="F121" s="47" t="s">
        <v>64</v>
      </c>
      <c r="G121" s="47" t="s">
        <v>389</v>
      </c>
      <c r="H121" s="49">
        <v>0.53300000000000003</v>
      </c>
      <c r="I121" s="49">
        <v>0.63600000000000001</v>
      </c>
      <c r="J121" s="49">
        <v>1.4999999999999999E-2</v>
      </c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 t="s">
        <v>1080</v>
      </c>
      <c r="BU121" s="47"/>
      <c r="BV121" s="47"/>
      <c r="BW121" s="50"/>
    </row>
    <row r="122" spans="1:75" x14ac:dyDescent="0.2">
      <c r="A122" s="47"/>
      <c r="B122" s="47" t="s">
        <v>406</v>
      </c>
      <c r="C122" s="47"/>
      <c r="D122" s="47" t="s">
        <v>757</v>
      </c>
      <c r="E122" s="48"/>
      <c r="F122" s="47" t="s">
        <v>64</v>
      </c>
      <c r="G122" s="47" t="s">
        <v>65</v>
      </c>
      <c r="H122" s="49">
        <v>0.86499999999999999</v>
      </c>
      <c r="I122" s="49">
        <v>0.32800000000000001</v>
      </c>
      <c r="J122" s="49">
        <v>0.88300000000000001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 t="s">
        <v>1113</v>
      </c>
      <c r="BU122" s="47"/>
      <c r="BV122" s="47"/>
      <c r="BW122" s="50"/>
    </row>
    <row r="123" spans="1:75" x14ac:dyDescent="0.2">
      <c r="A123" s="47"/>
      <c r="B123" s="47" t="s">
        <v>406</v>
      </c>
      <c r="C123" s="47"/>
      <c r="D123" s="47" t="s">
        <v>121</v>
      </c>
      <c r="E123" s="48"/>
      <c r="F123" s="47" t="s">
        <v>58</v>
      </c>
      <c r="G123" s="47" t="s">
        <v>122</v>
      </c>
      <c r="H123" s="49">
        <v>0.33300000000000002</v>
      </c>
      <c r="I123" s="49">
        <v>0.5</v>
      </c>
      <c r="J123" s="49">
        <v>0.75</v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 t="s">
        <v>1114</v>
      </c>
      <c r="BU123" s="47"/>
      <c r="BV123" s="47"/>
      <c r="BW123" s="50"/>
    </row>
    <row r="124" spans="1:75" x14ac:dyDescent="0.2">
      <c r="A124" s="47"/>
      <c r="B124" s="47" t="s">
        <v>406</v>
      </c>
      <c r="C124" s="47"/>
      <c r="D124" s="47" t="s">
        <v>142</v>
      </c>
      <c r="E124" s="48"/>
      <c r="F124" s="47" t="s">
        <v>58</v>
      </c>
      <c r="G124" s="47" t="s">
        <v>143</v>
      </c>
      <c r="H124" s="49">
        <v>0.77800000000000002</v>
      </c>
      <c r="I124" s="49">
        <v>0.85699999999999998</v>
      </c>
      <c r="J124" s="49">
        <v>0.14299999999999999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 t="s">
        <v>1115</v>
      </c>
      <c r="BU124" s="47"/>
      <c r="BV124" s="47"/>
      <c r="BW124" s="54">
        <v>0.69</v>
      </c>
    </row>
    <row r="125" spans="1:75" x14ac:dyDescent="0.2">
      <c r="A125" s="47"/>
      <c r="B125" s="47" t="s">
        <v>406</v>
      </c>
      <c r="C125" s="47"/>
      <c r="D125" s="47" t="s">
        <v>159</v>
      </c>
      <c r="E125" s="48"/>
      <c r="F125" s="47" t="s">
        <v>58</v>
      </c>
      <c r="G125" s="47" t="s">
        <v>160</v>
      </c>
      <c r="H125" s="32">
        <v>1</v>
      </c>
      <c r="I125" s="32">
        <v>0.214</v>
      </c>
      <c r="J125" s="32">
        <v>0.92900000000000005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 t="s">
        <v>1116</v>
      </c>
      <c r="BU125" s="47"/>
      <c r="BV125" s="47"/>
      <c r="BW125" s="54">
        <v>0.76</v>
      </c>
    </row>
    <row r="126" spans="1:75" x14ac:dyDescent="0.2">
      <c r="A126" s="47"/>
      <c r="B126" s="47" t="s">
        <v>406</v>
      </c>
      <c r="C126" s="47"/>
      <c r="D126" s="47" t="s">
        <v>577</v>
      </c>
      <c r="E126" s="48"/>
      <c r="F126" s="47" t="s">
        <v>58</v>
      </c>
      <c r="G126" s="47" t="s">
        <v>151</v>
      </c>
      <c r="H126" s="32">
        <v>0.57099999999999995</v>
      </c>
      <c r="I126" s="32">
        <v>0.2</v>
      </c>
      <c r="J126" s="32">
        <v>0.4</v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 t="s">
        <v>1117</v>
      </c>
      <c r="BU126" s="47"/>
      <c r="BV126" s="47"/>
      <c r="BW126" s="50"/>
    </row>
    <row r="127" spans="1:75" x14ac:dyDescent="0.2">
      <c r="A127" s="47"/>
      <c r="B127" s="47" t="s">
        <v>406</v>
      </c>
      <c r="C127" s="47"/>
      <c r="D127" s="47" t="s">
        <v>533</v>
      </c>
      <c r="E127" s="48"/>
      <c r="F127" s="47" t="s">
        <v>58</v>
      </c>
      <c r="G127" s="47" t="s">
        <v>264</v>
      </c>
      <c r="H127" s="49">
        <v>0.16300000000000001</v>
      </c>
      <c r="I127" s="49">
        <v>0.68</v>
      </c>
      <c r="J127" s="49">
        <v>0.76300000000000001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 t="s">
        <v>1115</v>
      </c>
      <c r="BU127" s="47"/>
      <c r="BV127" s="47"/>
      <c r="BW127" s="54">
        <v>0.64</v>
      </c>
    </row>
    <row r="128" spans="1:75" x14ac:dyDescent="0.2">
      <c r="A128" s="47"/>
      <c r="B128" s="47" t="s">
        <v>406</v>
      </c>
      <c r="C128" s="47"/>
      <c r="D128" s="47" t="s">
        <v>752</v>
      </c>
      <c r="E128" s="48"/>
      <c r="F128" s="47" t="s">
        <v>58</v>
      </c>
      <c r="G128" s="47" t="s">
        <v>804</v>
      </c>
      <c r="H128" s="32"/>
      <c r="I128" s="32"/>
      <c r="J128" s="32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 t="s">
        <v>1118</v>
      </c>
      <c r="BU128" s="47"/>
      <c r="BV128" s="47"/>
      <c r="BW128" s="50"/>
    </row>
    <row r="129" spans="1:75" x14ac:dyDescent="0.2">
      <c r="A129" s="47"/>
      <c r="B129" s="47" t="s">
        <v>406</v>
      </c>
      <c r="C129" s="47"/>
      <c r="D129" s="47" t="s">
        <v>878</v>
      </c>
      <c r="E129" s="48"/>
      <c r="F129" s="47" t="s">
        <v>879</v>
      </c>
      <c r="G129" s="47" t="s">
        <v>566</v>
      </c>
      <c r="H129" s="49">
        <v>0.13200000000000001</v>
      </c>
      <c r="I129" s="49">
        <v>0.49199999999999999</v>
      </c>
      <c r="J129" s="49">
        <v>9.1999999999999998E-2</v>
      </c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 t="s">
        <v>1119</v>
      </c>
      <c r="BU129" s="47"/>
      <c r="BV129" s="47"/>
      <c r="BW129" s="54">
        <v>0.82</v>
      </c>
    </row>
    <row r="130" spans="1:75" x14ac:dyDescent="0.2">
      <c r="A130" s="47"/>
      <c r="B130" s="47" t="s">
        <v>406</v>
      </c>
      <c r="C130" s="47"/>
      <c r="D130" s="47" t="s">
        <v>362</v>
      </c>
      <c r="E130" s="48"/>
      <c r="F130" s="47" t="s">
        <v>20</v>
      </c>
      <c r="G130" s="47" t="s">
        <v>363</v>
      </c>
      <c r="H130" s="32">
        <v>0.47199999999999998</v>
      </c>
      <c r="I130" s="32">
        <v>0.51600000000000001</v>
      </c>
      <c r="J130" s="32">
        <v>0.73699999999999999</v>
      </c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 t="s">
        <v>1120</v>
      </c>
      <c r="BU130" s="47"/>
      <c r="BV130" s="47"/>
      <c r="BW130" s="54"/>
    </row>
    <row r="131" spans="1:75" x14ac:dyDescent="0.2">
      <c r="A131" s="47"/>
      <c r="B131" s="47" t="s">
        <v>406</v>
      </c>
      <c r="C131" s="47"/>
      <c r="D131" s="47" t="s">
        <v>77</v>
      </c>
      <c r="E131" s="48"/>
      <c r="F131" s="47" t="s">
        <v>20</v>
      </c>
      <c r="G131" s="47" t="s">
        <v>78</v>
      </c>
      <c r="H131" s="32">
        <v>0.495</v>
      </c>
      <c r="I131" s="32">
        <v>3.2000000000000001E-2</v>
      </c>
      <c r="J131" s="32">
        <v>0.88900000000000001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 t="s">
        <v>1121</v>
      </c>
      <c r="BU131" s="47"/>
      <c r="BV131" s="47"/>
      <c r="BW131" s="54"/>
    </row>
    <row r="132" spans="1:75" x14ac:dyDescent="0.2">
      <c r="A132" s="47"/>
      <c r="B132" s="47" t="s">
        <v>406</v>
      </c>
      <c r="C132" s="47"/>
      <c r="D132" s="47" t="s">
        <v>19</v>
      </c>
      <c r="E132" s="48"/>
      <c r="F132" s="47" t="s">
        <v>20</v>
      </c>
      <c r="G132" s="47" t="s">
        <v>21</v>
      </c>
      <c r="H132" s="32">
        <v>0.371</v>
      </c>
      <c r="I132" s="32">
        <v>0.71899999999999997</v>
      </c>
      <c r="J132" s="32">
        <v>0.3</v>
      </c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 t="s">
        <v>1122</v>
      </c>
      <c r="BU132" s="47"/>
      <c r="BV132" s="47"/>
      <c r="BW132" s="54">
        <v>0.69</v>
      </c>
    </row>
    <row r="133" spans="1:75" x14ac:dyDescent="0.2">
      <c r="A133" s="47"/>
      <c r="B133" s="47" t="s">
        <v>406</v>
      </c>
      <c r="C133" s="47"/>
      <c r="D133" s="47" t="s">
        <v>343</v>
      </c>
      <c r="E133" s="48"/>
      <c r="F133" s="47" t="s">
        <v>20</v>
      </c>
      <c r="G133" s="47" t="s">
        <v>155</v>
      </c>
      <c r="H133" s="32">
        <v>0.55700000000000005</v>
      </c>
      <c r="I133" s="32">
        <v>0.25800000000000001</v>
      </c>
      <c r="J133" s="32">
        <v>0.43</v>
      </c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 t="s">
        <v>1076</v>
      </c>
      <c r="BU133" s="47"/>
      <c r="BV133" s="47"/>
      <c r="BW133" s="50"/>
    </row>
    <row r="134" spans="1:75" x14ac:dyDescent="0.2">
      <c r="A134" s="47"/>
      <c r="B134" s="47" t="s">
        <v>406</v>
      </c>
      <c r="C134" s="47"/>
      <c r="D134" s="47" t="s">
        <v>154</v>
      </c>
      <c r="E134" s="48"/>
      <c r="F134" s="47" t="s">
        <v>20</v>
      </c>
      <c r="G134" s="47" t="s">
        <v>155</v>
      </c>
      <c r="H134" s="49">
        <v>0.55700000000000005</v>
      </c>
      <c r="I134" s="49">
        <v>0.25800000000000001</v>
      </c>
      <c r="J134" s="49">
        <v>0.43</v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 t="s">
        <v>1089</v>
      </c>
      <c r="BU134" s="47"/>
      <c r="BV134" s="47"/>
      <c r="BW134" s="50"/>
    </row>
    <row r="135" spans="1:75" x14ac:dyDescent="0.2">
      <c r="A135" s="47"/>
      <c r="B135" s="47" t="s">
        <v>406</v>
      </c>
      <c r="C135" s="47"/>
      <c r="D135" s="47" t="s">
        <v>165</v>
      </c>
      <c r="E135" s="48"/>
      <c r="F135" s="47" t="s">
        <v>20</v>
      </c>
      <c r="G135" s="47" t="s">
        <v>166</v>
      </c>
      <c r="H135" s="49">
        <v>0.20699999999999999</v>
      </c>
      <c r="I135" s="49">
        <v>0.12</v>
      </c>
      <c r="J135" s="49">
        <v>0.252</v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 t="s">
        <v>1123</v>
      </c>
      <c r="BU135" s="47"/>
      <c r="BV135" s="47"/>
      <c r="BW135" s="50"/>
    </row>
    <row r="136" spans="1:75" x14ac:dyDescent="0.2">
      <c r="A136" s="47"/>
      <c r="B136" s="47" t="s">
        <v>406</v>
      </c>
      <c r="C136" s="47"/>
      <c r="D136" s="47" t="s">
        <v>1124</v>
      </c>
      <c r="E136" s="48"/>
      <c r="F136" s="47" t="s">
        <v>20</v>
      </c>
      <c r="G136" s="47" t="s">
        <v>166</v>
      </c>
      <c r="H136" s="49">
        <v>0.20699999999999999</v>
      </c>
      <c r="I136" s="49">
        <v>0.12</v>
      </c>
      <c r="J136" s="49">
        <v>0.252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 t="s">
        <v>1114</v>
      </c>
      <c r="BU136" s="47"/>
      <c r="BV136" s="47"/>
      <c r="BW136" s="50"/>
    </row>
    <row r="137" spans="1:75" x14ac:dyDescent="0.2">
      <c r="A137" s="47"/>
      <c r="B137" s="47" t="s">
        <v>406</v>
      </c>
      <c r="C137" s="47"/>
      <c r="D137" s="47" t="s">
        <v>1124</v>
      </c>
      <c r="E137" s="48"/>
      <c r="F137" s="47" t="s">
        <v>20</v>
      </c>
      <c r="G137" s="47" t="s">
        <v>1125</v>
      </c>
      <c r="H137" s="49">
        <v>0.50900000000000001</v>
      </c>
      <c r="I137" s="49">
        <v>0.40400000000000003</v>
      </c>
      <c r="J137" s="49">
        <v>0.19900000000000001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 t="s">
        <v>1076</v>
      </c>
      <c r="BU137" s="47"/>
      <c r="BV137" s="47"/>
      <c r="BW137" s="50"/>
    </row>
    <row r="138" spans="1:75" x14ac:dyDescent="0.2">
      <c r="A138" s="47"/>
      <c r="B138" s="47" t="s">
        <v>406</v>
      </c>
      <c r="C138" s="47"/>
      <c r="D138" s="47" t="s">
        <v>1124</v>
      </c>
      <c r="E138" s="48"/>
      <c r="F138" s="47" t="s">
        <v>20</v>
      </c>
      <c r="G138" s="47" t="s">
        <v>1126</v>
      </c>
      <c r="H138" s="49">
        <v>0.69</v>
      </c>
      <c r="I138" s="49">
        <v>0.29899999999999999</v>
      </c>
      <c r="J138" s="49">
        <v>0.76</v>
      </c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 t="s">
        <v>1075</v>
      </c>
      <c r="BU138" s="47"/>
      <c r="BV138" s="47"/>
      <c r="BW138" s="50"/>
    </row>
    <row r="139" spans="1:75" x14ac:dyDescent="0.2">
      <c r="A139" s="47"/>
      <c r="B139" s="47" t="s">
        <v>406</v>
      </c>
      <c r="C139" s="47"/>
      <c r="D139" s="47" t="s">
        <v>1124</v>
      </c>
      <c r="E139" s="48"/>
      <c r="F139" s="47" t="s">
        <v>20</v>
      </c>
      <c r="G139" s="47" t="s">
        <v>363</v>
      </c>
      <c r="H139" s="49">
        <v>0.47199999999999998</v>
      </c>
      <c r="I139" s="49">
        <v>0.51600000000000001</v>
      </c>
      <c r="J139" s="49">
        <v>0.73699999999999999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 t="s">
        <v>1111</v>
      </c>
      <c r="BU139" s="47"/>
      <c r="BV139" s="47"/>
      <c r="BW139" s="50"/>
    </row>
    <row r="140" spans="1:75" x14ac:dyDescent="0.2">
      <c r="A140" s="47"/>
      <c r="B140" s="47" t="s">
        <v>406</v>
      </c>
      <c r="C140" s="47"/>
      <c r="D140" s="47" t="s">
        <v>510</v>
      </c>
      <c r="E140" s="48"/>
      <c r="F140" s="47" t="s">
        <v>20</v>
      </c>
      <c r="G140" s="47" t="s">
        <v>511</v>
      </c>
      <c r="H140" s="49">
        <v>0.35599999999999998</v>
      </c>
      <c r="I140" s="49">
        <v>0.60899999999999999</v>
      </c>
      <c r="J140" s="49">
        <v>0.29599999999999999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50"/>
    </row>
    <row r="141" spans="1:75" x14ac:dyDescent="0.2">
      <c r="A141" s="47"/>
      <c r="B141" s="47" t="s">
        <v>406</v>
      </c>
      <c r="C141" s="47"/>
      <c r="D141" s="47" t="s">
        <v>534</v>
      </c>
      <c r="E141" s="48"/>
      <c r="F141" s="47" t="s">
        <v>20</v>
      </c>
      <c r="G141" s="47" t="s">
        <v>535</v>
      </c>
      <c r="H141" s="49">
        <v>3.4000000000000002E-2</v>
      </c>
      <c r="I141" s="49">
        <v>0.92900000000000005</v>
      </c>
      <c r="J141" s="49">
        <v>0.22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 t="s">
        <v>1104</v>
      </c>
      <c r="BU141" s="47"/>
      <c r="BV141" s="47"/>
      <c r="BW141" s="54">
        <v>0.83</v>
      </c>
    </row>
    <row r="142" spans="1:75" x14ac:dyDescent="0.2">
      <c r="A142" s="47"/>
      <c r="B142" s="47" t="s">
        <v>406</v>
      </c>
      <c r="C142" s="47"/>
      <c r="D142" s="47" t="s">
        <v>556</v>
      </c>
      <c r="E142" s="48"/>
      <c r="F142" s="47" t="s">
        <v>20</v>
      </c>
      <c r="G142" s="47" t="s">
        <v>78</v>
      </c>
      <c r="H142" s="32">
        <v>0.495</v>
      </c>
      <c r="I142" s="32">
        <v>3.2000000000000001E-2</v>
      </c>
      <c r="J142" s="32">
        <v>0.88900000000000001</v>
      </c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 t="s">
        <v>1127</v>
      </c>
      <c r="BU142" s="47"/>
      <c r="BV142" s="47"/>
      <c r="BW142" s="54">
        <v>0.9</v>
      </c>
    </row>
    <row r="143" spans="1:75" x14ac:dyDescent="0.2">
      <c r="A143" s="47"/>
      <c r="B143" s="47" t="s">
        <v>406</v>
      </c>
      <c r="C143" s="47"/>
      <c r="D143" s="47" t="s">
        <v>648</v>
      </c>
      <c r="E143" s="48"/>
      <c r="F143" s="47" t="s">
        <v>20</v>
      </c>
      <c r="G143" s="47" t="s">
        <v>649</v>
      </c>
      <c r="H143" s="32">
        <v>0.115</v>
      </c>
      <c r="I143" s="32">
        <v>0.57899999999999996</v>
      </c>
      <c r="J143" s="32">
        <v>0.29499999999999998</v>
      </c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 t="s">
        <v>1128</v>
      </c>
      <c r="BU143" s="47"/>
      <c r="BV143" s="47"/>
      <c r="BW143" s="50"/>
    </row>
    <row r="144" spans="1:75" x14ac:dyDescent="0.2">
      <c r="A144" s="47"/>
      <c r="B144" s="47" t="s">
        <v>406</v>
      </c>
      <c r="C144" s="47"/>
      <c r="D144" s="47" t="s">
        <v>650</v>
      </c>
      <c r="E144" s="48"/>
      <c r="F144" s="47" t="s">
        <v>20</v>
      </c>
      <c r="G144" s="47" t="s">
        <v>649</v>
      </c>
      <c r="H144" s="49">
        <v>0.115</v>
      </c>
      <c r="I144" s="49">
        <v>0.57899999999999996</v>
      </c>
      <c r="J144" s="49">
        <v>0.29499999999999998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 t="s">
        <v>1111</v>
      </c>
      <c r="BU144" s="47"/>
      <c r="BV144" s="47"/>
      <c r="BW144" s="50"/>
    </row>
    <row r="145" spans="1:75" x14ac:dyDescent="0.2">
      <c r="A145" s="47"/>
      <c r="B145" s="47" t="s">
        <v>406</v>
      </c>
      <c r="C145" s="47"/>
      <c r="D145" s="47" t="s">
        <v>753</v>
      </c>
      <c r="E145" s="48"/>
      <c r="F145" s="47" t="s">
        <v>20</v>
      </c>
      <c r="G145" s="47" t="s">
        <v>78</v>
      </c>
      <c r="H145" s="49">
        <v>0.495</v>
      </c>
      <c r="I145" s="49">
        <v>3.2000000000000001E-2</v>
      </c>
      <c r="J145" s="49">
        <v>0.88900000000000001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  <c r="BT145" s="47" t="s">
        <v>1111</v>
      </c>
      <c r="BU145" s="47"/>
      <c r="BV145" s="47"/>
      <c r="BW145" s="50"/>
    </row>
    <row r="146" spans="1:75" x14ac:dyDescent="0.2">
      <c r="A146" s="47"/>
      <c r="B146" s="47" t="s">
        <v>406</v>
      </c>
      <c r="C146" s="47"/>
      <c r="D146" s="47" t="s">
        <v>878</v>
      </c>
      <c r="E146" s="48"/>
      <c r="F146" s="47" t="s">
        <v>55</v>
      </c>
      <c r="G146" s="47" t="s">
        <v>569</v>
      </c>
      <c r="H146" s="49">
        <v>0.95699999999999996</v>
      </c>
      <c r="I146" s="49">
        <v>0.33300000000000002</v>
      </c>
      <c r="J146" s="49">
        <v>0.95199999999999996</v>
      </c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  <c r="BT146" s="47" t="s">
        <v>1129</v>
      </c>
      <c r="BU146" s="47"/>
      <c r="BV146" s="47"/>
      <c r="BW146" s="50"/>
    </row>
    <row r="147" spans="1:75" x14ac:dyDescent="0.2">
      <c r="A147" s="47"/>
      <c r="B147" s="47" t="s">
        <v>406</v>
      </c>
      <c r="C147" s="47"/>
      <c r="D147" s="47" t="s">
        <v>667</v>
      </c>
      <c r="E147" s="48"/>
      <c r="F147" s="47" t="s">
        <v>55</v>
      </c>
      <c r="G147" s="47" t="s">
        <v>569</v>
      </c>
      <c r="H147" s="49">
        <v>0.95699999999999996</v>
      </c>
      <c r="I147" s="49">
        <v>0.33300000000000002</v>
      </c>
      <c r="J147" s="49">
        <v>0.95199999999999996</v>
      </c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  <c r="BT147" s="47" t="s">
        <v>1111</v>
      </c>
      <c r="BU147" s="47"/>
      <c r="BV147" s="47"/>
      <c r="BW147" s="50"/>
    </row>
    <row r="148" spans="1:75" x14ac:dyDescent="0.2">
      <c r="A148" s="47"/>
      <c r="B148" s="47" t="s">
        <v>406</v>
      </c>
      <c r="C148" s="47"/>
      <c r="D148" s="47" t="s">
        <v>672</v>
      </c>
      <c r="E148" s="48"/>
      <c r="F148" s="47" t="s">
        <v>55</v>
      </c>
      <c r="G148" s="47" t="s">
        <v>56</v>
      </c>
      <c r="H148" s="49">
        <v>0.82099999999999995</v>
      </c>
      <c r="I148" s="49">
        <v>0.34599999999999997</v>
      </c>
      <c r="J148" s="49">
        <v>0.115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 t="s">
        <v>1130</v>
      </c>
      <c r="BU148" s="47"/>
      <c r="BV148" s="47"/>
      <c r="BW148" s="50"/>
    </row>
    <row r="149" spans="1:75" x14ac:dyDescent="0.2">
      <c r="A149" s="47"/>
      <c r="B149" s="47" t="s">
        <v>406</v>
      </c>
      <c r="C149" s="47"/>
      <c r="D149" s="47" t="s">
        <v>251</v>
      </c>
      <c r="E149" s="48"/>
      <c r="F149" s="47" t="s">
        <v>145</v>
      </c>
      <c r="G149" s="47" t="s">
        <v>804</v>
      </c>
      <c r="H149" s="49"/>
      <c r="I149" s="49"/>
      <c r="J149" s="49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 t="s">
        <v>1079</v>
      </c>
      <c r="BU149" s="47"/>
      <c r="BV149" s="47"/>
      <c r="BW149" s="54">
        <v>0.83</v>
      </c>
    </row>
    <row r="150" spans="1:75" x14ac:dyDescent="0.2">
      <c r="A150" s="47"/>
      <c r="B150" s="47" t="s">
        <v>406</v>
      </c>
      <c r="C150" s="47"/>
      <c r="D150" s="47" t="s">
        <v>402</v>
      </c>
      <c r="E150" s="48"/>
      <c r="F150" s="47" t="s">
        <v>103</v>
      </c>
      <c r="G150" s="47" t="s">
        <v>104</v>
      </c>
      <c r="H150" s="32">
        <v>0.69899999999999995</v>
      </c>
      <c r="I150" s="32">
        <v>7.0999999999999994E-2</v>
      </c>
      <c r="J150" s="32">
        <v>0.94699999999999995</v>
      </c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  <c r="BT150" s="47" t="s">
        <v>1103</v>
      </c>
      <c r="BU150" s="47"/>
      <c r="BV150" s="47"/>
      <c r="BW150" s="50"/>
    </row>
    <row r="151" spans="1:75" x14ac:dyDescent="0.2">
      <c r="A151" s="47"/>
      <c r="B151" s="47" t="s">
        <v>406</v>
      </c>
      <c r="C151" s="47"/>
      <c r="D151" s="47" t="s">
        <v>492</v>
      </c>
      <c r="E151" s="48"/>
      <c r="F151" s="47" t="s">
        <v>103</v>
      </c>
      <c r="G151" s="47" t="s">
        <v>162</v>
      </c>
      <c r="H151" s="49">
        <v>0.69799999999999995</v>
      </c>
      <c r="I151" s="49">
        <v>0.28999999999999998</v>
      </c>
      <c r="J151" s="49">
        <v>0.60299999999999998</v>
      </c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  <c r="BT151" s="47" t="s">
        <v>1131</v>
      </c>
      <c r="BU151" s="47"/>
      <c r="BV151" s="47"/>
      <c r="BW151" s="50"/>
    </row>
    <row r="152" spans="1:75" x14ac:dyDescent="0.2">
      <c r="A152" s="47"/>
      <c r="B152" s="47" t="s">
        <v>406</v>
      </c>
      <c r="C152" s="47"/>
      <c r="D152" s="47" t="s">
        <v>293</v>
      </c>
      <c r="E152" s="48"/>
      <c r="F152" s="47" t="s">
        <v>103</v>
      </c>
      <c r="G152" s="47" t="s">
        <v>294</v>
      </c>
      <c r="H152" s="49">
        <v>0.746</v>
      </c>
      <c r="I152" s="49">
        <v>0.152</v>
      </c>
      <c r="J152" s="49">
        <v>0.88200000000000001</v>
      </c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  <c r="BT152" s="47" t="s">
        <v>1132</v>
      </c>
      <c r="BU152" s="47"/>
      <c r="BV152" s="47"/>
      <c r="BW152" s="50"/>
    </row>
    <row r="153" spans="1:75" x14ac:dyDescent="0.2">
      <c r="A153" s="47"/>
      <c r="B153" s="47" t="s">
        <v>406</v>
      </c>
      <c r="C153" s="47"/>
      <c r="D153" s="47" t="s">
        <v>131</v>
      </c>
      <c r="E153" s="48"/>
      <c r="F153" s="47" t="s">
        <v>103</v>
      </c>
      <c r="G153" s="47" t="s">
        <v>132</v>
      </c>
      <c r="H153" s="49">
        <v>0.63500000000000001</v>
      </c>
      <c r="I153" s="49">
        <v>0.26800000000000002</v>
      </c>
      <c r="J153" s="49">
        <v>0.86</v>
      </c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  <c r="BT153" s="47" t="s">
        <v>1133</v>
      </c>
      <c r="BU153" s="47"/>
      <c r="BV153" s="47"/>
      <c r="BW153" s="50"/>
    </row>
    <row r="154" spans="1:75" x14ac:dyDescent="0.2">
      <c r="A154" s="47"/>
      <c r="B154" s="47" t="s">
        <v>406</v>
      </c>
      <c r="C154" s="47"/>
      <c r="D154" s="47" t="s">
        <v>339</v>
      </c>
      <c r="E154" s="48"/>
      <c r="F154" s="47" t="s">
        <v>103</v>
      </c>
      <c r="G154" s="47" t="s">
        <v>294</v>
      </c>
      <c r="H154" s="49">
        <v>0.746</v>
      </c>
      <c r="I154" s="49">
        <v>0.152</v>
      </c>
      <c r="J154" s="49">
        <v>0.88200000000000001</v>
      </c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  <c r="BT154" s="47" t="s">
        <v>1134</v>
      </c>
      <c r="BU154" s="47"/>
      <c r="BV154" s="47"/>
      <c r="BW154" s="54">
        <v>0.93</v>
      </c>
    </row>
    <row r="155" spans="1:75" x14ac:dyDescent="0.2">
      <c r="A155" s="47"/>
      <c r="B155" s="47" t="s">
        <v>406</v>
      </c>
      <c r="C155" s="47"/>
      <c r="D155" s="47" t="s">
        <v>161</v>
      </c>
      <c r="E155" s="48"/>
      <c r="F155" s="47" t="s">
        <v>103</v>
      </c>
      <c r="G155" s="47" t="s">
        <v>162</v>
      </c>
      <c r="H155" s="32">
        <v>0.69799999999999995</v>
      </c>
      <c r="I155" s="32">
        <v>0.28999999999999998</v>
      </c>
      <c r="J155" s="32">
        <v>0.60299999999999998</v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  <c r="BT155" s="47" t="s">
        <v>1135</v>
      </c>
      <c r="BU155" s="47"/>
      <c r="BV155" s="47"/>
      <c r="BW155" s="50"/>
    </row>
    <row r="156" spans="1:75" x14ac:dyDescent="0.2">
      <c r="A156" s="47"/>
      <c r="B156" s="47" t="s">
        <v>406</v>
      </c>
      <c r="C156" s="47"/>
      <c r="D156" s="47" t="s">
        <v>261</v>
      </c>
      <c r="E156" s="48"/>
      <c r="F156" s="47" t="s">
        <v>103</v>
      </c>
      <c r="G156" s="47" t="s">
        <v>175</v>
      </c>
      <c r="H156" s="49">
        <v>0.85599999999999998</v>
      </c>
      <c r="I156" s="49">
        <v>2.1000000000000001E-2</v>
      </c>
      <c r="J156" s="49">
        <v>0.995</v>
      </c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  <c r="BT156" s="47" t="s">
        <v>1136</v>
      </c>
      <c r="BU156" s="47"/>
      <c r="BV156" s="47"/>
      <c r="BW156" s="54">
        <v>0.82</v>
      </c>
    </row>
    <row r="157" spans="1:75" x14ac:dyDescent="0.2">
      <c r="A157" s="47"/>
      <c r="B157" s="47" t="s">
        <v>406</v>
      </c>
      <c r="C157" s="47"/>
      <c r="D157" s="47" t="s">
        <v>369</v>
      </c>
      <c r="E157" s="48"/>
      <c r="F157" s="47" t="s">
        <v>103</v>
      </c>
      <c r="G157" s="47" t="s">
        <v>175</v>
      </c>
      <c r="H157" s="32">
        <v>0.85599999999999998</v>
      </c>
      <c r="I157" s="32">
        <v>2.1000000000000001E-2</v>
      </c>
      <c r="J157" s="32">
        <v>0.995</v>
      </c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  <c r="BT157" s="47" t="s">
        <v>1136</v>
      </c>
      <c r="BU157" s="47"/>
      <c r="BV157" s="47"/>
      <c r="BW157" s="50"/>
    </row>
    <row r="158" spans="1:75" x14ac:dyDescent="0.2">
      <c r="A158" s="47"/>
      <c r="B158" s="47" t="s">
        <v>406</v>
      </c>
      <c r="C158" s="47"/>
      <c r="D158" s="47" t="s">
        <v>187</v>
      </c>
      <c r="E158" s="48"/>
      <c r="F158" s="47" t="s">
        <v>103</v>
      </c>
      <c r="G158" s="47" t="s">
        <v>188</v>
      </c>
      <c r="H158" s="49">
        <v>0.38200000000000001</v>
      </c>
      <c r="I158" s="49">
        <v>0.58499999999999996</v>
      </c>
      <c r="J158" s="49">
        <v>0.64600000000000002</v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 t="s">
        <v>1137</v>
      </c>
      <c r="BU158" s="47"/>
      <c r="BV158" s="47"/>
      <c r="BW158" s="50"/>
    </row>
    <row r="159" spans="1:75" x14ac:dyDescent="0.2">
      <c r="A159" s="47"/>
      <c r="B159" s="47" t="s">
        <v>406</v>
      </c>
      <c r="C159" s="47"/>
      <c r="D159" s="47" t="s">
        <v>110</v>
      </c>
      <c r="E159" s="48"/>
      <c r="F159" s="47" t="s">
        <v>103</v>
      </c>
      <c r="G159" s="47" t="s">
        <v>111</v>
      </c>
      <c r="H159" s="49">
        <v>0.92100000000000004</v>
      </c>
      <c r="I159" s="49">
        <v>0.26</v>
      </c>
      <c r="J159" s="49">
        <v>0.223</v>
      </c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  <c r="BT159" s="47"/>
      <c r="BU159" s="47"/>
      <c r="BV159" s="47"/>
      <c r="BW159" s="50"/>
    </row>
    <row r="160" spans="1:75" x14ac:dyDescent="0.2">
      <c r="A160" s="47"/>
      <c r="B160" s="47" t="s">
        <v>406</v>
      </c>
      <c r="C160" s="47"/>
      <c r="D160" s="47" t="s">
        <v>494</v>
      </c>
      <c r="E160" s="48"/>
      <c r="F160" s="47" t="s">
        <v>103</v>
      </c>
      <c r="G160" s="47" t="s">
        <v>495</v>
      </c>
      <c r="H160" s="49">
        <v>7.8E-2</v>
      </c>
      <c r="I160" s="49">
        <v>0.89500000000000002</v>
      </c>
      <c r="J160" s="49">
        <v>0.746</v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  <c r="BT160" s="47" t="s">
        <v>1138</v>
      </c>
      <c r="BU160" s="47"/>
      <c r="BV160" s="47"/>
      <c r="BW160" s="50"/>
    </row>
    <row r="161" spans="1:75" x14ac:dyDescent="0.2">
      <c r="A161" s="47"/>
      <c r="B161" s="47" t="s">
        <v>406</v>
      </c>
      <c r="C161" s="47"/>
      <c r="D161" s="47" t="s">
        <v>527</v>
      </c>
      <c r="E161" s="48"/>
      <c r="F161" s="47" t="s">
        <v>103</v>
      </c>
      <c r="G161" s="47" t="s">
        <v>195</v>
      </c>
      <c r="H161" s="49">
        <v>0.72299999999999998</v>
      </c>
      <c r="I161" s="49">
        <v>0.16900000000000001</v>
      </c>
      <c r="J161" s="49">
        <v>0.98099999999999998</v>
      </c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  <c r="BT161" s="47" t="s">
        <v>1139</v>
      </c>
      <c r="BU161" s="47"/>
      <c r="BV161" s="47"/>
      <c r="BW161" s="50"/>
    </row>
    <row r="162" spans="1:75" x14ac:dyDescent="0.2">
      <c r="A162" s="47"/>
      <c r="B162" s="47" t="s">
        <v>406</v>
      </c>
      <c r="C162" s="47"/>
      <c r="D162" s="47" t="s">
        <v>586</v>
      </c>
      <c r="E162" s="48"/>
      <c r="F162" s="47" t="s">
        <v>103</v>
      </c>
      <c r="G162" s="47" t="s">
        <v>195</v>
      </c>
      <c r="H162" s="49">
        <v>0.72299999999999998</v>
      </c>
      <c r="I162" s="49">
        <v>0.16900000000000001</v>
      </c>
      <c r="J162" s="49">
        <v>0.98099999999999998</v>
      </c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  <c r="BT162" s="47" t="s">
        <v>1103</v>
      </c>
      <c r="BU162" s="47"/>
      <c r="BV162" s="47"/>
      <c r="BW162" s="50"/>
    </row>
    <row r="163" spans="1:75" x14ac:dyDescent="0.2">
      <c r="A163" s="47"/>
      <c r="B163" s="47" t="s">
        <v>406</v>
      </c>
      <c r="C163" s="47"/>
      <c r="D163" s="47" t="s">
        <v>587</v>
      </c>
      <c r="E163" s="48"/>
      <c r="F163" s="47" t="s">
        <v>103</v>
      </c>
      <c r="G163" s="47" t="s">
        <v>195</v>
      </c>
      <c r="H163" s="49">
        <v>0.72299999999999998</v>
      </c>
      <c r="I163" s="49">
        <v>0.16900000000000001</v>
      </c>
      <c r="J163" s="49">
        <v>0.98099999999999998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  <c r="BT163" s="47" t="s">
        <v>1129</v>
      </c>
      <c r="BU163" s="47"/>
      <c r="BV163" s="47"/>
      <c r="BW163" s="50"/>
    </row>
    <row r="164" spans="1:75" x14ac:dyDescent="0.2">
      <c r="A164" s="47"/>
      <c r="B164" s="47" t="s">
        <v>406</v>
      </c>
      <c r="C164" s="47"/>
      <c r="D164" s="47" t="s">
        <v>588</v>
      </c>
      <c r="E164" s="48"/>
      <c r="F164" s="47" t="s">
        <v>103</v>
      </c>
      <c r="G164" s="47" t="s">
        <v>195</v>
      </c>
      <c r="H164" s="49">
        <v>0.72299999999999998</v>
      </c>
      <c r="I164" s="49">
        <v>0.16900000000000001</v>
      </c>
      <c r="J164" s="49">
        <v>0.98099999999999998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  <c r="BT164" s="47" t="s">
        <v>1127</v>
      </c>
      <c r="BU164" s="47"/>
      <c r="BV164" s="47"/>
      <c r="BW164" s="50"/>
    </row>
    <row r="165" spans="1:75" x14ac:dyDescent="0.2">
      <c r="A165" s="47"/>
      <c r="B165" s="47" t="s">
        <v>406</v>
      </c>
      <c r="C165" s="47"/>
      <c r="D165" s="47" t="s">
        <v>414</v>
      </c>
      <c r="E165" s="48"/>
      <c r="F165" s="47" t="s">
        <v>23</v>
      </c>
      <c r="G165" s="47" t="s">
        <v>325</v>
      </c>
      <c r="H165" s="49">
        <v>0.77200000000000002</v>
      </c>
      <c r="I165" s="49">
        <v>0.32200000000000001</v>
      </c>
      <c r="J165" s="49">
        <v>0.76900000000000002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  <c r="BT165" s="47" t="s">
        <v>1140</v>
      </c>
      <c r="BU165" s="47"/>
      <c r="BV165" s="47"/>
      <c r="BW165" s="54">
        <v>0.7</v>
      </c>
    </row>
    <row r="166" spans="1:75" x14ac:dyDescent="0.2">
      <c r="A166" s="47"/>
      <c r="B166" s="47" t="s">
        <v>406</v>
      </c>
      <c r="C166" s="47"/>
      <c r="D166" s="47" t="s">
        <v>423</v>
      </c>
      <c r="E166" s="48"/>
      <c r="F166" s="47" t="s">
        <v>23</v>
      </c>
      <c r="G166" s="47" t="s">
        <v>424</v>
      </c>
      <c r="H166" s="32">
        <v>0.497</v>
      </c>
      <c r="I166" s="32">
        <v>0.23499999999999999</v>
      </c>
      <c r="J166" s="32">
        <v>0.81200000000000006</v>
      </c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  <c r="BT166" s="47" t="s">
        <v>1128</v>
      </c>
      <c r="BU166" s="47"/>
      <c r="BV166" s="47"/>
      <c r="BW166" s="50"/>
    </row>
    <row r="167" spans="1:75" x14ac:dyDescent="0.2">
      <c r="A167" s="47"/>
      <c r="B167" s="47" t="s">
        <v>406</v>
      </c>
      <c r="C167" s="47"/>
      <c r="D167" s="47" t="s">
        <v>1141</v>
      </c>
      <c r="E167" s="48"/>
      <c r="F167" s="47" t="s">
        <v>23</v>
      </c>
      <c r="G167" s="47" t="s">
        <v>804</v>
      </c>
      <c r="H167" s="49"/>
      <c r="I167" s="49"/>
      <c r="J167" s="49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  <c r="BT167" s="47" t="s">
        <v>1142</v>
      </c>
      <c r="BU167" s="47"/>
      <c r="BV167" s="47"/>
      <c r="BW167" s="50"/>
    </row>
    <row r="168" spans="1:75" x14ac:dyDescent="0.2">
      <c r="A168" s="47"/>
      <c r="B168" s="47" t="s">
        <v>406</v>
      </c>
      <c r="C168" s="47"/>
      <c r="D168" s="47" t="s">
        <v>114</v>
      </c>
      <c r="E168" s="48"/>
      <c r="F168" s="47" t="s">
        <v>23</v>
      </c>
      <c r="G168" s="47" t="s">
        <v>115</v>
      </c>
      <c r="H168" s="49">
        <v>0.68300000000000005</v>
      </c>
      <c r="I168" s="49">
        <v>0.151</v>
      </c>
      <c r="J168" s="49">
        <v>0.38400000000000001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 t="s">
        <v>1143</v>
      </c>
      <c r="BU168" s="47"/>
      <c r="BV168" s="47"/>
      <c r="BW168" s="50"/>
    </row>
    <row r="169" spans="1:75" x14ac:dyDescent="0.2">
      <c r="A169" s="47"/>
      <c r="B169" s="47" t="s">
        <v>406</v>
      </c>
      <c r="C169" s="47"/>
      <c r="D169" s="47" t="s">
        <v>180</v>
      </c>
      <c r="E169" s="48"/>
      <c r="F169" s="47" t="s">
        <v>23</v>
      </c>
      <c r="G169" s="47" t="s">
        <v>181</v>
      </c>
      <c r="H169" s="49">
        <v>0.26600000000000001</v>
      </c>
      <c r="I169" s="49">
        <v>0.26200000000000001</v>
      </c>
      <c r="J169" s="49">
        <v>0.45100000000000001</v>
      </c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 t="s">
        <v>1144</v>
      </c>
      <c r="BU169" s="47"/>
      <c r="BV169" s="47"/>
      <c r="BW169" s="50"/>
    </row>
    <row r="170" spans="1:75" x14ac:dyDescent="0.2">
      <c r="A170" s="47"/>
      <c r="B170" s="47" t="s">
        <v>406</v>
      </c>
      <c r="C170" s="47"/>
      <c r="D170" s="47" t="s">
        <v>868</v>
      </c>
      <c r="E170" s="48"/>
      <c r="F170" s="47" t="s">
        <v>23</v>
      </c>
      <c r="G170" s="47" t="s">
        <v>316</v>
      </c>
      <c r="H170" s="49">
        <v>0.125</v>
      </c>
      <c r="I170" s="49">
        <v>0.26700000000000002</v>
      </c>
      <c r="J170" s="49">
        <v>0.63300000000000001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  <c r="BT170" s="47" t="s">
        <v>1145</v>
      </c>
      <c r="BU170" s="47"/>
      <c r="BV170" s="47"/>
      <c r="BW170" s="50"/>
    </row>
    <row r="171" spans="1:75" x14ac:dyDescent="0.2">
      <c r="A171" s="47"/>
      <c r="B171" s="47" t="s">
        <v>406</v>
      </c>
      <c r="C171" s="47"/>
      <c r="D171" s="47" t="s">
        <v>596</v>
      </c>
      <c r="E171" s="48"/>
      <c r="F171" s="47" t="s">
        <v>23</v>
      </c>
      <c r="G171" s="47" t="s">
        <v>597</v>
      </c>
      <c r="H171" s="49">
        <v>0.92800000000000005</v>
      </c>
      <c r="I171" s="49">
        <v>0.11799999999999999</v>
      </c>
      <c r="J171" s="49">
        <v>0.80900000000000005</v>
      </c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  <c r="BT171" s="47" t="s">
        <v>1146</v>
      </c>
      <c r="BU171" s="47"/>
      <c r="BV171" s="47"/>
      <c r="BW171" s="50"/>
    </row>
    <row r="172" spans="1:75" x14ac:dyDescent="0.2">
      <c r="A172" s="47"/>
      <c r="B172" s="47" t="s">
        <v>406</v>
      </c>
      <c r="C172" s="47"/>
      <c r="D172" s="47" t="s">
        <v>663</v>
      </c>
      <c r="E172" s="48"/>
      <c r="F172" s="47" t="s">
        <v>23</v>
      </c>
      <c r="G172" s="47" t="s">
        <v>451</v>
      </c>
      <c r="H172" s="49">
        <v>0.247</v>
      </c>
      <c r="I172" s="49">
        <v>0.34699999999999998</v>
      </c>
      <c r="J172" s="49">
        <v>0.70799999999999996</v>
      </c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  <c r="BT172" s="47" t="s">
        <v>1147</v>
      </c>
      <c r="BU172" s="47"/>
      <c r="BV172" s="47"/>
      <c r="BW172" s="50"/>
    </row>
    <row r="173" spans="1:75" x14ac:dyDescent="0.2">
      <c r="A173" s="47"/>
      <c r="B173" s="47" t="s">
        <v>406</v>
      </c>
      <c r="C173" s="47"/>
      <c r="D173" s="47" t="s">
        <v>699</v>
      </c>
      <c r="E173" s="48"/>
      <c r="F173" s="47" t="s">
        <v>23</v>
      </c>
      <c r="G173" s="47" t="s">
        <v>153</v>
      </c>
      <c r="H173" s="49">
        <v>0.59699999999999998</v>
      </c>
      <c r="I173" s="49">
        <v>3.1E-2</v>
      </c>
      <c r="J173" s="49">
        <v>0.95299999999999996</v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  <c r="BT173" s="47" t="s">
        <v>1121</v>
      </c>
      <c r="BU173" s="47"/>
      <c r="BV173" s="47"/>
      <c r="BW173" s="50"/>
    </row>
    <row r="174" spans="1:75" x14ac:dyDescent="0.2">
      <c r="A174" s="47"/>
      <c r="B174" s="47" t="s">
        <v>406</v>
      </c>
      <c r="C174" s="47"/>
      <c r="D174" s="47" t="s">
        <v>704</v>
      </c>
      <c r="E174" s="48"/>
      <c r="F174" s="47" t="s">
        <v>23</v>
      </c>
      <c r="G174" s="47" t="s">
        <v>153</v>
      </c>
      <c r="H174" s="49">
        <v>0.59699999999999998</v>
      </c>
      <c r="I174" s="49">
        <v>3.1E-2</v>
      </c>
      <c r="J174" s="49">
        <v>0.95299999999999996</v>
      </c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  <c r="BT174" s="47" t="s">
        <v>1147</v>
      </c>
      <c r="BU174" s="47"/>
      <c r="BV174" s="47"/>
      <c r="BW174" s="50"/>
    </row>
    <row r="175" spans="1:75" x14ac:dyDescent="0.2">
      <c r="A175" s="47"/>
      <c r="B175" s="47" t="s">
        <v>406</v>
      </c>
      <c r="C175" s="47"/>
      <c r="D175" s="47" t="s">
        <v>966</v>
      </c>
      <c r="E175" s="48"/>
      <c r="F175" s="47" t="s">
        <v>45</v>
      </c>
      <c r="G175" s="47" t="s">
        <v>505</v>
      </c>
      <c r="H175" s="49">
        <v>0.35799999999999998</v>
      </c>
      <c r="I175" s="49">
        <v>0.114</v>
      </c>
      <c r="J175" s="49">
        <v>0.873</v>
      </c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 t="s">
        <v>1127</v>
      </c>
      <c r="BU175" s="47"/>
      <c r="BV175" s="47"/>
      <c r="BW175" s="50"/>
    </row>
    <row r="176" spans="1:75" x14ac:dyDescent="0.2">
      <c r="A176" s="47"/>
      <c r="B176" s="47" t="s">
        <v>406</v>
      </c>
      <c r="C176" s="47"/>
      <c r="D176" s="47" t="s">
        <v>1148</v>
      </c>
      <c r="E176" s="48"/>
      <c r="F176" s="47" t="s">
        <v>45</v>
      </c>
      <c r="G176" s="47" t="s">
        <v>505</v>
      </c>
      <c r="H176" s="49">
        <v>0.35799999999999998</v>
      </c>
      <c r="I176" s="49">
        <v>0.114</v>
      </c>
      <c r="J176" s="49">
        <v>0.873</v>
      </c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  <c r="BT176" s="47" t="s">
        <v>1127</v>
      </c>
      <c r="BU176" s="47"/>
      <c r="BV176" s="47"/>
      <c r="BW176" s="50"/>
    </row>
    <row r="177" spans="1:75" x14ac:dyDescent="0.2">
      <c r="A177" s="47"/>
      <c r="B177" s="47" t="s">
        <v>406</v>
      </c>
      <c r="C177" s="47"/>
      <c r="D177" s="47" t="s">
        <v>1149</v>
      </c>
      <c r="E177" s="48"/>
      <c r="F177" s="47" t="s">
        <v>45</v>
      </c>
      <c r="G177" s="47" t="s">
        <v>505</v>
      </c>
      <c r="H177" s="49">
        <v>0.35799999999999998</v>
      </c>
      <c r="I177" s="49">
        <v>0.114</v>
      </c>
      <c r="J177" s="49">
        <v>0.873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  <c r="BT177" s="47" t="s">
        <v>1127</v>
      </c>
      <c r="BU177" s="47"/>
      <c r="BV177" s="47"/>
      <c r="BW177" s="54">
        <v>0.67</v>
      </c>
    </row>
    <row r="178" spans="1:75" x14ac:dyDescent="0.2">
      <c r="A178" s="47"/>
      <c r="B178" s="47" t="s">
        <v>406</v>
      </c>
      <c r="C178" s="47"/>
      <c r="D178" s="47" t="s">
        <v>287</v>
      </c>
      <c r="E178" s="48"/>
      <c r="F178" s="47" t="s">
        <v>45</v>
      </c>
      <c r="G178" s="47" t="s">
        <v>288</v>
      </c>
      <c r="H178" s="32">
        <v>0.25</v>
      </c>
      <c r="I178" s="32">
        <v>0.53700000000000003</v>
      </c>
      <c r="J178" s="32">
        <v>0.439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  <c r="BT178" s="47" t="s">
        <v>1112</v>
      </c>
      <c r="BU178" s="47"/>
      <c r="BV178" s="47"/>
      <c r="BW178" s="50">
        <v>90</v>
      </c>
    </row>
    <row r="179" spans="1:75" x14ac:dyDescent="0.2">
      <c r="A179" s="47"/>
      <c r="B179" s="47" t="s">
        <v>406</v>
      </c>
      <c r="C179" s="47"/>
      <c r="D179" s="47" t="s">
        <v>504</v>
      </c>
      <c r="E179" s="48"/>
      <c r="F179" s="47" t="s">
        <v>45</v>
      </c>
      <c r="G179" s="47" t="s">
        <v>505</v>
      </c>
      <c r="H179" s="32">
        <v>0.35799999999999998</v>
      </c>
      <c r="I179" s="32">
        <v>0.114</v>
      </c>
      <c r="J179" s="32">
        <v>0.873</v>
      </c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  <c r="BT179" s="47" t="s">
        <v>1111</v>
      </c>
      <c r="BU179" s="47"/>
      <c r="BV179" s="47"/>
      <c r="BW179" s="50"/>
    </row>
    <row r="180" spans="1:75" x14ac:dyDescent="0.2">
      <c r="A180" s="47"/>
      <c r="B180" s="47" t="s">
        <v>406</v>
      </c>
      <c r="C180" s="47"/>
      <c r="D180" s="47" t="s">
        <v>506</v>
      </c>
      <c r="E180" s="48"/>
      <c r="F180" s="47" t="s">
        <v>45</v>
      </c>
      <c r="G180" s="47" t="s">
        <v>505</v>
      </c>
      <c r="H180" s="49">
        <v>0.35799999999999998</v>
      </c>
      <c r="I180" s="49">
        <v>0.114</v>
      </c>
      <c r="J180" s="49">
        <v>0.873</v>
      </c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  <c r="BT180" s="47" t="s">
        <v>1111</v>
      </c>
      <c r="BU180" s="47"/>
      <c r="BV180" s="47"/>
      <c r="BW180" s="50"/>
    </row>
    <row r="181" spans="1:75" x14ac:dyDescent="0.2">
      <c r="A181" s="47"/>
      <c r="B181" s="47" t="s">
        <v>406</v>
      </c>
      <c r="C181" s="47"/>
      <c r="D181" s="47" t="s">
        <v>507</v>
      </c>
      <c r="E181" s="48"/>
      <c r="F181" s="47" t="s">
        <v>45</v>
      </c>
      <c r="G181" s="47" t="s">
        <v>505</v>
      </c>
      <c r="H181" s="49">
        <v>0.35799999999999998</v>
      </c>
      <c r="I181" s="49">
        <v>0.114</v>
      </c>
      <c r="J181" s="49">
        <v>0.873</v>
      </c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  <c r="BT181" s="47" t="s">
        <v>1127</v>
      </c>
      <c r="BU181" s="47"/>
      <c r="BV181" s="47"/>
      <c r="BW181" s="50"/>
    </row>
    <row r="182" spans="1:75" x14ac:dyDescent="0.2">
      <c r="A182" s="47"/>
      <c r="B182" s="47" t="s">
        <v>406</v>
      </c>
      <c r="C182" s="47"/>
      <c r="D182" s="47" t="s">
        <v>508</v>
      </c>
      <c r="E182" s="48"/>
      <c r="F182" s="47" t="s">
        <v>45</v>
      </c>
      <c r="G182" s="47" t="s">
        <v>505</v>
      </c>
      <c r="H182" s="49">
        <v>0.35799999999999998</v>
      </c>
      <c r="I182" s="49">
        <v>0.114</v>
      </c>
      <c r="J182" s="49">
        <v>0.873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  <c r="BT182" s="47" t="s">
        <v>1111</v>
      </c>
      <c r="BU182" s="47"/>
      <c r="BV182" s="47"/>
      <c r="BW182" s="50"/>
    </row>
    <row r="183" spans="1:75" x14ac:dyDescent="0.2">
      <c r="A183" s="47"/>
      <c r="B183" s="47" t="s">
        <v>406</v>
      </c>
      <c r="C183" s="47"/>
      <c r="D183" s="47" t="s">
        <v>435</v>
      </c>
      <c r="E183" s="48"/>
      <c r="F183" s="47" t="s">
        <v>45</v>
      </c>
      <c r="G183" s="47" t="s">
        <v>128</v>
      </c>
      <c r="H183" s="49">
        <v>0.25</v>
      </c>
      <c r="I183" s="49">
        <v>0.59799999999999998</v>
      </c>
      <c r="J183" s="49">
        <v>0.54900000000000004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  <c r="BT183" s="47" t="s">
        <v>1150</v>
      </c>
      <c r="BU183" s="47"/>
      <c r="BV183" s="47"/>
      <c r="BW183" s="50"/>
    </row>
    <row r="184" spans="1:75" x14ac:dyDescent="0.2">
      <c r="A184" s="47"/>
      <c r="B184" s="47" t="s">
        <v>406</v>
      </c>
      <c r="C184" s="47"/>
      <c r="D184" s="47" t="s">
        <v>452</v>
      </c>
      <c r="E184" s="48"/>
      <c r="F184" s="47" t="s">
        <v>45</v>
      </c>
      <c r="G184" s="47" t="s">
        <v>453</v>
      </c>
      <c r="H184" s="49">
        <v>0.68899999999999995</v>
      </c>
      <c r="I184" s="49">
        <v>0.13900000000000001</v>
      </c>
      <c r="J184" s="49">
        <v>0.90300000000000002</v>
      </c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  <c r="BT184" s="47" t="s">
        <v>1143</v>
      </c>
      <c r="BU184" s="47"/>
      <c r="BV184" s="47"/>
      <c r="BW184" s="50"/>
    </row>
    <row r="185" spans="1:75" x14ac:dyDescent="0.2">
      <c r="A185" s="47"/>
      <c r="B185" s="47" t="s">
        <v>406</v>
      </c>
      <c r="C185" s="47"/>
      <c r="D185" s="47" t="s">
        <v>199</v>
      </c>
      <c r="E185" s="48"/>
      <c r="F185" s="47" t="s">
        <v>45</v>
      </c>
      <c r="G185" s="47" t="s">
        <v>200</v>
      </c>
      <c r="H185" s="49">
        <v>0.189</v>
      </c>
      <c r="I185" s="49">
        <v>0.90200000000000002</v>
      </c>
      <c r="J185" s="49">
        <v>0.314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 t="s">
        <v>1151</v>
      </c>
      <c r="BU185" s="47"/>
      <c r="BV185" s="47"/>
      <c r="BW185" s="50"/>
    </row>
    <row r="186" spans="1:75" x14ac:dyDescent="0.2">
      <c r="A186" s="47"/>
      <c r="B186" s="47" t="s">
        <v>406</v>
      </c>
      <c r="C186" s="47"/>
      <c r="D186" s="47" t="s">
        <v>1152</v>
      </c>
      <c r="E186" s="48"/>
      <c r="F186" s="47" t="s">
        <v>45</v>
      </c>
      <c r="G186" s="47" t="s">
        <v>804</v>
      </c>
      <c r="H186" s="49"/>
      <c r="I186" s="49"/>
      <c r="J186" s="49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  <c r="BT186" s="47" t="s">
        <v>1153</v>
      </c>
      <c r="BU186" s="47"/>
      <c r="BV186" s="47"/>
      <c r="BW186" s="50"/>
    </row>
    <row r="187" spans="1:75" x14ac:dyDescent="0.2">
      <c r="A187" s="47"/>
      <c r="B187" s="47" t="s">
        <v>406</v>
      </c>
      <c r="C187" s="47"/>
      <c r="D187" s="47" t="s">
        <v>44</v>
      </c>
      <c r="E187" s="48"/>
      <c r="F187" s="47" t="s">
        <v>45</v>
      </c>
      <c r="G187" s="47" t="s">
        <v>46</v>
      </c>
      <c r="H187" s="49">
        <v>0.66700000000000004</v>
      </c>
      <c r="I187" s="49">
        <v>0.247</v>
      </c>
      <c r="J187" s="49">
        <v>0.55700000000000005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 t="s">
        <v>1154</v>
      </c>
      <c r="BU187" s="47"/>
      <c r="BV187" s="47"/>
      <c r="BW187" s="50"/>
    </row>
    <row r="188" spans="1:75" x14ac:dyDescent="0.2">
      <c r="A188" s="47"/>
      <c r="B188" s="47" t="s">
        <v>406</v>
      </c>
      <c r="C188" s="47"/>
      <c r="D188" s="47" t="s">
        <v>878</v>
      </c>
      <c r="E188" s="48"/>
      <c r="F188" s="47" t="s">
        <v>45</v>
      </c>
      <c r="G188" s="47" t="s">
        <v>505</v>
      </c>
      <c r="H188" s="49">
        <v>0.35799999999999998</v>
      </c>
      <c r="I188" s="49">
        <v>0.114</v>
      </c>
      <c r="J188" s="49">
        <v>0.873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 t="s">
        <v>1127</v>
      </c>
      <c r="BU188" s="47"/>
      <c r="BV188" s="47"/>
      <c r="BW188" s="54">
        <v>0.38</v>
      </c>
    </row>
    <row r="189" spans="1:75" x14ac:dyDescent="0.2">
      <c r="A189" s="47"/>
      <c r="B189" s="47" t="s">
        <v>406</v>
      </c>
      <c r="C189" s="47"/>
      <c r="D189" s="47" t="s">
        <v>878</v>
      </c>
      <c r="E189" s="48"/>
      <c r="F189" s="47" t="s">
        <v>45</v>
      </c>
      <c r="G189" s="47" t="s">
        <v>505</v>
      </c>
      <c r="H189" s="32">
        <v>0.35799999999999998</v>
      </c>
      <c r="I189" s="32">
        <v>0.114</v>
      </c>
      <c r="J189" s="32">
        <v>0.873</v>
      </c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  <c r="BT189" s="47" t="s">
        <v>1155</v>
      </c>
      <c r="BU189" s="47"/>
      <c r="BV189" s="47"/>
      <c r="BW189" s="54">
        <v>0.72</v>
      </c>
    </row>
    <row r="190" spans="1:75" x14ac:dyDescent="0.2">
      <c r="A190" s="47"/>
      <c r="B190" s="47" t="s">
        <v>406</v>
      </c>
      <c r="C190" s="47"/>
      <c r="D190" s="47" t="s">
        <v>878</v>
      </c>
      <c r="E190" s="48"/>
      <c r="F190" t="s">
        <v>45</v>
      </c>
      <c r="G190" s="47" t="s">
        <v>505</v>
      </c>
      <c r="H190" s="32">
        <v>0.35799999999999998</v>
      </c>
      <c r="I190" s="32">
        <v>0.114</v>
      </c>
      <c r="J190" s="32">
        <v>0.873</v>
      </c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  <c r="BT190" s="47" t="s">
        <v>1129</v>
      </c>
      <c r="BU190" s="47"/>
      <c r="BV190" s="47"/>
      <c r="BW190" s="50"/>
    </row>
    <row r="191" spans="1:75" x14ac:dyDescent="0.2">
      <c r="A191" s="47"/>
      <c r="B191" s="47" t="s">
        <v>406</v>
      </c>
      <c r="C191" s="47"/>
      <c r="D191" s="47" t="s">
        <v>512</v>
      </c>
      <c r="E191" s="48"/>
      <c r="F191" s="47" t="s">
        <v>45</v>
      </c>
      <c r="G191" s="47" t="s">
        <v>505</v>
      </c>
      <c r="H191" s="49">
        <v>0.35799999999999998</v>
      </c>
      <c r="I191" s="49">
        <v>0.114</v>
      </c>
      <c r="J191" s="49">
        <v>0.873</v>
      </c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 t="s">
        <v>1156</v>
      </c>
      <c r="BU191" s="47"/>
      <c r="BV191" s="47"/>
      <c r="BW191" s="50"/>
    </row>
    <row r="192" spans="1:75" x14ac:dyDescent="0.2">
      <c r="A192" s="47"/>
      <c r="B192" s="47" t="s">
        <v>406</v>
      </c>
      <c r="C192" s="47"/>
      <c r="D192" s="47" t="s">
        <v>522</v>
      </c>
      <c r="E192" s="48"/>
      <c r="F192" s="47" t="s">
        <v>45</v>
      </c>
      <c r="G192" s="47" t="s">
        <v>447</v>
      </c>
      <c r="H192" s="49">
        <v>0.47699999999999998</v>
      </c>
      <c r="I192" s="49">
        <v>0.372</v>
      </c>
      <c r="J192" s="49">
        <v>0.66300000000000003</v>
      </c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 t="s">
        <v>1084</v>
      </c>
      <c r="BU192" s="47"/>
      <c r="BV192" s="47"/>
      <c r="BW192" s="50"/>
    </row>
    <row r="193" spans="1:79" x14ac:dyDescent="0.2">
      <c r="A193" s="47"/>
      <c r="B193" s="47" t="s">
        <v>406</v>
      </c>
      <c r="C193" s="47"/>
      <c r="D193" s="47" t="s">
        <v>631</v>
      </c>
      <c r="E193" s="48"/>
      <c r="F193" s="47" t="s">
        <v>45</v>
      </c>
      <c r="G193" s="47" t="s">
        <v>447</v>
      </c>
      <c r="H193" s="49">
        <v>0.47699999999999998</v>
      </c>
      <c r="I193" s="49">
        <v>0.372</v>
      </c>
      <c r="J193" s="49">
        <v>0.66300000000000003</v>
      </c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 t="s">
        <v>1157</v>
      </c>
      <c r="BU193" s="47"/>
      <c r="BV193" s="47"/>
      <c r="BW193" s="50"/>
    </row>
    <row r="194" spans="1:79" x14ac:dyDescent="0.2">
      <c r="A194" s="47"/>
      <c r="B194" s="47" t="s">
        <v>406</v>
      </c>
      <c r="C194" s="47"/>
      <c r="D194" s="47" t="s">
        <v>643</v>
      </c>
      <c r="E194" s="48"/>
      <c r="F194" s="47" t="s">
        <v>45</v>
      </c>
      <c r="G194" s="47" t="s">
        <v>644</v>
      </c>
      <c r="H194" s="49">
        <v>0.57299999999999995</v>
      </c>
      <c r="I194" s="49">
        <v>0.35599999999999998</v>
      </c>
      <c r="J194" s="49">
        <v>0.90400000000000003</v>
      </c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 t="s">
        <v>1158</v>
      </c>
      <c r="BU194" s="47"/>
      <c r="BV194" s="47"/>
      <c r="BW194" s="50"/>
    </row>
    <row r="195" spans="1:79" x14ac:dyDescent="0.2">
      <c r="A195" s="47"/>
      <c r="B195" s="47" t="s">
        <v>406</v>
      </c>
      <c r="C195" s="47"/>
      <c r="D195" s="47" t="s">
        <v>427</v>
      </c>
      <c r="E195" s="48"/>
      <c r="F195" s="47" t="s">
        <v>30</v>
      </c>
      <c r="G195" s="47" t="s">
        <v>120</v>
      </c>
      <c r="H195" s="49">
        <v>0.221</v>
      </c>
      <c r="I195" s="49">
        <v>0.59899999999999998</v>
      </c>
      <c r="J195" s="49">
        <v>0.98799999999999999</v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 t="s">
        <v>1159</v>
      </c>
      <c r="BU195" s="47"/>
      <c r="BV195" s="47"/>
      <c r="BW195" s="50"/>
    </row>
    <row r="196" spans="1:79" x14ac:dyDescent="0.2">
      <c r="A196" s="47"/>
      <c r="B196" s="47" t="s">
        <v>406</v>
      </c>
      <c r="C196" s="47"/>
      <c r="D196" s="47" t="s">
        <v>430</v>
      </c>
      <c r="E196" s="48"/>
      <c r="F196" s="47" t="s">
        <v>30</v>
      </c>
      <c r="G196" s="47" t="s">
        <v>221</v>
      </c>
      <c r="H196" s="49">
        <v>0.54200000000000004</v>
      </c>
      <c r="I196" s="49">
        <v>0.52600000000000002</v>
      </c>
      <c r="J196" s="49">
        <v>0.97099999999999997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  <c r="BM196" s="47"/>
      <c r="BN196" s="47"/>
      <c r="BO196" s="47"/>
      <c r="BP196" s="47"/>
      <c r="BQ196" s="47"/>
      <c r="BR196" s="47"/>
      <c r="BS196" s="47"/>
      <c r="BT196" s="47" t="s">
        <v>1160</v>
      </c>
      <c r="BU196" s="47"/>
      <c r="BV196" s="47"/>
      <c r="BW196" s="50"/>
    </row>
    <row r="197" spans="1:79" x14ac:dyDescent="0.2">
      <c r="A197" s="47"/>
      <c r="B197" s="47" t="s">
        <v>406</v>
      </c>
      <c r="C197" s="47"/>
      <c r="D197" s="47" t="s">
        <v>802</v>
      </c>
      <c r="E197" s="48"/>
      <c r="F197" s="47" t="s">
        <v>30</v>
      </c>
      <c r="G197" s="47" t="s">
        <v>31</v>
      </c>
      <c r="H197" s="49">
        <v>0.76100000000000001</v>
      </c>
      <c r="I197" s="49">
        <v>4.9000000000000002E-2</v>
      </c>
      <c r="J197" s="49">
        <v>0.997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  <c r="BM197" s="47"/>
      <c r="BN197" s="47"/>
      <c r="BO197" s="47"/>
      <c r="BP197" s="47"/>
      <c r="BQ197" s="47"/>
      <c r="BR197" s="47"/>
      <c r="BS197" s="47"/>
      <c r="BT197" s="47" t="s">
        <v>1080</v>
      </c>
      <c r="BU197" s="47"/>
      <c r="BV197" s="47"/>
      <c r="BW197" s="50"/>
    </row>
    <row r="198" spans="1:79" x14ac:dyDescent="0.2">
      <c r="A198" s="47"/>
      <c r="B198" s="47" t="s">
        <v>406</v>
      </c>
      <c r="C198" s="47"/>
      <c r="D198" s="47" t="s">
        <v>1161</v>
      </c>
      <c r="E198" s="48"/>
      <c r="F198" s="47" t="s">
        <v>30</v>
      </c>
      <c r="G198" s="47" t="s">
        <v>120</v>
      </c>
      <c r="H198" s="49">
        <v>0.221</v>
      </c>
      <c r="I198" s="49">
        <v>0.59899999999999998</v>
      </c>
      <c r="J198" s="49">
        <v>0.98799999999999999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  <c r="BM198" s="47"/>
      <c r="BN198" s="47"/>
      <c r="BO198" s="47"/>
      <c r="BP198" s="47"/>
      <c r="BQ198" s="47"/>
      <c r="BR198" s="47"/>
      <c r="BS198" s="47"/>
      <c r="BT198" s="47" t="s">
        <v>1091</v>
      </c>
      <c r="BU198" s="47"/>
      <c r="BV198" s="47"/>
      <c r="BW198" s="50"/>
    </row>
    <row r="199" spans="1:79" x14ac:dyDescent="0.2">
      <c r="A199" s="47"/>
      <c r="B199" s="47" t="s">
        <v>406</v>
      </c>
      <c r="C199" s="47"/>
      <c r="D199" s="47" t="s">
        <v>490</v>
      </c>
      <c r="E199" s="48"/>
      <c r="F199" s="47" t="s">
        <v>30</v>
      </c>
      <c r="G199" s="47" t="s">
        <v>491</v>
      </c>
      <c r="H199" s="49">
        <v>0.41099999999999998</v>
      </c>
      <c r="I199" s="49">
        <v>0.59899999999999998</v>
      </c>
      <c r="J199" s="49">
        <v>0.65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  <c r="BM199" s="47"/>
      <c r="BN199" s="47"/>
      <c r="BO199" s="47"/>
      <c r="BP199" s="47"/>
      <c r="BQ199" s="47"/>
      <c r="BR199" s="47"/>
      <c r="BS199" s="47"/>
      <c r="BT199" s="47" t="s">
        <v>1129</v>
      </c>
      <c r="BU199" s="47"/>
      <c r="BV199" s="47"/>
      <c r="BW199" s="50"/>
    </row>
    <row r="200" spans="1:79" x14ac:dyDescent="0.2">
      <c r="A200" s="47"/>
      <c r="B200" s="47" t="s">
        <v>406</v>
      </c>
      <c r="C200" s="47"/>
      <c r="D200" s="47" t="s">
        <v>125</v>
      </c>
      <c r="E200" s="48"/>
      <c r="F200" s="47" t="s">
        <v>30</v>
      </c>
      <c r="G200" s="47" t="s">
        <v>126</v>
      </c>
      <c r="H200" s="49">
        <v>0.64100000000000001</v>
      </c>
      <c r="I200" s="49">
        <v>0.52800000000000002</v>
      </c>
      <c r="J200" s="49">
        <v>0.34799999999999998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Q200" s="47"/>
      <c r="BR200" s="47"/>
      <c r="BS200" s="47"/>
      <c r="BT200" s="47" t="s">
        <v>1090</v>
      </c>
      <c r="BU200" s="47"/>
      <c r="BV200" s="47"/>
      <c r="BW200" s="50"/>
    </row>
    <row r="201" spans="1:79" x14ac:dyDescent="0.2">
      <c r="A201" s="47"/>
      <c r="B201" s="47" t="s">
        <v>406</v>
      </c>
      <c r="C201" s="47"/>
      <c r="D201" s="47" t="s">
        <v>29</v>
      </c>
      <c r="E201" s="48"/>
      <c r="F201" s="47" t="s">
        <v>30</v>
      </c>
      <c r="G201" s="47" t="s">
        <v>31</v>
      </c>
      <c r="H201" s="49">
        <v>0.76100000000000001</v>
      </c>
      <c r="I201" s="49">
        <v>4.9000000000000002E-2</v>
      </c>
      <c r="J201" s="49">
        <v>0.997</v>
      </c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  <c r="BL201" s="47"/>
      <c r="BM201" s="47"/>
      <c r="BN201" s="47"/>
      <c r="BO201" s="47"/>
      <c r="BP201" s="47"/>
      <c r="BQ201" s="47"/>
      <c r="BR201" s="47"/>
      <c r="BS201" s="47"/>
      <c r="BT201" s="47" t="s">
        <v>1162</v>
      </c>
      <c r="BU201" s="47"/>
      <c r="BV201" s="47"/>
      <c r="BW201" s="50"/>
    </row>
    <row r="202" spans="1:79" x14ac:dyDescent="0.2">
      <c r="A202" s="47"/>
      <c r="B202" s="47" t="s">
        <v>406</v>
      </c>
      <c r="C202" s="47"/>
      <c r="D202" s="47" t="s">
        <v>73</v>
      </c>
      <c r="E202" s="48"/>
      <c r="F202" s="47" t="s">
        <v>30</v>
      </c>
      <c r="G202" s="47" t="s">
        <v>74</v>
      </c>
      <c r="H202" s="49">
        <v>0.64</v>
      </c>
      <c r="I202" s="49">
        <v>0.95099999999999996</v>
      </c>
      <c r="J202" s="49">
        <v>0.186</v>
      </c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  <c r="BL202" s="47"/>
      <c r="BM202" s="47"/>
      <c r="BN202" s="47"/>
      <c r="BO202" s="47"/>
      <c r="BP202" s="47"/>
      <c r="BQ202" s="47"/>
      <c r="BR202" s="47"/>
      <c r="BS202" s="47"/>
      <c r="BT202" s="47" t="s">
        <v>1075</v>
      </c>
      <c r="BU202" s="47"/>
      <c r="BV202" s="47"/>
      <c r="BW202" s="50"/>
    </row>
    <row r="203" spans="1:79" x14ac:dyDescent="0.2">
      <c r="A203" s="47"/>
      <c r="B203" s="47" t="s">
        <v>406</v>
      </c>
      <c r="C203" s="47"/>
      <c r="D203" s="47" t="s">
        <v>176</v>
      </c>
      <c r="E203" s="48"/>
      <c r="F203" s="47" t="s">
        <v>30</v>
      </c>
      <c r="G203" s="47" t="s">
        <v>120</v>
      </c>
      <c r="H203" s="49">
        <v>0.221</v>
      </c>
      <c r="I203" s="49">
        <v>0.59899999999999998</v>
      </c>
      <c r="J203" s="49">
        <v>0.98799999999999999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  <c r="BL203" s="47"/>
      <c r="BM203" s="47"/>
      <c r="BN203" s="47"/>
      <c r="BO203" s="47"/>
      <c r="BP203" s="47"/>
      <c r="BQ203" s="47"/>
      <c r="BR203" s="47"/>
      <c r="BS203" s="47"/>
      <c r="BT203" s="47" t="s">
        <v>1096</v>
      </c>
      <c r="BU203" s="47"/>
      <c r="BV203" s="47"/>
      <c r="BW203" s="50"/>
    </row>
    <row r="204" spans="1:79" x14ac:dyDescent="0.2">
      <c r="A204" s="47"/>
      <c r="B204" s="47" t="s">
        <v>406</v>
      </c>
      <c r="C204" s="47"/>
      <c r="D204" s="47" t="s">
        <v>344</v>
      </c>
      <c r="E204" s="48"/>
      <c r="F204" s="47" t="s">
        <v>30</v>
      </c>
      <c r="G204" s="47" t="s">
        <v>345</v>
      </c>
      <c r="H204" s="49">
        <v>0.98099999999999998</v>
      </c>
      <c r="I204" s="49">
        <v>7.0000000000000007E-2</v>
      </c>
      <c r="J204" s="49">
        <v>1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 t="s">
        <v>1163</v>
      </c>
      <c r="BU204" s="47"/>
      <c r="BV204" s="47"/>
      <c r="BW204" s="50"/>
    </row>
    <row r="205" spans="1:79" x14ac:dyDescent="0.2">
      <c r="A205" s="47"/>
      <c r="B205" s="47" t="s">
        <v>406</v>
      </c>
      <c r="C205" s="47"/>
      <c r="D205" s="47" t="s">
        <v>308</v>
      </c>
      <c r="E205" s="48"/>
      <c r="F205" s="47" t="s">
        <v>30</v>
      </c>
      <c r="G205" s="47" t="s">
        <v>31</v>
      </c>
      <c r="H205" s="49">
        <v>0.76100000000000001</v>
      </c>
      <c r="I205" s="49">
        <v>4.9000000000000002E-2</v>
      </c>
      <c r="J205" s="49">
        <v>0.997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 t="s">
        <v>1090</v>
      </c>
      <c r="BU205" s="47"/>
      <c r="BV205" s="47"/>
      <c r="BW205" s="50"/>
      <c r="CA205" s="18"/>
    </row>
    <row r="206" spans="1:79" x14ac:dyDescent="0.2">
      <c r="A206" s="47"/>
      <c r="B206" s="47" t="s">
        <v>406</v>
      </c>
      <c r="C206" s="47"/>
      <c r="D206" s="47" t="s">
        <v>119</v>
      </c>
      <c r="E206" s="48"/>
      <c r="F206" s="47" t="s">
        <v>30</v>
      </c>
      <c r="G206" s="47" t="s">
        <v>120</v>
      </c>
      <c r="H206" s="49">
        <v>0.221</v>
      </c>
      <c r="I206" s="49">
        <v>0.59899999999999998</v>
      </c>
      <c r="J206" s="49">
        <v>0.98799999999999999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7"/>
      <c r="BS206" s="47"/>
      <c r="BT206" s="47" t="s">
        <v>1154</v>
      </c>
      <c r="BU206" s="47"/>
      <c r="BV206" s="47"/>
      <c r="BW206" s="50"/>
    </row>
    <row r="207" spans="1:79" x14ac:dyDescent="0.2">
      <c r="A207" s="47"/>
      <c r="B207" s="47" t="s">
        <v>406</v>
      </c>
      <c r="C207" s="47"/>
      <c r="D207" s="47" t="s">
        <v>156</v>
      </c>
      <c r="E207" s="48"/>
      <c r="F207" s="47" t="s">
        <v>30</v>
      </c>
      <c r="G207" s="47" t="s">
        <v>120</v>
      </c>
      <c r="H207" s="49">
        <v>0.221</v>
      </c>
      <c r="I207" s="49">
        <v>0.59899999999999998</v>
      </c>
      <c r="J207" s="49">
        <v>0.98799999999999999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 t="s">
        <v>1133</v>
      </c>
      <c r="BU207" s="47"/>
      <c r="BV207" s="47"/>
      <c r="BW207" s="50"/>
    </row>
    <row r="208" spans="1:79" x14ac:dyDescent="0.2">
      <c r="A208" s="47"/>
      <c r="B208" s="47" t="s">
        <v>406</v>
      </c>
      <c r="C208" s="47"/>
      <c r="D208" s="47" t="s">
        <v>354</v>
      </c>
      <c r="E208" s="48"/>
      <c r="F208" s="47" t="s">
        <v>30</v>
      </c>
      <c r="G208" s="47" t="s">
        <v>355</v>
      </c>
      <c r="H208" s="49">
        <v>9.5000000000000001E-2</v>
      </c>
      <c r="I208" s="49">
        <v>0.96199999999999997</v>
      </c>
      <c r="J208" s="49">
        <v>0.70899999999999996</v>
      </c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  <c r="BL208" s="47"/>
      <c r="BM208" s="47"/>
      <c r="BN208" s="47"/>
      <c r="BO208" s="47"/>
      <c r="BP208" s="47"/>
      <c r="BQ208" s="47"/>
      <c r="BR208" s="47"/>
      <c r="BS208" s="47"/>
      <c r="BT208" s="47" t="s">
        <v>1164</v>
      </c>
      <c r="BU208" s="47"/>
      <c r="BV208" s="47"/>
      <c r="BW208" s="50"/>
    </row>
    <row r="209" spans="1:75" x14ac:dyDescent="0.2">
      <c r="A209" s="47"/>
      <c r="B209" s="47" t="s">
        <v>406</v>
      </c>
      <c r="C209" s="47"/>
      <c r="D209" s="47" t="s">
        <v>1165</v>
      </c>
      <c r="E209" s="48"/>
      <c r="F209" s="47" t="s">
        <v>30</v>
      </c>
      <c r="G209" s="47" t="s">
        <v>93</v>
      </c>
      <c r="H209" s="49">
        <v>0.05</v>
      </c>
      <c r="I209" s="49">
        <v>0.81100000000000005</v>
      </c>
      <c r="J209" s="49">
        <v>0.26600000000000001</v>
      </c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 t="s">
        <v>1166</v>
      </c>
      <c r="BU209" s="47"/>
      <c r="BV209" s="47"/>
      <c r="BW209" s="50"/>
    </row>
    <row r="210" spans="1:75" x14ac:dyDescent="0.2">
      <c r="A210" s="47"/>
      <c r="B210" s="47" t="s">
        <v>406</v>
      </c>
      <c r="C210" s="47"/>
      <c r="D210" s="47" t="s">
        <v>496</v>
      </c>
      <c r="E210" s="48"/>
      <c r="F210" s="47" t="s">
        <v>30</v>
      </c>
      <c r="G210" s="47" t="s">
        <v>497</v>
      </c>
      <c r="H210" s="49">
        <v>0.214</v>
      </c>
      <c r="I210" s="49">
        <v>0.84599999999999997</v>
      </c>
      <c r="J210" s="49">
        <v>0.57899999999999996</v>
      </c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 t="s">
        <v>1080</v>
      </c>
      <c r="BU210" s="47"/>
      <c r="BV210" s="47"/>
      <c r="BW210" s="50"/>
    </row>
    <row r="211" spans="1:75" x14ac:dyDescent="0.2">
      <c r="A211" s="47"/>
      <c r="B211" s="47" t="s">
        <v>406</v>
      </c>
      <c r="C211" s="47"/>
      <c r="D211" s="47" t="s">
        <v>498</v>
      </c>
      <c r="E211" s="48"/>
      <c r="F211" s="47" t="s">
        <v>30</v>
      </c>
      <c r="G211" s="47" t="s">
        <v>395</v>
      </c>
      <c r="H211" s="49">
        <v>0.55200000000000005</v>
      </c>
      <c r="I211" s="49">
        <v>0.628</v>
      </c>
      <c r="J211" s="49">
        <v>0.496</v>
      </c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 t="s">
        <v>1156</v>
      </c>
      <c r="BU211" s="47"/>
      <c r="BV211" s="47"/>
      <c r="BW211" s="50"/>
    </row>
    <row r="212" spans="1:75" x14ac:dyDescent="0.2">
      <c r="A212" s="47"/>
      <c r="B212" s="47" t="s">
        <v>406</v>
      </c>
      <c r="C212" s="47"/>
      <c r="D212" s="47" t="s">
        <v>878</v>
      </c>
      <c r="E212" s="48"/>
      <c r="F212" s="47" t="s">
        <v>30</v>
      </c>
      <c r="G212" s="47" t="s">
        <v>804</v>
      </c>
      <c r="H212" s="49"/>
      <c r="I212" s="49"/>
      <c r="J212" s="49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/>
      <c r="BP212" s="47"/>
      <c r="BQ212" s="47"/>
      <c r="BR212" s="47"/>
      <c r="BS212" s="47"/>
      <c r="BT212" s="47" t="s">
        <v>1167</v>
      </c>
      <c r="BU212" s="47"/>
      <c r="BV212" s="47"/>
      <c r="BW212" s="50"/>
    </row>
    <row r="213" spans="1:75" x14ac:dyDescent="0.2">
      <c r="A213" s="47"/>
      <c r="B213" s="47" t="s">
        <v>406</v>
      </c>
      <c r="C213" s="47"/>
      <c r="D213" s="47" t="s">
        <v>607</v>
      </c>
      <c r="E213" s="48"/>
      <c r="F213" s="47" t="s">
        <v>30</v>
      </c>
      <c r="G213" s="47" t="s">
        <v>395</v>
      </c>
      <c r="H213" s="49">
        <v>0.55200000000000005</v>
      </c>
      <c r="I213" s="49">
        <v>0.628</v>
      </c>
      <c r="J213" s="49">
        <v>0.496</v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  <c r="BL213" s="47"/>
      <c r="BM213" s="47"/>
      <c r="BN213" s="47"/>
      <c r="BO213" s="47"/>
      <c r="BP213" s="47"/>
      <c r="BQ213" s="47"/>
      <c r="BR213" s="47"/>
      <c r="BS213" s="47"/>
      <c r="BT213" s="47" t="s">
        <v>1078</v>
      </c>
      <c r="BU213" s="47"/>
      <c r="BV213" s="47"/>
      <c r="BW213" s="54">
        <v>0.75</v>
      </c>
    </row>
    <row r="214" spans="1:75" x14ac:dyDescent="0.2">
      <c r="A214" s="47"/>
      <c r="B214" s="47" t="s">
        <v>406</v>
      </c>
      <c r="C214" s="47"/>
      <c r="D214" s="47" t="s">
        <v>612</v>
      </c>
      <c r="E214" s="48"/>
      <c r="F214" s="47" t="s">
        <v>30</v>
      </c>
      <c r="G214" s="47" t="s">
        <v>613</v>
      </c>
      <c r="H214" s="32">
        <v>8.1000000000000003E-2</v>
      </c>
      <c r="I214" s="32">
        <v>0.66200000000000003</v>
      </c>
      <c r="J214" s="32">
        <v>0.69199999999999995</v>
      </c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  <c r="BL214" s="47"/>
      <c r="BM214" s="47"/>
      <c r="BN214" s="47"/>
      <c r="BO214" s="47"/>
      <c r="BP214" s="47"/>
      <c r="BQ214" s="47"/>
      <c r="BR214" s="47"/>
      <c r="BS214" s="47"/>
      <c r="BT214" s="47" t="s">
        <v>1159</v>
      </c>
      <c r="BU214" s="47"/>
      <c r="BV214" s="47"/>
      <c r="BW214" s="54">
        <v>0.75</v>
      </c>
    </row>
    <row r="215" spans="1:75" x14ac:dyDescent="0.2">
      <c r="A215" s="47"/>
      <c r="B215" s="47" t="s">
        <v>406</v>
      </c>
      <c r="C215" s="47"/>
      <c r="D215" s="47" t="s">
        <v>614</v>
      </c>
      <c r="E215" s="48"/>
      <c r="F215" s="47" t="s">
        <v>30</v>
      </c>
      <c r="G215" s="47" t="s">
        <v>613</v>
      </c>
      <c r="H215" s="32">
        <v>8.1000000000000003E-2</v>
      </c>
      <c r="I215" s="32">
        <v>0.66200000000000003</v>
      </c>
      <c r="J215" s="32">
        <v>0.69199999999999995</v>
      </c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  <c r="BL215" s="47"/>
      <c r="BM215" s="47"/>
      <c r="BN215" s="47"/>
      <c r="BO215" s="47"/>
      <c r="BP215" s="47"/>
      <c r="BQ215" s="47"/>
      <c r="BR215" s="47"/>
      <c r="BS215" s="47"/>
      <c r="BT215" s="47" t="s">
        <v>1113</v>
      </c>
      <c r="BU215" s="47"/>
      <c r="BV215" s="47"/>
      <c r="BW215" s="54"/>
    </row>
    <row r="216" spans="1:75" x14ac:dyDescent="0.2">
      <c r="A216" s="47"/>
      <c r="B216" s="47" t="s">
        <v>406</v>
      </c>
      <c r="C216" s="47"/>
      <c r="D216" s="47" t="s">
        <v>615</v>
      </c>
      <c r="E216" s="48"/>
      <c r="F216" s="47" t="s">
        <v>30</v>
      </c>
      <c r="G216" s="47" t="s">
        <v>616</v>
      </c>
      <c r="H216" s="32">
        <v>0.33500000000000002</v>
      </c>
      <c r="I216" s="32">
        <v>0.70399999999999996</v>
      </c>
      <c r="J216" s="32">
        <v>0.59199999999999997</v>
      </c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  <c r="BL216" s="47"/>
      <c r="BM216" s="47"/>
      <c r="BN216" s="47"/>
      <c r="BO216" s="47"/>
      <c r="BP216" s="47"/>
      <c r="BQ216" s="47"/>
      <c r="BR216" s="47"/>
      <c r="BS216" s="47"/>
      <c r="BT216" s="47" t="s">
        <v>1087</v>
      </c>
      <c r="BU216" s="47"/>
      <c r="BV216" s="47"/>
      <c r="BW216" s="54">
        <v>0.75</v>
      </c>
    </row>
    <row r="217" spans="1:75" x14ac:dyDescent="0.2">
      <c r="A217" s="47"/>
      <c r="B217" s="47" t="s">
        <v>406</v>
      </c>
      <c r="C217" s="47"/>
      <c r="D217" s="47" t="s">
        <v>617</v>
      </c>
      <c r="E217" s="48"/>
      <c r="F217" s="47" t="s">
        <v>30</v>
      </c>
      <c r="G217" s="47" t="s">
        <v>613</v>
      </c>
      <c r="H217" s="32">
        <v>8.1000000000000003E-2</v>
      </c>
      <c r="I217" s="32">
        <v>0.66200000000000003</v>
      </c>
      <c r="J217" s="32">
        <v>0.69199999999999995</v>
      </c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  <c r="BL217" s="47"/>
      <c r="BM217" s="47"/>
      <c r="BN217" s="47"/>
      <c r="BO217" s="47"/>
      <c r="BP217" s="47"/>
      <c r="BQ217" s="47"/>
      <c r="BR217" s="47"/>
      <c r="BS217" s="47"/>
      <c r="BT217" s="47" t="s">
        <v>1138</v>
      </c>
      <c r="BU217" s="47"/>
      <c r="BV217" s="47"/>
      <c r="BW217" s="50"/>
    </row>
    <row r="218" spans="1:75" x14ac:dyDescent="0.2">
      <c r="A218" s="47"/>
      <c r="B218" s="47" t="s">
        <v>406</v>
      </c>
      <c r="C218" s="47"/>
      <c r="D218" s="47" t="s">
        <v>885</v>
      </c>
      <c r="E218" s="48"/>
      <c r="F218" s="47" t="s">
        <v>30</v>
      </c>
      <c r="G218" s="47" t="s">
        <v>613</v>
      </c>
      <c r="H218" s="49">
        <v>8.1000000000000003E-2</v>
      </c>
      <c r="I218" s="49">
        <v>0.66200000000000003</v>
      </c>
      <c r="J218" s="49">
        <v>0.69199999999999995</v>
      </c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  <c r="BL218" s="47"/>
      <c r="BM218" s="47"/>
      <c r="BN218" s="47"/>
      <c r="BO218" s="47"/>
      <c r="BP218" s="47"/>
      <c r="BQ218" s="47"/>
      <c r="BR218" s="47"/>
      <c r="BS218" s="47"/>
      <c r="BT218" s="47" t="s">
        <v>1102</v>
      </c>
      <c r="BU218" s="47"/>
      <c r="BV218" s="47"/>
      <c r="BW218" s="54">
        <v>0.67</v>
      </c>
    </row>
    <row r="219" spans="1:75" x14ac:dyDescent="0.2">
      <c r="A219" s="47"/>
      <c r="B219" s="47" t="s">
        <v>406</v>
      </c>
      <c r="C219" s="47"/>
      <c r="D219" s="47" t="s">
        <v>619</v>
      </c>
      <c r="E219" s="48"/>
      <c r="F219" s="47" t="s">
        <v>30</v>
      </c>
      <c r="G219" s="47" t="s">
        <v>620</v>
      </c>
      <c r="H219" s="32">
        <v>0.14699999999999999</v>
      </c>
      <c r="I219" s="32">
        <v>0.81</v>
      </c>
      <c r="J219" s="32">
        <v>0.87</v>
      </c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 t="s">
        <v>1168</v>
      </c>
      <c r="BU219" s="47"/>
      <c r="BV219" s="47"/>
      <c r="BW219" s="50"/>
    </row>
    <row r="220" spans="1:75" x14ac:dyDescent="0.2">
      <c r="A220" s="47"/>
      <c r="B220" s="47" t="s">
        <v>406</v>
      </c>
      <c r="C220" s="47"/>
      <c r="D220" s="47" t="s">
        <v>656</v>
      </c>
      <c r="E220" s="48"/>
      <c r="F220" s="47" t="s">
        <v>30</v>
      </c>
      <c r="G220" s="47" t="s">
        <v>31</v>
      </c>
      <c r="H220" s="49">
        <v>0.76100000000000001</v>
      </c>
      <c r="I220" s="49">
        <v>4.9000000000000002E-2</v>
      </c>
      <c r="J220" s="49">
        <v>0.997</v>
      </c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 t="s">
        <v>1144</v>
      </c>
      <c r="BU220" s="47"/>
      <c r="BV220" s="47"/>
      <c r="BW220" s="54">
        <v>0.23</v>
      </c>
    </row>
    <row r="221" spans="1:75" x14ac:dyDescent="0.2">
      <c r="A221" s="47"/>
      <c r="B221" s="47" t="s">
        <v>406</v>
      </c>
      <c r="C221" s="47"/>
      <c r="D221" s="47" t="s">
        <v>674</v>
      </c>
      <c r="E221" s="48"/>
      <c r="F221" s="47" t="s">
        <v>30</v>
      </c>
      <c r="G221" s="47" t="s">
        <v>120</v>
      </c>
      <c r="H221" s="32">
        <v>0.221</v>
      </c>
      <c r="I221" s="32">
        <v>0.59899999999999998</v>
      </c>
      <c r="J221" s="32">
        <v>0.98799999999999999</v>
      </c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  <c r="BL221" s="47"/>
      <c r="BM221" s="47"/>
      <c r="BN221" s="47"/>
      <c r="BO221" s="47"/>
      <c r="BP221" s="47"/>
      <c r="BQ221" s="47"/>
      <c r="BR221" s="47"/>
      <c r="BS221" s="47"/>
      <c r="BT221" s="47" t="s">
        <v>1090</v>
      </c>
      <c r="BU221" s="47"/>
      <c r="BV221" s="47"/>
      <c r="BW221" s="57" t="s">
        <v>1169</v>
      </c>
    </row>
    <row r="222" spans="1:75" x14ac:dyDescent="0.2">
      <c r="A222" s="47"/>
      <c r="B222" s="47" t="s">
        <v>406</v>
      </c>
      <c r="C222" s="47"/>
      <c r="D222" s="47" t="s">
        <v>675</v>
      </c>
      <c r="E222" s="48"/>
      <c r="F222" s="47" t="s">
        <v>30</v>
      </c>
      <c r="G222" s="47" t="s">
        <v>676</v>
      </c>
      <c r="H222" s="32">
        <v>0.48799999999999999</v>
      </c>
      <c r="I222" s="32">
        <v>0.72199999999999998</v>
      </c>
      <c r="J222" s="32">
        <v>0.36299999999999999</v>
      </c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/>
      <c r="BP222" s="47"/>
      <c r="BQ222" s="47"/>
      <c r="BR222" s="47"/>
      <c r="BS222" s="47"/>
      <c r="BT222" s="47" t="s">
        <v>1170</v>
      </c>
      <c r="BU222" s="47"/>
      <c r="BV222" s="47"/>
      <c r="BW222" s="54">
        <v>0.81</v>
      </c>
    </row>
    <row r="223" spans="1:75" x14ac:dyDescent="0.2">
      <c r="A223" s="47"/>
      <c r="B223" s="47" t="s">
        <v>406</v>
      </c>
      <c r="C223" s="47"/>
      <c r="D223" s="47" t="s">
        <v>1171</v>
      </c>
      <c r="E223" s="48"/>
      <c r="F223" s="47" t="s">
        <v>30</v>
      </c>
      <c r="G223" s="47" t="s">
        <v>120</v>
      </c>
      <c r="H223" s="32">
        <v>0.221</v>
      </c>
      <c r="I223" s="32">
        <v>0.59899999999999998</v>
      </c>
      <c r="J223" s="32">
        <v>0.98799999999999999</v>
      </c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 t="s">
        <v>1136</v>
      </c>
      <c r="BU223" s="47"/>
      <c r="BV223" s="47"/>
      <c r="BW223" s="54">
        <v>0.28000000000000003</v>
      </c>
    </row>
    <row r="224" spans="1:75" x14ac:dyDescent="0.2">
      <c r="A224" s="47"/>
      <c r="B224" s="47" t="s">
        <v>406</v>
      </c>
      <c r="C224" s="47"/>
      <c r="D224" s="47" t="s">
        <v>693</v>
      </c>
      <c r="E224" s="48"/>
      <c r="F224" s="47" t="s">
        <v>30</v>
      </c>
      <c r="G224" s="47" t="s">
        <v>497</v>
      </c>
      <c r="H224" s="32">
        <v>0.214</v>
      </c>
      <c r="I224" s="32">
        <v>0.84599999999999997</v>
      </c>
      <c r="J224" s="32">
        <v>0.57899999999999996</v>
      </c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 t="s">
        <v>1164</v>
      </c>
      <c r="BU224" s="47"/>
      <c r="BV224" s="47"/>
      <c r="BW224" s="54">
        <v>0.75</v>
      </c>
    </row>
    <row r="225" spans="1:75" x14ac:dyDescent="0.2">
      <c r="A225" s="47"/>
      <c r="B225" s="47" t="s">
        <v>406</v>
      </c>
      <c r="C225" s="47"/>
      <c r="D225" s="47" t="s">
        <v>895</v>
      </c>
      <c r="E225" s="48"/>
      <c r="F225" s="47" t="s">
        <v>30</v>
      </c>
      <c r="G225" s="47" t="s">
        <v>120</v>
      </c>
      <c r="H225" s="32">
        <v>0.221</v>
      </c>
      <c r="I225" s="32">
        <v>0.59899999999999998</v>
      </c>
      <c r="J225" s="32">
        <v>0.98799999999999999</v>
      </c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 t="s">
        <v>1117</v>
      </c>
      <c r="BU225" s="47"/>
      <c r="BV225" s="47"/>
      <c r="BW225" s="54">
        <v>0.75</v>
      </c>
    </row>
    <row r="226" spans="1:75" x14ac:dyDescent="0.2">
      <c r="A226" s="47"/>
      <c r="B226" s="47" t="s">
        <v>406</v>
      </c>
      <c r="C226" s="47"/>
      <c r="D226" s="47" t="s">
        <v>700</v>
      </c>
      <c r="E226" s="48"/>
      <c r="F226" s="47" t="s">
        <v>30</v>
      </c>
      <c r="G226" s="47" t="s">
        <v>221</v>
      </c>
      <c r="H226" s="32">
        <v>0.54200000000000004</v>
      </c>
      <c r="I226" s="32">
        <v>0.52600000000000002</v>
      </c>
      <c r="J226" s="32">
        <v>0.97099999999999997</v>
      </c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  <c r="BL226" s="47"/>
      <c r="BM226" s="47"/>
      <c r="BN226" s="47"/>
      <c r="BO226" s="47"/>
      <c r="BP226" s="47"/>
      <c r="BQ226" s="47"/>
      <c r="BR226" s="47"/>
      <c r="BS226" s="47"/>
      <c r="BT226" s="47" t="s">
        <v>1172</v>
      </c>
      <c r="BU226" s="47"/>
      <c r="BV226" s="47"/>
      <c r="BW226" s="54">
        <v>0.75</v>
      </c>
    </row>
    <row r="227" spans="1:75" x14ac:dyDescent="0.2">
      <c r="A227" s="47"/>
      <c r="B227" s="47" t="s">
        <v>406</v>
      </c>
      <c r="C227" s="47"/>
      <c r="D227" s="47" t="s">
        <v>1173</v>
      </c>
      <c r="E227" s="48"/>
      <c r="F227" s="47" t="s">
        <v>30</v>
      </c>
      <c r="G227" s="47" t="s">
        <v>706</v>
      </c>
      <c r="H227" s="32">
        <v>0.377</v>
      </c>
      <c r="I227" s="32">
        <v>0.40400000000000003</v>
      </c>
      <c r="J227" s="32">
        <v>0.84299999999999997</v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R227" s="47"/>
      <c r="BS227" s="47"/>
      <c r="BT227" s="47" t="s">
        <v>1110</v>
      </c>
      <c r="BU227" s="47"/>
      <c r="BV227" s="47"/>
      <c r="BW227" s="54">
        <v>0.72</v>
      </c>
    </row>
    <row r="228" spans="1:75" x14ac:dyDescent="0.2">
      <c r="A228" s="47"/>
      <c r="B228" s="47" t="s">
        <v>406</v>
      </c>
      <c r="C228" s="47"/>
      <c r="D228" s="47" t="s">
        <v>899</v>
      </c>
      <c r="E228" s="48"/>
      <c r="F228" t="s">
        <v>30</v>
      </c>
      <c r="G228" s="47" t="s">
        <v>727</v>
      </c>
      <c r="H228" s="32">
        <v>0.54400000000000004</v>
      </c>
      <c r="I228" s="32">
        <v>0.88900000000000001</v>
      </c>
      <c r="J228" s="32">
        <v>0.28599999999999998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  <c r="BP228" s="47"/>
      <c r="BQ228" s="47"/>
      <c r="BR228" s="47"/>
      <c r="BS228" s="47"/>
      <c r="BT228" s="47" t="s">
        <v>1119</v>
      </c>
      <c r="BU228" s="47"/>
      <c r="BV228" s="47"/>
      <c r="BW228" s="50"/>
    </row>
    <row r="229" spans="1:75" x14ac:dyDescent="0.2">
      <c r="A229" s="47"/>
      <c r="B229" s="47" t="s">
        <v>406</v>
      </c>
      <c r="C229" s="47"/>
      <c r="D229" s="47" t="s">
        <v>734</v>
      </c>
      <c r="E229" s="48"/>
      <c r="F229" s="47" t="s">
        <v>30</v>
      </c>
      <c r="G229" s="47" t="s">
        <v>221</v>
      </c>
      <c r="H229" s="49">
        <v>0.54200000000000004</v>
      </c>
      <c r="I229" s="49">
        <v>0.52600000000000002</v>
      </c>
      <c r="J229" s="49">
        <v>0.97099999999999997</v>
      </c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 t="s">
        <v>1174</v>
      </c>
      <c r="BU229" s="47"/>
      <c r="BV229" s="47"/>
      <c r="BW229" s="50"/>
    </row>
    <row r="230" spans="1:75" x14ac:dyDescent="0.2">
      <c r="A230" s="47"/>
      <c r="B230" s="47" t="s">
        <v>406</v>
      </c>
      <c r="C230" s="47"/>
      <c r="D230" s="47" t="s">
        <v>773</v>
      </c>
      <c r="E230" s="48"/>
      <c r="F230" s="47" t="s">
        <v>30</v>
      </c>
      <c r="G230" s="47" t="s">
        <v>804</v>
      </c>
      <c r="H230" s="49"/>
      <c r="I230" s="49"/>
      <c r="J230" s="49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7"/>
      <c r="BR230" s="47"/>
      <c r="BS230" s="47"/>
      <c r="BT230" s="47" t="s">
        <v>1122</v>
      </c>
      <c r="BU230" s="47"/>
      <c r="BV230" s="47"/>
      <c r="BW230" s="50"/>
    </row>
    <row r="231" spans="1:75" x14ac:dyDescent="0.2">
      <c r="A231" s="47"/>
      <c r="B231" s="47" t="s">
        <v>406</v>
      </c>
      <c r="C231" s="47"/>
      <c r="D231" s="47" t="s">
        <v>776</v>
      </c>
      <c r="E231" s="48"/>
      <c r="F231" s="47" t="s">
        <v>30</v>
      </c>
      <c r="G231" s="47" t="s">
        <v>727</v>
      </c>
      <c r="H231" s="49">
        <v>0.54400000000000004</v>
      </c>
      <c r="I231" s="49">
        <v>0.88900000000000001</v>
      </c>
      <c r="J231" s="49">
        <v>0.28599999999999998</v>
      </c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  <c r="BL231" s="47"/>
      <c r="BM231" s="47"/>
      <c r="BN231" s="47"/>
      <c r="BO231" s="47"/>
      <c r="BP231" s="47"/>
      <c r="BQ231" s="47"/>
      <c r="BR231" s="47"/>
      <c r="BS231" s="47"/>
      <c r="BT231" s="47" t="s">
        <v>1103</v>
      </c>
      <c r="BU231" s="47"/>
      <c r="BV231" s="47"/>
      <c r="BW231" s="54">
        <v>0.69</v>
      </c>
    </row>
    <row r="232" spans="1:75" x14ac:dyDescent="0.2">
      <c r="A232" s="47"/>
      <c r="B232" s="47" t="s">
        <v>406</v>
      </c>
      <c r="C232" s="47"/>
      <c r="D232" s="47" t="s">
        <v>777</v>
      </c>
      <c r="E232" s="48"/>
      <c r="F232" s="47" t="s">
        <v>30</v>
      </c>
      <c r="G232" s="47" t="s">
        <v>727</v>
      </c>
      <c r="H232" s="32">
        <v>0.54400000000000004</v>
      </c>
      <c r="I232" s="32">
        <v>0.88900000000000001</v>
      </c>
      <c r="J232" s="32">
        <v>0.28599999999999998</v>
      </c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47"/>
      <c r="BS232" s="47"/>
      <c r="BT232" s="47" t="s">
        <v>1175</v>
      </c>
      <c r="BU232" s="47"/>
      <c r="BV232" s="47"/>
      <c r="BW232" s="54">
        <v>0.7</v>
      </c>
    </row>
    <row r="233" spans="1:75" x14ac:dyDescent="0.2">
      <c r="B233" s="58" t="s">
        <v>406</v>
      </c>
      <c r="C233" s="58"/>
      <c r="D233" s="58" t="s">
        <v>779</v>
      </c>
      <c r="E233" s="48"/>
      <c r="F233" t="s">
        <v>30</v>
      </c>
      <c r="G233" s="47" t="s">
        <v>126</v>
      </c>
      <c r="H233" s="32">
        <v>0.64100000000000001</v>
      </c>
      <c r="I233" s="32">
        <v>0.52800000000000002</v>
      </c>
      <c r="J233" s="32">
        <v>0.34799999999999998</v>
      </c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 t="s">
        <v>1078</v>
      </c>
      <c r="BU233" s="47"/>
      <c r="BV233" s="47"/>
      <c r="BW233" s="54">
        <v>0.72</v>
      </c>
    </row>
    <row r="234" spans="1:75" x14ac:dyDescent="0.2">
      <c r="B234" s="58" t="s">
        <v>406</v>
      </c>
      <c r="C234" s="58"/>
      <c r="D234" s="58" t="s">
        <v>782</v>
      </c>
      <c r="F234" t="s">
        <v>30</v>
      </c>
      <c r="G234" s="6" t="s">
        <v>491</v>
      </c>
      <c r="H234" s="32">
        <v>0.41099999999999998</v>
      </c>
      <c r="I234" s="32">
        <v>0.59899999999999998</v>
      </c>
      <c r="J234" s="32">
        <v>0.65</v>
      </c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O234" s="47"/>
      <c r="BP234" s="47"/>
      <c r="BQ234" s="47"/>
      <c r="BR234" s="47"/>
      <c r="BS234" s="47"/>
      <c r="BT234" s="47" t="s">
        <v>1164</v>
      </c>
      <c r="BU234" s="47"/>
      <c r="BV234" s="47"/>
      <c r="BW234" s="56">
        <v>0.94</v>
      </c>
    </row>
    <row r="235" spans="1:75" x14ac:dyDescent="0.2">
      <c r="B235" s="58" t="s">
        <v>406</v>
      </c>
      <c r="C235" s="58"/>
      <c r="D235" s="58" t="s">
        <v>783</v>
      </c>
      <c r="E235" s="48"/>
      <c r="F235" t="s">
        <v>30</v>
      </c>
      <c r="G235" s="6" t="s">
        <v>784</v>
      </c>
      <c r="H235" s="32">
        <v>0.41299999999999998</v>
      </c>
      <c r="I235" s="32">
        <v>0.70599999999999996</v>
      </c>
      <c r="J235" s="32">
        <v>0.30099999999999999</v>
      </c>
      <c r="BT235" t="s">
        <v>1175</v>
      </c>
      <c r="BW235" s="32">
        <v>0.51</v>
      </c>
    </row>
    <row r="236" spans="1:75" x14ac:dyDescent="0.2">
      <c r="B236" s="58" t="s">
        <v>406</v>
      </c>
      <c r="C236" s="58"/>
      <c r="D236" s="58" t="s">
        <v>785</v>
      </c>
      <c r="E236" s="48"/>
      <c r="F236" t="s">
        <v>30</v>
      </c>
      <c r="G236" s="6" t="s">
        <v>491</v>
      </c>
      <c r="H236" s="32">
        <v>0.41099999999999998</v>
      </c>
      <c r="I236" s="32">
        <v>0.59899999999999998</v>
      </c>
      <c r="J236" s="32">
        <v>0.65</v>
      </c>
      <c r="BT236" t="s">
        <v>1129</v>
      </c>
      <c r="BW236" s="32">
        <v>0.91</v>
      </c>
    </row>
    <row r="237" spans="1:75" x14ac:dyDescent="0.2">
      <c r="B237" s="58" t="s">
        <v>406</v>
      </c>
      <c r="C237" s="58"/>
      <c r="D237" s="58" t="s">
        <v>1176</v>
      </c>
      <c r="E237" s="48"/>
      <c r="F237" t="s">
        <v>30</v>
      </c>
      <c r="G237" s="6" t="s">
        <v>676</v>
      </c>
      <c r="H237" s="32">
        <v>0.48799999999999999</v>
      </c>
      <c r="I237" s="32">
        <v>0.72199999999999998</v>
      </c>
      <c r="J237" s="32">
        <v>0.36299999999999999</v>
      </c>
      <c r="BT237" t="s">
        <v>1177</v>
      </c>
      <c r="BW237" s="32">
        <v>0.81</v>
      </c>
    </row>
    <row r="238" spans="1:75" x14ac:dyDescent="0.2">
      <c r="B238" s="58" t="s">
        <v>406</v>
      </c>
      <c r="C238" s="58"/>
      <c r="D238" s="58" t="s">
        <v>483</v>
      </c>
      <c r="E238" s="48"/>
      <c r="F238" t="s">
        <v>52</v>
      </c>
      <c r="G238" s="6" t="s">
        <v>484</v>
      </c>
      <c r="H238" s="32">
        <v>0.191</v>
      </c>
      <c r="I238" s="32">
        <v>0.30499999999999999</v>
      </c>
      <c r="J238" s="32">
        <v>0.66700000000000004</v>
      </c>
      <c r="BT238" t="s">
        <v>1178</v>
      </c>
      <c r="BW238" s="32">
        <v>0.43</v>
      </c>
    </row>
    <row r="239" spans="1:75" x14ac:dyDescent="0.2">
      <c r="B239" s="58" t="s">
        <v>406</v>
      </c>
      <c r="C239" s="58"/>
      <c r="D239" s="58" t="s">
        <v>1179</v>
      </c>
      <c r="F239" t="s">
        <v>52</v>
      </c>
      <c r="G239" s="6" t="s">
        <v>53</v>
      </c>
      <c r="H239" s="32">
        <v>0.46300000000000002</v>
      </c>
      <c r="I239" s="32">
        <v>0.16900000000000001</v>
      </c>
      <c r="J239" s="32">
        <v>0.85899999999999999</v>
      </c>
      <c r="BT239" t="s">
        <v>1180</v>
      </c>
      <c r="BW239" s="13">
        <v>0.38</v>
      </c>
    </row>
    <row r="240" spans="1:75" x14ac:dyDescent="0.2">
      <c r="B240" s="58" t="s">
        <v>406</v>
      </c>
      <c r="C240" s="58"/>
      <c r="D240" s="58" t="s">
        <v>190</v>
      </c>
      <c r="F240" t="s">
        <v>52</v>
      </c>
      <c r="G240" s="6" t="s">
        <v>191</v>
      </c>
      <c r="H240" s="32">
        <v>0.315</v>
      </c>
      <c r="I240" s="32">
        <v>0.27400000000000002</v>
      </c>
      <c r="J240" s="32">
        <v>0.53100000000000003</v>
      </c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  <c r="BL240" s="47"/>
      <c r="BM240" s="47"/>
      <c r="BN240" s="47"/>
      <c r="BO240" s="47"/>
      <c r="BP240" s="47"/>
      <c r="BQ240" s="47"/>
      <c r="BR240" s="47"/>
      <c r="BS240" s="47"/>
      <c r="BT240" s="47" t="s">
        <v>1127</v>
      </c>
      <c r="BU240" s="47"/>
      <c r="BV240" s="47"/>
      <c r="BW240" s="54">
        <v>0.69</v>
      </c>
    </row>
    <row r="241" spans="2:75" x14ac:dyDescent="0.2">
      <c r="B241" s="58" t="s">
        <v>406</v>
      </c>
      <c r="C241" s="58"/>
      <c r="D241" s="58" t="s">
        <v>275</v>
      </c>
      <c r="F241" t="s">
        <v>52</v>
      </c>
      <c r="G241" s="6" t="s">
        <v>191</v>
      </c>
      <c r="H241" s="32">
        <v>0.315</v>
      </c>
      <c r="I241" s="32">
        <v>0.27400000000000002</v>
      </c>
      <c r="J241" s="32">
        <v>0.53100000000000003</v>
      </c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  <c r="BL241" s="47"/>
      <c r="BM241" s="47"/>
      <c r="BN241" s="47"/>
      <c r="BO241" s="47"/>
      <c r="BP241" s="47"/>
      <c r="BQ241" s="47"/>
      <c r="BR241" s="47"/>
      <c r="BS241" s="47"/>
      <c r="BT241" s="47" t="s">
        <v>1109</v>
      </c>
      <c r="BU241" s="47"/>
      <c r="BV241" s="47"/>
      <c r="BW241" s="56">
        <v>0.43</v>
      </c>
    </row>
    <row r="242" spans="2:75" x14ac:dyDescent="0.2">
      <c r="B242" s="58" t="s">
        <v>406</v>
      </c>
      <c r="C242" s="58"/>
      <c r="D242" s="58" t="s">
        <v>722</v>
      </c>
      <c r="F242" t="s">
        <v>52</v>
      </c>
      <c r="G242" s="6" t="s">
        <v>479</v>
      </c>
      <c r="H242" s="32">
        <v>0.82899999999999996</v>
      </c>
      <c r="I242" s="32">
        <v>0.34399999999999997</v>
      </c>
      <c r="J242" s="32">
        <v>0.68200000000000005</v>
      </c>
      <c r="BT242" t="s">
        <v>1080</v>
      </c>
      <c r="BW242" s="13">
        <v>0.75</v>
      </c>
    </row>
    <row r="243" spans="2:75" x14ac:dyDescent="0.2">
      <c r="B243" s="58" t="s">
        <v>406</v>
      </c>
      <c r="C243" s="58"/>
      <c r="D243" s="58" t="s">
        <v>480</v>
      </c>
      <c r="F243" t="s">
        <v>465</v>
      </c>
      <c r="G243" s="6" t="s">
        <v>466</v>
      </c>
      <c r="H243" s="32">
        <v>0.89500000000000002</v>
      </c>
      <c r="I243" s="32">
        <v>0.41199999999999998</v>
      </c>
      <c r="J243" s="32">
        <v>0.29399999999999998</v>
      </c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  <c r="BL243" s="47"/>
      <c r="BM243" s="47"/>
      <c r="BN243" s="47"/>
      <c r="BO243" s="47"/>
      <c r="BP243" s="47"/>
      <c r="BQ243" s="47"/>
      <c r="BR243" s="47"/>
      <c r="BS243" s="47"/>
      <c r="BT243" s="47" t="s">
        <v>1181</v>
      </c>
      <c r="BU243" s="47"/>
      <c r="BV243" s="47"/>
      <c r="BW243" s="56">
        <v>0.55000000000000004</v>
      </c>
    </row>
    <row r="244" spans="2:75" x14ac:dyDescent="0.2">
      <c r="B244" s="58" t="s">
        <v>406</v>
      </c>
      <c r="C244" s="58"/>
      <c r="D244" s="58" t="s">
        <v>177</v>
      </c>
      <c r="F244" t="s">
        <v>178</v>
      </c>
      <c r="G244" s="6" t="s">
        <v>179</v>
      </c>
      <c r="H244" s="32">
        <v>0.95599999999999996</v>
      </c>
      <c r="I244" s="32">
        <v>0.94699999999999995</v>
      </c>
      <c r="J244" s="32">
        <v>1.7000000000000001E-2</v>
      </c>
      <c r="BT244" t="s">
        <v>1182</v>
      </c>
      <c r="BW244" s="32">
        <v>0.95</v>
      </c>
    </row>
    <row r="245" spans="2:75" x14ac:dyDescent="0.2">
      <c r="B245" s="58" t="s">
        <v>406</v>
      </c>
      <c r="C245" s="58"/>
      <c r="D245" s="58" t="s">
        <v>398</v>
      </c>
      <c r="F245" t="s">
        <v>148</v>
      </c>
      <c r="G245" s="6" t="s">
        <v>149</v>
      </c>
      <c r="H245" s="32">
        <v>0.56999999999999995</v>
      </c>
      <c r="I245" s="32">
        <v>0.40100000000000002</v>
      </c>
      <c r="J245" s="32">
        <v>0.64900000000000002</v>
      </c>
      <c r="BT245" t="s">
        <v>1112</v>
      </c>
      <c r="BW245" s="32">
        <v>0.68</v>
      </c>
    </row>
    <row r="246" spans="2:75" x14ac:dyDescent="0.2">
      <c r="B246" s="58" t="s">
        <v>406</v>
      </c>
      <c r="C246" s="58"/>
      <c r="D246" s="58" t="s">
        <v>147</v>
      </c>
      <c r="F246" t="s">
        <v>148</v>
      </c>
      <c r="G246" s="6" t="s">
        <v>149</v>
      </c>
      <c r="H246" s="32">
        <v>0.56999999999999995</v>
      </c>
      <c r="I246" s="32">
        <v>0.40100000000000002</v>
      </c>
      <c r="J246" s="32">
        <v>0.64900000000000002</v>
      </c>
      <c r="BT246" t="s">
        <v>1119</v>
      </c>
      <c r="BW246" s="32">
        <v>0.57999999999999996</v>
      </c>
    </row>
    <row r="247" spans="2:75" x14ac:dyDescent="0.2">
      <c r="B247" s="58" t="s">
        <v>406</v>
      </c>
      <c r="C247" s="58"/>
      <c r="D247" s="58" t="s">
        <v>581</v>
      </c>
      <c r="F247" t="s">
        <v>582</v>
      </c>
      <c r="G247" s="6" t="s">
        <v>583</v>
      </c>
      <c r="H247" s="32">
        <v>0.81299999999999994</v>
      </c>
      <c r="I247" s="32">
        <v>0.124</v>
      </c>
      <c r="J247" s="32">
        <v>0.66400000000000003</v>
      </c>
      <c r="BT247" t="s">
        <v>1085</v>
      </c>
      <c r="BW247" s="32">
        <v>0.87</v>
      </c>
    </row>
    <row r="248" spans="2:75" x14ac:dyDescent="0.2">
      <c r="B248" s="58" t="s">
        <v>406</v>
      </c>
      <c r="C248" s="58"/>
      <c r="D248" s="58" t="s">
        <v>880</v>
      </c>
      <c r="F248" t="s">
        <v>582</v>
      </c>
      <c r="G248" s="6" t="s">
        <v>583</v>
      </c>
      <c r="H248" s="32">
        <v>0.81299999999999994</v>
      </c>
      <c r="I248" s="32">
        <v>0.124</v>
      </c>
      <c r="J248" s="32">
        <v>0.66400000000000003</v>
      </c>
      <c r="BT248" t="s">
        <v>1085</v>
      </c>
      <c r="BW248" s="13">
        <v>0.64</v>
      </c>
    </row>
    <row r="249" spans="2:75" x14ac:dyDescent="0.2">
      <c r="B249" s="58" t="s">
        <v>406</v>
      </c>
      <c r="C249" s="58"/>
      <c r="D249" s="58" t="s">
        <v>399</v>
      </c>
      <c r="F249" t="s">
        <v>400</v>
      </c>
      <c r="G249" s="6" t="s">
        <v>401</v>
      </c>
      <c r="H249" s="32">
        <v>0.32600000000000001</v>
      </c>
      <c r="I249" s="32">
        <v>0.76500000000000001</v>
      </c>
      <c r="J249" s="32">
        <v>0.28699999999999998</v>
      </c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  <c r="BL249" s="47"/>
      <c r="BM249" s="47"/>
      <c r="BN249" s="47"/>
      <c r="BO249" s="47"/>
      <c r="BP249" s="47"/>
      <c r="BQ249" s="47"/>
      <c r="BR249" s="47"/>
      <c r="BS249" s="47"/>
      <c r="BT249" s="47" t="s">
        <v>1131</v>
      </c>
      <c r="BU249" s="47"/>
      <c r="BV249" s="47"/>
      <c r="BW249" s="56">
        <v>0.97</v>
      </c>
    </row>
    <row r="250" spans="2:75" x14ac:dyDescent="0.2">
      <c r="B250" s="58" t="s">
        <v>406</v>
      </c>
      <c r="C250" s="58"/>
      <c r="D250" s="58" t="s">
        <v>737</v>
      </c>
      <c r="F250" t="s">
        <v>400</v>
      </c>
      <c r="G250" s="6" t="s">
        <v>738</v>
      </c>
      <c r="H250" s="32">
        <v>0.54</v>
      </c>
      <c r="I250" s="32">
        <v>0.36299999999999999</v>
      </c>
      <c r="J250" s="32">
        <v>0.124</v>
      </c>
      <c r="BT250" t="s">
        <v>1183</v>
      </c>
      <c r="BW250" s="32">
        <v>0.25</v>
      </c>
    </row>
    <row r="251" spans="2:75" x14ac:dyDescent="0.2">
      <c r="B251" s="58" t="s">
        <v>406</v>
      </c>
      <c r="C251" s="58"/>
      <c r="D251" s="58" t="s">
        <v>417</v>
      </c>
      <c r="F251" t="s">
        <v>418</v>
      </c>
      <c r="G251" s="6" t="s">
        <v>804</v>
      </c>
      <c r="H251" s="32"/>
      <c r="I251" s="32"/>
      <c r="J251" s="32"/>
      <c r="BT251" t="s">
        <v>1184</v>
      </c>
      <c r="BW251" s="32">
        <v>0.71</v>
      </c>
    </row>
    <row r="252" spans="2:75" x14ac:dyDescent="0.2">
      <c r="B252" s="58" t="s">
        <v>406</v>
      </c>
      <c r="C252" s="58"/>
      <c r="D252" s="58" t="s">
        <v>442</v>
      </c>
      <c r="F252" t="s">
        <v>169</v>
      </c>
      <c r="G252" s="6" t="s">
        <v>170</v>
      </c>
      <c r="H252" s="32">
        <v>0.68600000000000005</v>
      </c>
      <c r="I252" s="32">
        <v>8.2000000000000003E-2</v>
      </c>
      <c r="J252" s="32">
        <v>1</v>
      </c>
      <c r="BT252" t="s">
        <v>1089</v>
      </c>
      <c r="BW252" s="32">
        <v>0.28000000000000003</v>
      </c>
    </row>
    <row r="253" spans="2:75" x14ac:dyDescent="0.2">
      <c r="B253" s="58" t="s">
        <v>406</v>
      </c>
      <c r="C253" s="58"/>
      <c r="D253" s="58" t="s">
        <v>346</v>
      </c>
      <c r="F253" t="s">
        <v>169</v>
      </c>
      <c r="G253" s="6" t="s">
        <v>170</v>
      </c>
      <c r="H253" s="32">
        <v>0.68600000000000005</v>
      </c>
      <c r="I253" s="32">
        <v>8.2000000000000003E-2</v>
      </c>
      <c r="J253" s="32">
        <v>1</v>
      </c>
      <c r="BT253" t="s">
        <v>1185</v>
      </c>
      <c r="BW253" s="32">
        <v>0.06</v>
      </c>
    </row>
    <row r="254" spans="2:75" x14ac:dyDescent="0.2">
      <c r="B254" s="58" t="s">
        <v>406</v>
      </c>
      <c r="C254" s="58"/>
      <c r="D254" s="58" t="s">
        <v>168</v>
      </c>
      <c r="F254" t="s">
        <v>169</v>
      </c>
      <c r="G254" s="6" t="s">
        <v>170</v>
      </c>
      <c r="H254" s="32">
        <v>0.68600000000000005</v>
      </c>
      <c r="I254" s="32">
        <v>8.2000000000000003E-2</v>
      </c>
      <c r="J254" s="32">
        <v>1</v>
      </c>
      <c r="BT254" t="s">
        <v>1090</v>
      </c>
      <c r="BW254" s="32">
        <v>0.71</v>
      </c>
    </row>
    <row r="255" spans="2:75" x14ac:dyDescent="0.2">
      <c r="B255" s="58" t="s">
        <v>406</v>
      </c>
      <c r="C255" s="58"/>
      <c r="D255" s="58" t="s">
        <v>420</v>
      </c>
      <c r="F255" t="s">
        <v>33</v>
      </c>
      <c r="G255" s="6" t="s">
        <v>421</v>
      </c>
      <c r="H255" s="32">
        <v>0.66800000000000004</v>
      </c>
      <c r="I255" s="32">
        <v>0.47499999999999998</v>
      </c>
      <c r="J255" s="32">
        <v>6.3E-2</v>
      </c>
      <c r="BT255" t="s">
        <v>1186</v>
      </c>
      <c r="BW255" s="32">
        <v>0.74</v>
      </c>
    </row>
    <row r="256" spans="2:75" x14ac:dyDescent="0.2">
      <c r="B256" s="58" t="s">
        <v>406</v>
      </c>
      <c r="C256" s="58"/>
      <c r="D256" s="58" t="s">
        <v>425</v>
      </c>
      <c r="F256" t="s">
        <v>33</v>
      </c>
      <c r="G256" s="6" t="s">
        <v>426</v>
      </c>
      <c r="H256" s="32">
        <v>0.90200000000000002</v>
      </c>
      <c r="I256" s="32">
        <v>0.85599999999999998</v>
      </c>
      <c r="J256" s="32">
        <v>0.17899999999999999</v>
      </c>
      <c r="BT256" t="s">
        <v>1187</v>
      </c>
      <c r="BW256" s="32">
        <v>0.97</v>
      </c>
    </row>
    <row r="257" spans="2:75" x14ac:dyDescent="0.2">
      <c r="B257" s="58" t="s">
        <v>406</v>
      </c>
      <c r="C257" s="58"/>
      <c r="D257" s="58" t="s">
        <v>32</v>
      </c>
      <c r="F257" t="s">
        <v>33</v>
      </c>
      <c r="G257" s="6" t="s">
        <v>34</v>
      </c>
      <c r="H257" s="32">
        <v>0.98499999999999999</v>
      </c>
      <c r="I257" s="32">
        <v>0.92300000000000004</v>
      </c>
      <c r="J257" s="32">
        <v>4.4999999999999998E-2</v>
      </c>
      <c r="BT257" t="s">
        <v>1188</v>
      </c>
      <c r="BW257" s="13">
        <v>0.73</v>
      </c>
    </row>
    <row r="258" spans="2:75" x14ac:dyDescent="0.2">
      <c r="B258" s="58" t="s">
        <v>406</v>
      </c>
      <c r="C258" s="58"/>
      <c r="D258" s="58" t="s">
        <v>433</v>
      </c>
      <c r="F258" t="s">
        <v>273</v>
      </c>
      <c r="G258" s="6" t="s">
        <v>434</v>
      </c>
      <c r="H258" s="32">
        <v>0.66700000000000004</v>
      </c>
      <c r="I258" s="32">
        <v>0.79700000000000004</v>
      </c>
      <c r="J258" s="32">
        <v>0.497</v>
      </c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7"/>
      <c r="BP258" s="47"/>
      <c r="BQ258" s="47"/>
      <c r="BR258" s="47"/>
      <c r="BS258" s="47"/>
      <c r="BT258" s="47" t="s">
        <v>1189</v>
      </c>
      <c r="BU258" s="47"/>
      <c r="BV258" s="47"/>
      <c r="BW258" s="56">
        <v>0.61</v>
      </c>
    </row>
    <row r="259" spans="2:75" x14ac:dyDescent="0.2">
      <c r="B259" s="58" t="s">
        <v>406</v>
      </c>
      <c r="C259" s="58"/>
      <c r="D259" s="58" t="s">
        <v>157</v>
      </c>
      <c r="F259" t="s">
        <v>95</v>
      </c>
      <c r="G259" s="6" t="s">
        <v>158</v>
      </c>
      <c r="H259" s="32">
        <v>0.92600000000000005</v>
      </c>
      <c r="I259" s="32">
        <v>0.502</v>
      </c>
      <c r="J259" s="32">
        <v>0.48899999999999999</v>
      </c>
      <c r="BT259" t="s">
        <v>1089</v>
      </c>
      <c r="BW259" s="32">
        <v>0.57999999999999996</v>
      </c>
    </row>
    <row r="260" spans="2:75" x14ac:dyDescent="0.2">
      <c r="B260" s="58" t="s">
        <v>406</v>
      </c>
      <c r="C260" s="58"/>
      <c r="D260" s="58" t="s">
        <v>1190</v>
      </c>
      <c r="F260" t="s">
        <v>95</v>
      </c>
      <c r="G260" s="6" t="s">
        <v>457</v>
      </c>
      <c r="H260" s="32">
        <v>0.45200000000000001</v>
      </c>
      <c r="I260" s="32">
        <v>0.70199999999999996</v>
      </c>
      <c r="J260" s="32">
        <v>0.51200000000000001</v>
      </c>
      <c r="BT260" t="s">
        <v>1090</v>
      </c>
      <c r="BW260" s="32">
        <v>0.79</v>
      </c>
    </row>
    <row r="261" spans="2:75" x14ac:dyDescent="0.2">
      <c r="B261" s="58" t="s">
        <v>406</v>
      </c>
      <c r="C261" s="58"/>
      <c r="D261" s="58" t="s">
        <v>1191</v>
      </c>
      <c r="F261" t="s">
        <v>95</v>
      </c>
      <c r="G261" s="6" t="s">
        <v>96</v>
      </c>
      <c r="H261" s="32">
        <v>0.28799999999999998</v>
      </c>
      <c r="I261" s="32">
        <v>0.438</v>
      </c>
      <c r="J261" s="32">
        <v>0.86599999999999999</v>
      </c>
      <c r="BT261" t="s">
        <v>1192</v>
      </c>
      <c r="BW261" s="13">
        <v>0.69</v>
      </c>
    </row>
    <row r="262" spans="2:75" x14ac:dyDescent="0.2">
      <c r="B262" s="58" t="s">
        <v>406</v>
      </c>
      <c r="C262" s="58"/>
      <c r="D262" s="58" t="s">
        <v>489</v>
      </c>
      <c r="F262" t="s">
        <v>95</v>
      </c>
      <c r="G262" s="6" t="s">
        <v>304</v>
      </c>
      <c r="H262" s="32">
        <v>0.70499999999999996</v>
      </c>
      <c r="I262" s="32">
        <v>0.28100000000000003</v>
      </c>
      <c r="J262" s="32">
        <v>0.35699999999999998</v>
      </c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 t="s">
        <v>1073</v>
      </c>
      <c r="BU262" s="47"/>
      <c r="BV262" s="47"/>
      <c r="BW262" s="56">
        <v>0.4</v>
      </c>
    </row>
    <row r="263" spans="2:75" x14ac:dyDescent="0.2">
      <c r="B263" s="58" t="s">
        <v>406</v>
      </c>
      <c r="C263" s="58"/>
      <c r="D263" s="58" t="s">
        <v>493</v>
      </c>
      <c r="F263" t="s">
        <v>95</v>
      </c>
      <c r="G263" s="6" t="s">
        <v>246</v>
      </c>
      <c r="H263" s="32">
        <v>0.505</v>
      </c>
      <c r="I263" s="32">
        <v>0.29399999999999998</v>
      </c>
      <c r="J263" s="32">
        <v>0.215</v>
      </c>
      <c r="BT263" t="s">
        <v>1193</v>
      </c>
      <c r="BW263" s="32">
        <v>0.72</v>
      </c>
    </row>
    <row r="264" spans="2:75" x14ac:dyDescent="0.2">
      <c r="B264" s="58" t="s">
        <v>406</v>
      </c>
      <c r="C264" s="58"/>
      <c r="D264" s="58" t="s">
        <v>249</v>
      </c>
      <c r="F264" t="s">
        <v>95</v>
      </c>
      <c r="G264" s="6" t="s">
        <v>250</v>
      </c>
      <c r="H264" s="32">
        <v>0.58399999999999996</v>
      </c>
      <c r="I264" s="32">
        <v>0.84299999999999997</v>
      </c>
      <c r="J264" s="32">
        <v>0.55300000000000005</v>
      </c>
      <c r="BT264" t="s">
        <v>1178</v>
      </c>
      <c r="BW264" s="13">
        <v>0.38</v>
      </c>
    </row>
    <row r="265" spans="2:75" x14ac:dyDescent="0.2">
      <c r="B265" s="58" t="s">
        <v>406</v>
      </c>
      <c r="C265" s="58"/>
      <c r="D265" s="58" t="s">
        <v>1194</v>
      </c>
      <c r="F265" t="s">
        <v>95</v>
      </c>
      <c r="G265" s="6" t="s">
        <v>1195</v>
      </c>
      <c r="H265" s="32">
        <v>0.106</v>
      </c>
      <c r="I265" s="32">
        <v>0.70399999999999996</v>
      </c>
      <c r="J265" s="32">
        <v>0.46100000000000002</v>
      </c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  <c r="BL265" s="47"/>
      <c r="BM265" s="47"/>
      <c r="BN265" s="47"/>
      <c r="BO265" s="47"/>
      <c r="BP265" s="47"/>
      <c r="BQ265" s="47"/>
      <c r="BR265" s="47"/>
      <c r="BS265" s="47"/>
      <c r="BT265" s="47" t="s">
        <v>1111</v>
      </c>
      <c r="BU265" s="47"/>
      <c r="BV265" s="47"/>
      <c r="BW265" s="56">
        <v>0.7</v>
      </c>
    </row>
    <row r="266" spans="2:75" x14ac:dyDescent="0.2">
      <c r="B266" s="58" t="s">
        <v>406</v>
      </c>
      <c r="C266" s="58"/>
      <c r="D266" s="58" t="s">
        <v>205</v>
      </c>
      <c r="F266" t="s">
        <v>95</v>
      </c>
      <c r="G266" s="6" t="s">
        <v>206</v>
      </c>
      <c r="H266" s="32">
        <v>0.29199999999999998</v>
      </c>
      <c r="I266" s="32">
        <v>0.91900000000000004</v>
      </c>
      <c r="J266" s="32">
        <v>0.20499999999999999</v>
      </c>
      <c r="BT266" t="s">
        <v>1133</v>
      </c>
      <c r="BW266" s="32">
        <v>0.42</v>
      </c>
    </row>
    <row r="267" spans="2:75" x14ac:dyDescent="0.2">
      <c r="B267" s="58" t="s">
        <v>406</v>
      </c>
      <c r="C267" s="58"/>
      <c r="D267" s="58" t="s">
        <v>94</v>
      </c>
      <c r="F267" t="s">
        <v>95</v>
      </c>
      <c r="G267" s="6" t="s">
        <v>96</v>
      </c>
      <c r="H267" s="32">
        <v>0.28799999999999998</v>
      </c>
      <c r="I267" s="32">
        <v>0.438</v>
      </c>
      <c r="J267" s="32">
        <v>0.86599999999999999</v>
      </c>
      <c r="BT267" t="s">
        <v>1129</v>
      </c>
      <c r="BW267" s="13">
        <v>0.23</v>
      </c>
    </row>
    <row r="268" spans="2:75" x14ac:dyDescent="0.2">
      <c r="B268" s="58" t="s">
        <v>406</v>
      </c>
      <c r="C268" s="58"/>
      <c r="D268" s="58" t="s">
        <v>245</v>
      </c>
      <c r="F268" t="s">
        <v>95</v>
      </c>
      <c r="G268" s="6" t="s">
        <v>246</v>
      </c>
      <c r="H268" s="32">
        <v>0.505</v>
      </c>
      <c r="I268" s="32">
        <v>0.29399999999999998</v>
      </c>
      <c r="J268" s="32">
        <v>0.215</v>
      </c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 t="s">
        <v>1073</v>
      </c>
      <c r="BU268" s="47"/>
      <c r="BV268" s="47"/>
      <c r="BW268" s="54">
        <v>0.38</v>
      </c>
    </row>
    <row r="269" spans="2:75" x14ac:dyDescent="0.2">
      <c r="B269" s="58" t="s">
        <v>406</v>
      </c>
      <c r="C269" s="58"/>
      <c r="D269" s="58" t="s">
        <v>356</v>
      </c>
      <c r="F269" t="s">
        <v>95</v>
      </c>
      <c r="G269" s="6" t="s">
        <v>357</v>
      </c>
      <c r="H269" s="32">
        <v>0.19600000000000001</v>
      </c>
      <c r="I269" s="32">
        <v>0.21099999999999999</v>
      </c>
      <c r="J269" s="32">
        <v>0.70399999999999996</v>
      </c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7"/>
      <c r="BR269" s="47"/>
      <c r="BS269" s="47"/>
      <c r="BT269" s="47" t="s">
        <v>1167</v>
      </c>
      <c r="BU269" s="47"/>
      <c r="BV269" s="47"/>
      <c r="BW269" s="56">
        <v>0.24</v>
      </c>
    </row>
    <row r="270" spans="2:75" x14ac:dyDescent="0.2">
      <c r="B270" s="58" t="s">
        <v>406</v>
      </c>
      <c r="C270" s="58"/>
      <c r="D270" s="58" t="s">
        <v>515</v>
      </c>
      <c r="F270" t="s">
        <v>95</v>
      </c>
      <c r="G270" s="6" t="s">
        <v>158</v>
      </c>
      <c r="H270" s="32">
        <v>0.92600000000000005</v>
      </c>
      <c r="I270" s="32">
        <v>0.502</v>
      </c>
      <c r="J270" s="32">
        <v>0.48899999999999999</v>
      </c>
      <c r="BT270" t="s">
        <v>1119</v>
      </c>
      <c r="BW270" s="32">
        <v>0.22</v>
      </c>
    </row>
    <row r="271" spans="2:75" x14ac:dyDescent="0.2">
      <c r="B271" s="58" t="s">
        <v>406</v>
      </c>
      <c r="C271" s="58"/>
      <c r="D271" s="58" t="s">
        <v>516</v>
      </c>
      <c r="F271" t="s">
        <v>95</v>
      </c>
      <c r="G271" s="6" t="s">
        <v>397</v>
      </c>
      <c r="H271" s="32">
        <v>0.38600000000000001</v>
      </c>
      <c r="I271" s="32">
        <v>0.72799999999999998</v>
      </c>
      <c r="J271" s="32">
        <v>0.58199999999999996</v>
      </c>
      <c r="BT271" t="s">
        <v>1106</v>
      </c>
      <c r="BW271" s="32">
        <v>0.14000000000000001</v>
      </c>
    </row>
    <row r="272" spans="2:75" x14ac:dyDescent="0.2">
      <c r="B272" s="58" t="s">
        <v>406</v>
      </c>
      <c r="C272" s="58"/>
      <c r="D272" s="58" t="s">
        <v>540</v>
      </c>
      <c r="F272" t="s">
        <v>95</v>
      </c>
      <c r="G272" s="6" t="s">
        <v>96</v>
      </c>
      <c r="H272" s="32">
        <v>0.28799999999999998</v>
      </c>
      <c r="I272" s="32">
        <v>0.438</v>
      </c>
      <c r="J272" s="32">
        <v>0.86599999999999999</v>
      </c>
      <c r="BT272" t="s">
        <v>1114</v>
      </c>
      <c r="BW272" s="32">
        <v>0.25</v>
      </c>
    </row>
    <row r="273" spans="2:75" x14ac:dyDescent="0.2">
      <c r="B273" s="58" t="s">
        <v>406</v>
      </c>
      <c r="C273" s="58"/>
      <c r="D273" s="58" t="s">
        <v>554</v>
      </c>
      <c r="F273" t="s">
        <v>95</v>
      </c>
      <c r="G273" s="6" t="s">
        <v>158</v>
      </c>
      <c r="H273" s="32">
        <v>0.92600000000000005</v>
      </c>
      <c r="I273" s="32">
        <v>0.502</v>
      </c>
      <c r="J273" s="32">
        <v>0.48899999999999999</v>
      </c>
      <c r="BT273" t="s">
        <v>1193</v>
      </c>
      <c r="BW273" s="32">
        <v>0.27</v>
      </c>
    </row>
    <row r="274" spans="2:75" x14ac:dyDescent="0.2">
      <c r="B274" s="58" t="s">
        <v>406</v>
      </c>
      <c r="C274" s="58"/>
      <c r="D274" s="58" t="s">
        <v>593</v>
      </c>
      <c r="F274" t="s">
        <v>95</v>
      </c>
      <c r="G274" s="6" t="s">
        <v>594</v>
      </c>
      <c r="H274" s="32">
        <v>0.193</v>
      </c>
      <c r="I274" s="32">
        <v>0.5</v>
      </c>
      <c r="J274" s="32">
        <v>0.89</v>
      </c>
      <c r="BT274" t="s">
        <v>1167</v>
      </c>
      <c r="BW274" s="32">
        <v>0.27</v>
      </c>
    </row>
    <row r="275" spans="2:75" x14ac:dyDescent="0.2">
      <c r="B275" s="58" t="s">
        <v>406</v>
      </c>
      <c r="C275" s="58"/>
      <c r="D275" s="58" t="s">
        <v>641</v>
      </c>
      <c r="F275" t="s">
        <v>95</v>
      </c>
      <c r="G275" s="6" t="s">
        <v>642</v>
      </c>
      <c r="H275" s="32">
        <v>0.29299999999999998</v>
      </c>
      <c r="I275" s="32">
        <v>0.74299999999999999</v>
      </c>
      <c r="J275" s="32">
        <v>0.53</v>
      </c>
      <c r="BT275" t="s">
        <v>1088</v>
      </c>
      <c r="BW275" s="32">
        <v>0.53</v>
      </c>
    </row>
    <row r="276" spans="2:75" x14ac:dyDescent="0.2">
      <c r="B276" s="58" t="s">
        <v>406</v>
      </c>
      <c r="C276" s="58"/>
      <c r="D276" s="58" t="s">
        <v>688</v>
      </c>
      <c r="F276" t="s">
        <v>95</v>
      </c>
      <c r="G276" s="6" t="s">
        <v>662</v>
      </c>
      <c r="H276" s="32">
        <v>0.313</v>
      </c>
      <c r="I276" s="32">
        <v>0.48899999999999999</v>
      </c>
      <c r="J276" s="32">
        <v>0.44</v>
      </c>
      <c r="BT276" t="s">
        <v>1196</v>
      </c>
      <c r="BW276" s="32">
        <v>0.37</v>
      </c>
    </row>
    <row r="277" spans="2:75" x14ac:dyDescent="0.2">
      <c r="B277" s="58" t="s">
        <v>406</v>
      </c>
      <c r="C277" s="58"/>
      <c r="D277" s="58" t="s">
        <v>730</v>
      </c>
      <c r="F277" t="s">
        <v>95</v>
      </c>
      <c r="G277" s="6" t="s">
        <v>731</v>
      </c>
      <c r="H277" s="32">
        <v>0.307</v>
      </c>
      <c r="I277" s="32">
        <v>0.79300000000000004</v>
      </c>
      <c r="J277" s="32">
        <v>0.435</v>
      </c>
      <c r="BT277" t="s">
        <v>1111</v>
      </c>
      <c r="BW277" s="32">
        <v>0.3</v>
      </c>
    </row>
    <row r="278" spans="2:75" x14ac:dyDescent="0.2">
      <c r="B278" s="58" t="s">
        <v>406</v>
      </c>
      <c r="C278" s="58"/>
      <c r="D278" s="58" t="s">
        <v>754</v>
      </c>
      <c r="F278" t="s">
        <v>95</v>
      </c>
      <c r="G278" s="6" t="s">
        <v>755</v>
      </c>
      <c r="H278" s="32">
        <v>0.318</v>
      </c>
      <c r="I278" s="32">
        <v>0.60399999999999998</v>
      </c>
      <c r="J278" s="32">
        <v>0.68899999999999995</v>
      </c>
      <c r="BT278" t="s">
        <v>1079</v>
      </c>
      <c r="BW278" s="32">
        <v>0.37</v>
      </c>
    </row>
    <row r="279" spans="2:75" x14ac:dyDescent="0.2">
      <c r="B279" s="58" t="s">
        <v>406</v>
      </c>
      <c r="C279" s="58"/>
      <c r="D279" s="58" t="s">
        <v>770</v>
      </c>
      <c r="F279" t="s">
        <v>95</v>
      </c>
      <c r="G279" s="6" t="s">
        <v>158</v>
      </c>
      <c r="H279" s="32">
        <v>0.92600000000000005</v>
      </c>
      <c r="I279" s="32">
        <v>0.502</v>
      </c>
      <c r="J279" s="32">
        <v>0.48899999999999999</v>
      </c>
      <c r="BT279" t="s">
        <v>1136</v>
      </c>
      <c r="BW279" s="32">
        <v>0.37</v>
      </c>
    </row>
    <row r="280" spans="2:75" x14ac:dyDescent="0.2">
      <c r="B280" s="58" t="s">
        <v>406</v>
      </c>
      <c r="C280" s="58"/>
      <c r="D280" s="58" t="s">
        <v>771</v>
      </c>
      <c r="F280" t="s">
        <v>95</v>
      </c>
      <c r="G280" s="6" t="s">
        <v>158</v>
      </c>
      <c r="H280" s="32">
        <v>0.92600000000000005</v>
      </c>
      <c r="I280" s="32">
        <v>0.502</v>
      </c>
      <c r="J280" s="32">
        <v>0.48899999999999999</v>
      </c>
      <c r="BT280" t="s">
        <v>1128</v>
      </c>
      <c r="BW280" s="32">
        <v>0.27</v>
      </c>
    </row>
    <row r="281" spans="2:75" x14ac:dyDescent="0.2">
      <c r="B281" s="58" t="s">
        <v>406</v>
      </c>
      <c r="C281" s="58"/>
      <c r="D281" s="58" t="s">
        <v>772</v>
      </c>
      <c r="F281" t="s">
        <v>95</v>
      </c>
      <c r="G281" s="6" t="s">
        <v>158</v>
      </c>
      <c r="H281" s="32">
        <v>0.92600000000000005</v>
      </c>
      <c r="I281" s="32">
        <v>0.502</v>
      </c>
      <c r="J281" s="32">
        <v>0.48899999999999999</v>
      </c>
      <c r="BT281" t="s">
        <v>1128</v>
      </c>
      <c r="BW281" s="32">
        <v>0.23</v>
      </c>
    </row>
    <row r="282" spans="2:75" x14ac:dyDescent="0.2">
      <c r="B282" s="58" t="s">
        <v>406</v>
      </c>
      <c r="C282" s="58"/>
      <c r="D282" s="58" t="s">
        <v>192</v>
      </c>
      <c r="F282" t="s">
        <v>68</v>
      </c>
      <c r="G282" s="6" t="s">
        <v>193</v>
      </c>
      <c r="H282" s="32">
        <v>0.64</v>
      </c>
      <c r="I282" s="32">
        <v>0.47199999999999998</v>
      </c>
      <c r="J282" s="32">
        <v>0.29499999999999998</v>
      </c>
      <c r="BT282" t="s">
        <v>1128</v>
      </c>
      <c r="BW282" s="32">
        <v>0.47</v>
      </c>
    </row>
    <row r="283" spans="2:75" x14ac:dyDescent="0.2">
      <c r="B283" s="58" t="s">
        <v>406</v>
      </c>
      <c r="C283" s="58"/>
      <c r="D283" s="58" t="s">
        <v>67</v>
      </c>
      <c r="F283" t="s">
        <v>68</v>
      </c>
      <c r="G283" s="6" t="s">
        <v>804</v>
      </c>
      <c r="H283" s="32"/>
      <c r="I283" s="32"/>
      <c r="J283" s="32"/>
      <c r="BT283" t="s">
        <v>1091</v>
      </c>
      <c r="BW283" s="32">
        <v>0.42</v>
      </c>
    </row>
    <row r="284" spans="2:75" x14ac:dyDescent="0.2">
      <c r="B284" s="58" t="s">
        <v>406</v>
      </c>
      <c r="C284" s="58"/>
      <c r="D284" s="58" t="s">
        <v>1124</v>
      </c>
      <c r="F284" t="s">
        <v>68</v>
      </c>
      <c r="G284" s="6" t="s">
        <v>580</v>
      </c>
      <c r="H284" s="32">
        <v>0.441</v>
      </c>
      <c r="I284" s="32">
        <v>0.33800000000000002</v>
      </c>
      <c r="J284" s="32">
        <v>0.86099999999999999</v>
      </c>
      <c r="BT284" t="s">
        <v>1075</v>
      </c>
      <c r="BW284" s="32">
        <v>0.18</v>
      </c>
    </row>
    <row r="285" spans="2:75" x14ac:dyDescent="0.2">
      <c r="B285" s="58" t="s">
        <v>406</v>
      </c>
      <c r="C285" s="58"/>
      <c r="D285" s="58" t="s">
        <v>1124</v>
      </c>
      <c r="F285" t="s">
        <v>68</v>
      </c>
      <c r="G285" s="6" t="s">
        <v>580</v>
      </c>
      <c r="H285" s="32">
        <v>0.441</v>
      </c>
      <c r="I285" s="32">
        <v>0.33800000000000002</v>
      </c>
      <c r="J285" s="32">
        <v>0.86099999999999999</v>
      </c>
      <c r="BT285" t="s">
        <v>1127</v>
      </c>
      <c r="BW285" s="32">
        <v>0.18</v>
      </c>
    </row>
    <row r="286" spans="2:75" x14ac:dyDescent="0.2">
      <c r="B286" s="58" t="s">
        <v>406</v>
      </c>
      <c r="C286" s="58"/>
      <c r="D286" s="58" t="s">
        <v>579</v>
      </c>
      <c r="F286" t="s">
        <v>68</v>
      </c>
      <c r="G286" s="6" t="s">
        <v>580</v>
      </c>
      <c r="H286" s="32">
        <v>0.441</v>
      </c>
      <c r="I286" s="32">
        <v>0.33800000000000002</v>
      </c>
      <c r="J286" s="32">
        <v>0.86099999999999999</v>
      </c>
      <c r="BT286" t="s">
        <v>1167</v>
      </c>
      <c r="BW286" s="32">
        <v>0.24</v>
      </c>
    </row>
    <row r="287" spans="2:75" x14ac:dyDescent="0.2">
      <c r="B287" s="58" t="s">
        <v>406</v>
      </c>
      <c r="C287" s="58"/>
      <c r="D287" s="58" t="s">
        <v>728</v>
      </c>
      <c r="F287" t="s">
        <v>68</v>
      </c>
      <c r="G287" s="6" t="s">
        <v>729</v>
      </c>
      <c r="H287" s="32">
        <v>0.92300000000000004</v>
      </c>
      <c r="I287" s="32">
        <v>0.05</v>
      </c>
      <c r="J287" s="32">
        <v>0.95499999999999996</v>
      </c>
      <c r="BT287" t="s">
        <v>1197</v>
      </c>
      <c r="BW287" s="32">
        <v>0.41</v>
      </c>
    </row>
    <row r="288" spans="2:75" x14ac:dyDescent="0.2">
      <c r="B288" s="58" t="s">
        <v>406</v>
      </c>
      <c r="C288" s="58"/>
      <c r="D288" s="58" t="s">
        <v>717</v>
      </c>
      <c r="F288" t="s">
        <v>718</v>
      </c>
      <c r="G288" s="6" t="s">
        <v>719</v>
      </c>
      <c r="H288" s="32">
        <v>0.59099999999999997</v>
      </c>
      <c r="I288" s="32">
        <v>0.49399999999999999</v>
      </c>
      <c r="J288" s="32">
        <v>0.154</v>
      </c>
      <c r="BT288" t="s">
        <v>1159</v>
      </c>
      <c r="BW288" s="32">
        <v>0.24</v>
      </c>
    </row>
    <row r="289" spans="2:75" x14ac:dyDescent="0.2">
      <c r="B289" s="58" t="s">
        <v>406</v>
      </c>
      <c r="C289" s="58"/>
      <c r="D289" s="58" t="s">
        <v>297</v>
      </c>
      <c r="F289" t="s">
        <v>90</v>
      </c>
      <c r="G289" s="6" t="s">
        <v>298</v>
      </c>
      <c r="H289" s="32">
        <v>0.64100000000000001</v>
      </c>
      <c r="I289" s="32">
        <v>0.52700000000000002</v>
      </c>
      <c r="J289" s="32">
        <v>0.36899999999999999</v>
      </c>
      <c r="BT289" t="s">
        <v>1133</v>
      </c>
      <c r="BW289" s="13">
        <v>0.4</v>
      </c>
    </row>
    <row r="290" spans="2:75" x14ac:dyDescent="0.2">
      <c r="B290" s="58" t="s">
        <v>406</v>
      </c>
      <c r="C290" s="58"/>
      <c r="D290" s="58" t="s">
        <v>223</v>
      </c>
      <c r="F290" t="s">
        <v>90</v>
      </c>
      <c r="G290" s="6" t="s">
        <v>198</v>
      </c>
      <c r="H290" s="32">
        <v>0.75700000000000001</v>
      </c>
      <c r="I290" s="32">
        <v>2.8000000000000001E-2</v>
      </c>
      <c r="J290" s="32">
        <v>0.93200000000000005</v>
      </c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  <c r="BL290" s="47"/>
      <c r="BM290" s="47"/>
      <c r="BN290" s="47"/>
      <c r="BO290" s="47"/>
      <c r="BP290" s="47"/>
      <c r="BQ290" s="47"/>
      <c r="BR290" s="47"/>
      <c r="BS290" s="47"/>
      <c r="BT290" s="47" t="s">
        <v>1167</v>
      </c>
      <c r="BU290" s="47"/>
      <c r="BV290" s="47"/>
      <c r="BW290" s="56">
        <v>0.32</v>
      </c>
    </row>
    <row r="291" spans="2:75" x14ac:dyDescent="0.2">
      <c r="B291" s="58" t="s">
        <v>406</v>
      </c>
      <c r="C291" s="58"/>
      <c r="D291" s="58" t="s">
        <v>1198</v>
      </c>
      <c r="F291" t="s">
        <v>90</v>
      </c>
      <c r="G291" s="6" t="s">
        <v>371</v>
      </c>
      <c r="H291" s="32">
        <v>4.8000000000000001E-2</v>
      </c>
      <c r="I291" s="32">
        <v>0.65900000000000003</v>
      </c>
      <c r="J291" s="32">
        <v>0.64600000000000002</v>
      </c>
      <c r="BT291" t="s">
        <v>1167</v>
      </c>
      <c r="BW291" s="13">
        <v>0.64</v>
      </c>
    </row>
    <row r="292" spans="2:75" x14ac:dyDescent="0.2">
      <c r="B292" s="58" t="s">
        <v>406</v>
      </c>
      <c r="C292" s="58"/>
      <c r="D292" s="58" t="s">
        <v>197</v>
      </c>
      <c r="F292" t="s">
        <v>90</v>
      </c>
      <c r="G292" s="6" t="s">
        <v>198</v>
      </c>
      <c r="H292" s="32">
        <v>0.75700000000000001</v>
      </c>
      <c r="I292" s="32">
        <v>2.8000000000000001E-2</v>
      </c>
      <c r="J292" s="32">
        <v>0.93200000000000005</v>
      </c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47"/>
      <c r="BQ292" s="47"/>
      <c r="BR292" s="47"/>
      <c r="BS292" s="47"/>
      <c r="BT292" s="47" t="s">
        <v>1080</v>
      </c>
      <c r="BU292" s="47"/>
      <c r="BV292" s="47"/>
      <c r="BW292" s="56">
        <v>0.42</v>
      </c>
    </row>
    <row r="293" spans="2:75" x14ac:dyDescent="0.2">
      <c r="B293" s="58" t="s">
        <v>406</v>
      </c>
      <c r="C293" s="58"/>
      <c r="D293" s="58" t="s">
        <v>89</v>
      </c>
      <c r="F293" t="s">
        <v>90</v>
      </c>
      <c r="G293" s="6" t="s">
        <v>91</v>
      </c>
      <c r="H293" s="32">
        <v>0.25700000000000001</v>
      </c>
      <c r="I293" s="32">
        <v>0.89900000000000002</v>
      </c>
      <c r="J293" s="32">
        <v>0.14199999999999999</v>
      </c>
      <c r="BT293" t="s">
        <v>1199</v>
      </c>
      <c r="BW293" s="13">
        <v>0.64</v>
      </c>
    </row>
    <row r="294" spans="2:75" x14ac:dyDescent="0.2">
      <c r="B294" s="58" t="s">
        <v>406</v>
      </c>
      <c r="C294" s="58"/>
      <c r="D294" s="58" t="s">
        <v>1200</v>
      </c>
      <c r="F294" t="s">
        <v>42</v>
      </c>
      <c r="G294" s="6" t="s">
        <v>804</v>
      </c>
      <c r="H294" s="32"/>
      <c r="I294" s="32"/>
      <c r="J294" s="32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 t="s">
        <v>1201</v>
      </c>
      <c r="BU294" s="47"/>
      <c r="BV294" s="47"/>
      <c r="BW294" s="56">
        <v>0.42</v>
      </c>
    </row>
    <row r="295" spans="2:75" x14ac:dyDescent="0.2">
      <c r="B295" s="58" t="s">
        <v>406</v>
      </c>
      <c r="C295" s="58"/>
      <c r="D295" s="58" t="s">
        <v>289</v>
      </c>
      <c r="F295" t="s">
        <v>42</v>
      </c>
      <c r="G295" s="6" t="s">
        <v>290</v>
      </c>
      <c r="H295" s="32">
        <v>0.65900000000000003</v>
      </c>
      <c r="I295" s="32">
        <v>2.5999999999999999E-2</v>
      </c>
      <c r="J295" s="32">
        <v>0.36199999999999999</v>
      </c>
      <c r="BT295" t="s">
        <v>1127</v>
      </c>
      <c r="BW295" s="13">
        <v>0.32</v>
      </c>
    </row>
    <row r="296" spans="2:75" x14ac:dyDescent="0.2">
      <c r="B296" s="58" t="s">
        <v>406</v>
      </c>
      <c r="C296" s="58"/>
      <c r="D296" s="58" t="s">
        <v>377</v>
      </c>
      <c r="F296" t="s">
        <v>42</v>
      </c>
      <c r="G296" s="6" t="s">
        <v>378</v>
      </c>
      <c r="H296" s="32">
        <v>5.5E-2</v>
      </c>
      <c r="I296" s="32">
        <v>0.33300000000000002</v>
      </c>
      <c r="J296" s="32">
        <v>0.83899999999999997</v>
      </c>
      <c r="BT296" t="s">
        <v>1167</v>
      </c>
      <c r="BW296" s="13">
        <v>0.64</v>
      </c>
    </row>
    <row r="297" spans="2:75" x14ac:dyDescent="0.2">
      <c r="B297" s="58" t="s">
        <v>406</v>
      </c>
      <c r="C297" s="58"/>
      <c r="D297" s="58" t="s">
        <v>383</v>
      </c>
      <c r="F297" t="s">
        <v>42</v>
      </c>
      <c r="G297" s="6" t="s">
        <v>109</v>
      </c>
      <c r="H297" s="32">
        <v>0.50800000000000001</v>
      </c>
      <c r="I297" s="32">
        <v>6.3E-2</v>
      </c>
      <c r="J297" s="32">
        <v>0.92100000000000004</v>
      </c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  <c r="BL297" s="47"/>
      <c r="BM297" s="47"/>
      <c r="BN297" s="47"/>
      <c r="BO297" s="47"/>
      <c r="BP297" s="47"/>
      <c r="BQ297" s="47"/>
      <c r="BR297" s="47"/>
      <c r="BS297" s="47"/>
      <c r="BT297" s="47" t="s">
        <v>1167</v>
      </c>
      <c r="BU297" s="47"/>
      <c r="BV297" s="47"/>
      <c r="BW297" s="54">
        <v>0.45</v>
      </c>
    </row>
    <row r="298" spans="2:75" x14ac:dyDescent="0.2">
      <c r="B298" s="58" t="s">
        <v>406</v>
      </c>
      <c r="C298" s="58"/>
      <c r="D298" s="58" t="s">
        <v>384</v>
      </c>
      <c r="F298" t="s">
        <v>42</v>
      </c>
      <c r="G298" s="6" t="s">
        <v>385</v>
      </c>
      <c r="H298" s="32">
        <v>0.14899999999999999</v>
      </c>
      <c r="I298" s="32">
        <v>0.41199999999999998</v>
      </c>
      <c r="J298" s="32">
        <v>0.21199999999999999</v>
      </c>
      <c r="BT298" t="s">
        <v>1167</v>
      </c>
      <c r="BW298" s="13">
        <v>0.64</v>
      </c>
    </row>
    <row r="299" spans="2:75" x14ac:dyDescent="0.2">
      <c r="B299" s="58" t="s">
        <v>406</v>
      </c>
      <c r="C299" s="58"/>
      <c r="D299" s="58" t="s">
        <v>79</v>
      </c>
      <c r="F299" t="s">
        <v>42</v>
      </c>
      <c r="G299" s="6" t="s">
        <v>80</v>
      </c>
      <c r="H299" s="32">
        <v>0.17899999999999999</v>
      </c>
      <c r="I299" s="32">
        <v>0.59399999999999997</v>
      </c>
      <c r="J299" s="32">
        <v>0.38500000000000001</v>
      </c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  <c r="BL299" s="47"/>
      <c r="BM299" s="47"/>
      <c r="BN299" s="47"/>
      <c r="BO299" s="47"/>
      <c r="BP299" s="47"/>
      <c r="BQ299" s="47"/>
      <c r="BR299" s="47"/>
      <c r="BS299" s="47"/>
      <c r="BT299" s="47" t="s">
        <v>1114</v>
      </c>
      <c r="BU299" s="47"/>
      <c r="BV299" s="47"/>
      <c r="BW299" s="54">
        <v>0.16</v>
      </c>
    </row>
    <row r="300" spans="2:75" x14ac:dyDescent="0.2">
      <c r="B300" s="58" t="s">
        <v>406</v>
      </c>
      <c r="C300" s="58"/>
      <c r="D300" s="58" t="s">
        <v>123</v>
      </c>
      <c r="F300" t="s">
        <v>42</v>
      </c>
      <c r="G300" s="6" t="s">
        <v>124</v>
      </c>
      <c r="H300" s="32">
        <v>0.17899999999999999</v>
      </c>
      <c r="I300" s="32">
        <v>0.59499999999999997</v>
      </c>
      <c r="J300" s="32">
        <v>0.72599999999999998</v>
      </c>
      <c r="BT300" t="s">
        <v>1167</v>
      </c>
      <c r="BW300" s="13">
        <v>0.32</v>
      </c>
    </row>
    <row r="301" spans="2:75" x14ac:dyDescent="0.2">
      <c r="B301" s="58" t="s">
        <v>406</v>
      </c>
      <c r="C301" s="58"/>
      <c r="D301" s="58" t="s">
        <v>966</v>
      </c>
      <c r="F301" t="s">
        <v>42</v>
      </c>
      <c r="G301" s="6" t="s">
        <v>804</v>
      </c>
      <c r="H301" s="32"/>
      <c r="I301" s="32"/>
      <c r="J301" s="32"/>
      <c r="BT301" t="s">
        <v>1202</v>
      </c>
      <c r="BW301" s="13">
        <v>0.32</v>
      </c>
    </row>
    <row r="302" spans="2:75" x14ac:dyDescent="0.2">
      <c r="B302" s="58" t="s">
        <v>406</v>
      </c>
      <c r="C302" s="58"/>
      <c r="D302" s="58" t="s">
        <v>247</v>
      </c>
      <c r="F302" t="s">
        <v>42</v>
      </c>
      <c r="G302" s="6" t="s">
        <v>109</v>
      </c>
      <c r="H302" s="32">
        <v>0.50800000000000001</v>
      </c>
      <c r="I302" s="32">
        <v>6.3E-2</v>
      </c>
      <c r="J302" s="32">
        <v>0.92100000000000004</v>
      </c>
      <c r="BT302" t="s">
        <v>1203</v>
      </c>
      <c r="BW302" s="13">
        <v>0.61</v>
      </c>
    </row>
    <row r="303" spans="2:75" x14ac:dyDescent="0.2">
      <c r="B303" s="58" t="s">
        <v>406</v>
      </c>
      <c r="C303" s="58"/>
      <c r="D303" s="58" t="s">
        <v>1204</v>
      </c>
      <c r="F303" t="s">
        <v>42</v>
      </c>
      <c r="G303" s="6" t="s">
        <v>280</v>
      </c>
      <c r="H303" s="32">
        <v>0.61199999999999999</v>
      </c>
      <c r="I303" s="32">
        <v>0.49399999999999999</v>
      </c>
      <c r="J303" s="32">
        <v>0.69699999999999995</v>
      </c>
      <c r="BT303" t="s">
        <v>1131</v>
      </c>
      <c r="BW303" s="13">
        <v>0.64</v>
      </c>
    </row>
    <row r="304" spans="2:75" x14ac:dyDescent="0.2">
      <c r="B304" s="58" t="s">
        <v>406</v>
      </c>
      <c r="C304" s="58"/>
      <c r="D304" s="58" t="s">
        <v>267</v>
      </c>
      <c r="F304" t="s">
        <v>42</v>
      </c>
      <c r="G304" s="6" t="s">
        <v>268</v>
      </c>
      <c r="H304" s="32">
        <v>0.628</v>
      </c>
      <c r="I304" s="32">
        <v>1.4E-2</v>
      </c>
      <c r="J304" s="32">
        <v>0.92900000000000005</v>
      </c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  <c r="BL304" s="47"/>
      <c r="BM304" s="47"/>
      <c r="BN304" s="47"/>
      <c r="BO304" s="47"/>
      <c r="BP304" s="47"/>
      <c r="BQ304" s="47"/>
      <c r="BR304" s="47"/>
      <c r="BS304" s="47"/>
      <c r="BT304" s="47" t="s">
        <v>1145</v>
      </c>
      <c r="BU304" s="47"/>
      <c r="BV304" s="47"/>
      <c r="BW304" s="56">
        <v>0.27</v>
      </c>
    </row>
    <row r="305" spans="2:75" x14ac:dyDescent="0.2">
      <c r="B305" s="58" t="s">
        <v>406</v>
      </c>
      <c r="C305" s="58"/>
      <c r="D305" t="s">
        <v>97</v>
      </c>
      <c r="F305" t="s">
        <v>42</v>
      </c>
      <c r="G305" s="6" t="s">
        <v>98</v>
      </c>
      <c r="H305" s="32">
        <v>0.38500000000000001</v>
      </c>
      <c r="I305" s="32">
        <v>6.7000000000000004E-2</v>
      </c>
      <c r="J305" s="32">
        <v>0.88700000000000001</v>
      </c>
      <c r="BT305" t="s">
        <v>1203</v>
      </c>
      <c r="BW305" s="13">
        <v>0.32</v>
      </c>
    </row>
    <row r="306" spans="2:75" x14ac:dyDescent="0.2">
      <c r="B306" s="58" t="s">
        <v>406</v>
      </c>
      <c r="C306" s="58"/>
      <c r="D306" t="s">
        <v>309</v>
      </c>
      <c r="F306" t="s">
        <v>42</v>
      </c>
      <c r="G306" s="6" t="s">
        <v>310</v>
      </c>
      <c r="H306" s="32">
        <v>0.3</v>
      </c>
      <c r="I306" s="32">
        <v>0.17899999999999999</v>
      </c>
      <c r="J306" s="32">
        <v>0.88100000000000001</v>
      </c>
      <c r="BT306" t="s">
        <v>1080</v>
      </c>
      <c r="BW306" s="13">
        <v>0.64</v>
      </c>
    </row>
    <row r="307" spans="2:75" x14ac:dyDescent="0.2">
      <c r="B307" s="58" t="s">
        <v>406</v>
      </c>
      <c r="C307" s="58"/>
      <c r="D307" t="s">
        <v>108</v>
      </c>
      <c r="F307" t="s">
        <v>42</v>
      </c>
      <c r="G307" s="6" t="s">
        <v>109</v>
      </c>
      <c r="H307" s="32">
        <v>0.50800000000000001</v>
      </c>
      <c r="I307" s="32">
        <v>6.3E-2</v>
      </c>
      <c r="J307" s="32">
        <v>0.92100000000000004</v>
      </c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  <c r="BL307" s="47"/>
      <c r="BM307" s="47"/>
      <c r="BN307" s="47"/>
      <c r="BO307" s="47"/>
      <c r="BP307" s="47"/>
      <c r="BQ307" s="47"/>
      <c r="BR307" s="47"/>
      <c r="BS307" s="47"/>
      <c r="BT307" s="47" t="s">
        <v>1127</v>
      </c>
      <c r="BU307" s="47"/>
      <c r="BV307" s="47"/>
      <c r="BW307" s="54">
        <v>0.64</v>
      </c>
    </row>
    <row r="308" spans="2:75" x14ac:dyDescent="0.2">
      <c r="B308" s="58" t="s">
        <v>406</v>
      </c>
      <c r="C308" s="58"/>
      <c r="D308" t="s">
        <v>578</v>
      </c>
      <c r="F308" t="s">
        <v>42</v>
      </c>
      <c r="G308" s="6" t="s">
        <v>385</v>
      </c>
      <c r="H308" s="32">
        <v>0.14899999999999999</v>
      </c>
      <c r="I308" s="32">
        <v>0.41199999999999998</v>
      </c>
      <c r="J308" s="32">
        <v>0.21199999999999999</v>
      </c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  <c r="BL308" s="47"/>
      <c r="BM308" s="47"/>
      <c r="BN308" s="47"/>
      <c r="BO308" s="47"/>
      <c r="BP308" s="47"/>
      <c r="BQ308" s="47"/>
      <c r="BR308" s="47"/>
      <c r="BS308" s="47"/>
      <c r="BT308" s="47" t="s">
        <v>1075</v>
      </c>
      <c r="BU308" s="47"/>
      <c r="BV308" s="47"/>
      <c r="BW308" s="56">
        <v>0.38</v>
      </c>
    </row>
    <row r="309" spans="2:75" x14ac:dyDescent="0.2">
      <c r="B309" s="58" t="s">
        <v>406</v>
      </c>
      <c r="C309" s="58"/>
      <c r="D309" t="s">
        <v>621</v>
      </c>
      <c r="F309" t="s">
        <v>42</v>
      </c>
      <c r="G309" s="6" t="s">
        <v>601</v>
      </c>
      <c r="H309" s="32">
        <v>0.59299999999999997</v>
      </c>
      <c r="I309" s="32">
        <v>3.7999999999999999E-2</v>
      </c>
      <c r="J309" s="32">
        <v>0.996</v>
      </c>
      <c r="BT309" t="s">
        <v>1155</v>
      </c>
      <c r="BW309" s="13">
        <v>0.64</v>
      </c>
    </row>
    <row r="310" spans="2:75" x14ac:dyDescent="0.2">
      <c r="B310" s="58" t="s">
        <v>406</v>
      </c>
      <c r="C310" s="58"/>
      <c r="D310" t="s">
        <v>623</v>
      </c>
      <c r="F310" t="s">
        <v>42</v>
      </c>
      <c r="G310" s="6" t="s">
        <v>98</v>
      </c>
      <c r="H310" s="32">
        <v>0.38500000000000001</v>
      </c>
      <c r="I310" s="32">
        <v>6.7000000000000004E-2</v>
      </c>
      <c r="J310" s="32">
        <v>0.88700000000000001</v>
      </c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  <c r="BL310" s="47"/>
      <c r="BM310" s="47"/>
      <c r="BN310" s="47"/>
      <c r="BO310" s="47"/>
      <c r="BP310" s="47"/>
      <c r="BQ310" s="47"/>
      <c r="BR310" s="47"/>
      <c r="BS310" s="47"/>
      <c r="BT310" s="47" t="s">
        <v>1095</v>
      </c>
      <c r="BU310" s="47"/>
      <c r="BV310" s="47"/>
      <c r="BW310" s="54">
        <v>0.32</v>
      </c>
    </row>
    <row r="311" spans="2:75" x14ac:dyDescent="0.2">
      <c r="B311" s="58" t="s">
        <v>406</v>
      </c>
      <c r="C311" s="58"/>
      <c r="D311" t="s">
        <v>664</v>
      </c>
      <c r="F311" t="s">
        <v>42</v>
      </c>
      <c r="G311" s="6" t="s">
        <v>378</v>
      </c>
      <c r="H311" s="32">
        <v>5.5E-2</v>
      </c>
      <c r="I311" s="32">
        <v>0.33300000000000002</v>
      </c>
      <c r="J311" s="32">
        <v>0.83899999999999997</v>
      </c>
      <c r="BT311" t="s">
        <v>1197</v>
      </c>
      <c r="BW311" s="13">
        <v>0.64</v>
      </c>
    </row>
    <row r="312" spans="2:75" x14ac:dyDescent="0.2">
      <c r="B312" s="58" t="s">
        <v>406</v>
      </c>
      <c r="C312" s="58"/>
      <c r="D312" t="s">
        <v>702</v>
      </c>
      <c r="F312" t="s">
        <v>42</v>
      </c>
      <c r="G312" s="6" t="s">
        <v>238</v>
      </c>
      <c r="H312" s="32">
        <v>0.30099999999999999</v>
      </c>
      <c r="I312" s="32">
        <v>2.1999999999999999E-2</v>
      </c>
      <c r="J312" s="32">
        <v>0.93600000000000005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7"/>
      <c r="BP312" s="47"/>
      <c r="BQ312" s="47"/>
      <c r="BR312" s="47"/>
      <c r="BS312" s="47"/>
      <c r="BT312" s="47" t="s">
        <v>1084</v>
      </c>
      <c r="BU312" s="47"/>
      <c r="BV312" s="47"/>
      <c r="BW312" s="54">
        <v>0.64</v>
      </c>
    </row>
    <row r="313" spans="2:75" x14ac:dyDescent="0.2">
      <c r="B313" s="58" t="s">
        <v>406</v>
      </c>
      <c r="C313" s="58"/>
      <c r="D313" t="s">
        <v>724</v>
      </c>
      <c r="F313" t="s">
        <v>42</v>
      </c>
      <c r="G313" s="6" t="s">
        <v>725</v>
      </c>
      <c r="H313" s="32">
        <v>0.751</v>
      </c>
      <c r="I313" s="32">
        <v>0.17299999999999999</v>
      </c>
      <c r="J313" s="32">
        <v>0.79</v>
      </c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  <c r="BL313" s="47"/>
      <c r="BM313" s="47"/>
      <c r="BN313" s="47"/>
      <c r="BO313" s="47"/>
      <c r="BP313" s="47"/>
      <c r="BQ313" s="47"/>
      <c r="BR313" s="47"/>
      <c r="BS313" s="47"/>
      <c r="BT313" s="47" t="s">
        <v>1107</v>
      </c>
      <c r="BU313" s="47"/>
      <c r="BV313" s="47"/>
      <c r="BW313" s="54">
        <v>0.64</v>
      </c>
    </row>
    <row r="314" spans="2:75" x14ac:dyDescent="0.2">
      <c r="B314" s="58" t="s">
        <v>406</v>
      </c>
      <c r="C314" s="58"/>
      <c r="D314" t="s">
        <v>750</v>
      </c>
      <c r="F314" t="s">
        <v>42</v>
      </c>
      <c r="G314" s="6" t="s">
        <v>751</v>
      </c>
      <c r="H314" s="32">
        <v>0.54800000000000004</v>
      </c>
      <c r="I314" s="32">
        <v>0.66900000000000004</v>
      </c>
      <c r="J314" s="32">
        <v>0.53200000000000003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  <c r="BL314" s="47"/>
      <c r="BM314" s="47"/>
      <c r="BN314" s="47"/>
      <c r="BO314" s="47"/>
      <c r="BP314" s="47"/>
      <c r="BQ314" s="47"/>
      <c r="BR314" s="47"/>
      <c r="BS314" s="47"/>
      <c r="BT314" s="47" t="s">
        <v>1073</v>
      </c>
      <c r="BU314" s="47"/>
      <c r="BV314" s="47"/>
      <c r="BW314" s="54">
        <v>0.64</v>
      </c>
    </row>
    <row r="315" spans="2:75" x14ac:dyDescent="0.2">
      <c r="B315" s="58" t="s">
        <v>406</v>
      </c>
      <c r="C315" s="58"/>
      <c r="D315" t="s">
        <v>1205</v>
      </c>
      <c r="F315" t="s">
        <v>42</v>
      </c>
      <c r="G315" s="6" t="s">
        <v>558</v>
      </c>
      <c r="H315" s="32">
        <v>0.192</v>
      </c>
      <c r="I315" s="32">
        <v>5.2999999999999999E-2</v>
      </c>
      <c r="J315" s="32">
        <v>0.77900000000000003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  <c r="BL315" s="47"/>
      <c r="BM315" s="47"/>
      <c r="BN315" s="47"/>
      <c r="BO315" s="47"/>
      <c r="BP315" s="47"/>
      <c r="BQ315" s="47"/>
      <c r="BR315" s="47"/>
      <c r="BS315" s="47"/>
      <c r="BT315" s="47" t="s">
        <v>1206</v>
      </c>
      <c r="BU315" s="47"/>
      <c r="BV315" s="47"/>
      <c r="BW315" s="56">
        <v>0.42</v>
      </c>
    </row>
    <row r="316" spans="2:75" x14ac:dyDescent="0.2">
      <c r="B316" s="58" t="s">
        <v>406</v>
      </c>
      <c r="C316" s="58"/>
      <c r="D316" t="s">
        <v>473</v>
      </c>
      <c r="F316" t="s">
        <v>139</v>
      </c>
      <c r="G316" s="6" t="s">
        <v>140</v>
      </c>
      <c r="H316" s="32">
        <v>0.89300000000000002</v>
      </c>
      <c r="I316" s="32">
        <v>0.307</v>
      </c>
      <c r="J316" s="32">
        <v>0.61399999999999999</v>
      </c>
      <c r="BT316" t="s">
        <v>1089</v>
      </c>
      <c r="BW316" s="32">
        <v>0.18</v>
      </c>
    </row>
    <row r="317" spans="2:75" x14ac:dyDescent="0.2">
      <c r="B317" s="58" t="s">
        <v>406</v>
      </c>
      <c r="C317" s="58"/>
      <c r="D317" t="s">
        <v>341</v>
      </c>
      <c r="F317" t="s">
        <v>139</v>
      </c>
      <c r="G317" s="6" t="s">
        <v>342</v>
      </c>
      <c r="H317" s="32">
        <v>0.57199999999999995</v>
      </c>
      <c r="I317" s="32">
        <v>0.11</v>
      </c>
      <c r="J317" s="32">
        <v>0.68300000000000005</v>
      </c>
      <c r="BT317" t="s">
        <v>1207</v>
      </c>
      <c r="BW317" s="13">
        <v>0.4</v>
      </c>
    </row>
    <row r="318" spans="2:75" x14ac:dyDescent="0.2">
      <c r="B318" s="58" t="s">
        <v>406</v>
      </c>
      <c r="C318" s="58"/>
      <c r="D318" t="s">
        <v>555</v>
      </c>
      <c r="F318" t="s">
        <v>139</v>
      </c>
      <c r="G318" s="6" t="s">
        <v>537</v>
      </c>
      <c r="H318" s="32">
        <v>0.90200000000000002</v>
      </c>
      <c r="I318" s="32">
        <v>3.1E-2</v>
      </c>
      <c r="J318" s="32">
        <v>0.876</v>
      </c>
      <c r="BT318" t="s">
        <v>1208</v>
      </c>
      <c r="BW318" s="13">
        <v>0.23</v>
      </c>
    </row>
    <row r="319" spans="2:75" x14ac:dyDescent="0.2">
      <c r="B319" s="58" t="s">
        <v>406</v>
      </c>
      <c r="C319" s="58"/>
      <c r="D319" t="s">
        <v>255</v>
      </c>
      <c r="F319" t="s">
        <v>136</v>
      </c>
      <c r="G319" s="6" t="s">
        <v>804</v>
      </c>
      <c r="H319" s="32"/>
      <c r="I319" s="32"/>
      <c r="J319" s="32"/>
      <c r="BT319" t="s">
        <v>1101</v>
      </c>
      <c r="BW319" s="32">
        <v>0.4</v>
      </c>
    </row>
    <row r="320" spans="2:75" x14ac:dyDescent="0.2">
      <c r="B320" s="58" t="s">
        <v>406</v>
      </c>
      <c r="C320" s="58"/>
      <c r="D320" t="s">
        <v>302</v>
      </c>
      <c r="F320" t="s">
        <v>136</v>
      </c>
      <c r="G320" s="6" t="s">
        <v>164</v>
      </c>
      <c r="H320" s="32">
        <v>0.77500000000000002</v>
      </c>
      <c r="I320" s="32">
        <v>4.5999999999999999E-2</v>
      </c>
      <c r="J320" s="32">
        <v>0.879</v>
      </c>
      <c r="BT320" t="s">
        <v>1209</v>
      </c>
      <c r="BW320" s="32">
        <v>0.96</v>
      </c>
    </row>
    <row r="321" spans="2:79" x14ac:dyDescent="0.2">
      <c r="B321" s="58" t="s">
        <v>406</v>
      </c>
      <c r="C321" s="58"/>
      <c r="D321" t="s">
        <v>135</v>
      </c>
      <c r="F321" t="s">
        <v>136</v>
      </c>
      <c r="G321" s="6" t="s">
        <v>137</v>
      </c>
      <c r="H321" s="32">
        <v>0.53</v>
      </c>
      <c r="I321" s="32">
        <v>0.121</v>
      </c>
      <c r="J321" s="32">
        <v>0.47299999999999998</v>
      </c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  <c r="BL321" s="47"/>
      <c r="BM321" s="47"/>
      <c r="BN321" s="47"/>
      <c r="BO321" s="47"/>
      <c r="BP321" s="47"/>
      <c r="BQ321" s="47"/>
      <c r="BR321" s="47"/>
      <c r="BS321" s="47"/>
      <c r="BT321" s="47" t="s">
        <v>1210</v>
      </c>
      <c r="BU321" s="47"/>
      <c r="BV321" s="47"/>
      <c r="BW321" s="32">
        <v>0.63</v>
      </c>
    </row>
    <row r="322" spans="2:79" x14ac:dyDescent="0.2">
      <c r="B322" s="58" t="s">
        <v>406</v>
      </c>
      <c r="C322" s="58"/>
      <c r="D322" t="s">
        <v>761</v>
      </c>
      <c r="F322" t="s">
        <v>136</v>
      </c>
      <c r="G322" s="6" t="s">
        <v>411</v>
      </c>
      <c r="H322" s="32">
        <v>0.43</v>
      </c>
      <c r="I322" s="32">
        <v>0.38200000000000001</v>
      </c>
      <c r="J322" s="32">
        <v>0.32900000000000001</v>
      </c>
      <c r="BT322" t="s">
        <v>1174</v>
      </c>
      <c r="BW322" s="13">
        <v>0.32</v>
      </c>
    </row>
    <row r="323" spans="2:79" x14ac:dyDescent="0.2">
      <c r="B323" s="58" t="s">
        <v>406</v>
      </c>
      <c r="C323" s="58"/>
      <c r="D323" t="s">
        <v>1211</v>
      </c>
      <c r="F323" t="s">
        <v>183</v>
      </c>
      <c r="G323" s="6" t="s">
        <v>1212</v>
      </c>
      <c r="H323" s="32">
        <v>0.68</v>
      </c>
      <c r="I323" s="32">
        <v>0.188</v>
      </c>
      <c r="J323" s="32">
        <v>0.91700000000000004</v>
      </c>
      <c r="BT323" t="s">
        <v>1076</v>
      </c>
      <c r="BW323" s="32">
        <v>0.86</v>
      </c>
    </row>
    <row r="324" spans="2:79" x14ac:dyDescent="0.2">
      <c r="B324" s="58" t="s">
        <v>406</v>
      </c>
      <c r="C324" s="58"/>
      <c r="D324" t="s">
        <v>404</v>
      </c>
      <c r="F324" t="s">
        <v>183</v>
      </c>
      <c r="G324" s="6" t="s">
        <v>804</v>
      </c>
      <c r="H324" s="32"/>
      <c r="I324" s="32"/>
      <c r="J324" s="32"/>
      <c r="BT324" t="s">
        <v>1163</v>
      </c>
      <c r="BW324" s="32">
        <v>0.85</v>
      </c>
    </row>
    <row r="325" spans="2:79" x14ac:dyDescent="0.2">
      <c r="B325" s="58" t="s">
        <v>406</v>
      </c>
      <c r="C325" s="58"/>
      <c r="D325" t="s">
        <v>1213</v>
      </c>
      <c r="F325" t="s">
        <v>183</v>
      </c>
      <c r="G325" s="6" t="s">
        <v>1214</v>
      </c>
      <c r="H325" s="32">
        <v>0.95499999999999996</v>
      </c>
      <c r="I325" s="32">
        <v>0</v>
      </c>
      <c r="J325" s="32">
        <v>0.83299999999999996</v>
      </c>
      <c r="BT325" t="s">
        <v>1114</v>
      </c>
      <c r="BW325" s="32">
        <v>0.35</v>
      </c>
    </row>
    <row r="326" spans="2:79" x14ac:dyDescent="0.2">
      <c r="B326" s="58" t="s">
        <v>406</v>
      </c>
      <c r="C326" s="58"/>
      <c r="D326" t="s">
        <v>182</v>
      </c>
      <c r="F326" t="s">
        <v>183</v>
      </c>
      <c r="G326" s="6" t="s">
        <v>184</v>
      </c>
      <c r="H326" s="32">
        <v>0.32700000000000001</v>
      </c>
      <c r="I326" s="32">
        <v>0.08</v>
      </c>
      <c r="J326" s="32">
        <v>0.88</v>
      </c>
      <c r="BT326" t="s">
        <v>1102</v>
      </c>
      <c r="BW326" s="32">
        <v>0.45</v>
      </c>
    </row>
    <row r="327" spans="2:79" x14ac:dyDescent="0.2">
      <c r="B327" s="58" t="s">
        <v>406</v>
      </c>
      <c r="C327" s="58"/>
      <c r="D327" t="s">
        <v>201</v>
      </c>
      <c r="F327" t="s">
        <v>183</v>
      </c>
      <c r="G327" s="6" t="s">
        <v>202</v>
      </c>
      <c r="H327" s="32">
        <v>0.754</v>
      </c>
      <c r="I327" s="32">
        <v>7.2999999999999995E-2</v>
      </c>
      <c r="J327" s="32">
        <v>0.90900000000000003</v>
      </c>
      <c r="BT327" t="s">
        <v>1080</v>
      </c>
      <c r="BW327" s="32">
        <v>0.37</v>
      </c>
    </row>
    <row r="328" spans="2:79" x14ac:dyDescent="0.2">
      <c r="B328" s="58" t="s">
        <v>406</v>
      </c>
      <c r="C328" s="58"/>
      <c r="D328" t="s">
        <v>739</v>
      </c>
      <c r="F328" t="s">
        <v>183</v>
      </c>
      <c r="G328" s="6" t="s">
        <v>202</v>
      </c>
      <c r="H328" s="32">
        <v>0.754</v>
      </c>
      <c r="I328" s="32">
        <v>7.2999999999999995E-2</v>
      </c>
      <c r="J328" s="32">
        <v>0.90900000000000003</v>
      </c>
      <c r="BT328" t="s">
        <v>1127</v>
      </c>
      <c r="BW328" s="32">
        <v>0.64</v>
      </c>
    </row>
    <row r="329" spans="2:79" x14ac:dyDescent="0.2">
      <c r="B329" s="58" t="s">
        <v>406</v>
      </c>
      <c r="C329" s="58"/>
      <c r="D329" t="s">
        <v>762</v>
      </c>
      <c r="F329" t="s">
        <v>183</v>
      </c>
      <c r="G329" s="6" t="s">
        <v>202</v>
      </c>
      <c r="H329" s="32">
        <v>0.754</v>
      </c>
      <c r="I329" s="32">
        <v>7.2999999999999995E-2</v>
      </c>
      <c r="J329" s="32">
        <v>0.90900000000000003</v>
      </c>
      <c r="BT329" t="s">
        <v>1078</v>
      </c>
      <c r="BW329" s="32">
        <v>0.88</v>
      </c>
    </row>
    <row r="330" spans="2:79" x14ac:dyDescent="0.2">
      <c r="B330" s="58" t="s">
        <v>406</v>
      </c>
      <c r="C330" s="58"/>
      <c r="D330" t="s">
        <v>589</v>
      </c>
      <c r="F330" t="s">
        <v>225</v>
      </c>
      <c r="G330" s="6" t="s">
        <v>590</v>
      </c>
      <c r="H330" s="32">
        <v>0.121</v>
      </c>
      <c r="I330" s="32">
        <v>0.56999999999999995</v>
      </c>
      <c r="J330" s="32">
        <v>5.6000000000000001E-2</v>
      </c>
      <c r="BT330" t="s">
        <v>1183</v>
      </c>
      <c r="BW330" s="32">
        <v>0.71</v>
      </c>
    </row>
    <row r="331" spans="2:79" x14ac:dyDescent="0.2">
      <c r="B331" s="58" t="s">
        <v>1215</v>
      </c>
      <c r="C331" s="58"/>
      <c r="D331" t="s">
        <v>609</v>
      </c>
      <c r="F331" t="s">
        <v>610</v>
      </c>
      <c r="G331" s="6" t="s">
        <v>611</v>
      </c>
      <c r="H331" s="32">
        <v>0.251</v>
      </c>
      <c r="I331" s="32">
        <v>0.66400000000000003</v>
      </c>
      <c r="J331" s="32">
        <v>0.49299999999999999</v>
      </c>
      <c r="BT331" t="s">
        <v>1216</v>
      </c>
      <c r="BW331" s="32">
        <v>0.1</v>
      </c>
    </row>
    <row r="332" spans="2:79" x14ac:dyDescent="0.2">
      <c r="B332" s="58" t="s">
        <v>1217</v>
      </c>
      <c r="C332" s="58"/>
      <c r="D332" t="s">
        <v>173</v>
      </c>
      <c r="F332" t="s">
        <v>42</v>
      </c>
      <c r="G332" s="6" t="s">
        <v>43</v>
      </c>
      <c r="H332" s="32">
        <v>0.27300000000000002</v>
      </c>
      <c r="I332" s="32">
        <v>0.16700000000000001</v>
      </c>
      <c r="J332" s="32">
        <v>0.82199999999999995</v>
      </c>
      <c r="BT332" t="s">
        <v>1127</v>
      </c>
      <c r="BW332" s="32">
        <v>0.51</v>
      </c>
    </row>
    <row r="333" spans="2:79" x14ac:dyDescent="0.2">
      <c r="B333" s="58" t="s">
        <v>1218</v>
      </c>
      <c r="C333" s="58"/>
      <c r="D333" t="s">
        <v>482</v>
      </c>
      <c r="F333" t="s">
        <v>103</v>
      </c>
      <c r="G333" s="6" t="s">
        <v>132</v>
      </c>
      <c r="H333" s="32">
        <v>0.63500000000000001</v>
      </c>
      <c r="I333" s="32">
        <v>0.26800000000000002</v>
      </c>
      <c r="J333" s="32">
        <v>0.86</v>
      </c>
      <c r="BT333" t="s">
        <v>1119</v>
      </c>
      <c r="BW333" s="32">
        <v>0.54</v>
      </c>
    </row>
    <row r="334" spans="2:79" x14ac:dyDescent="0.2">
      <c r="B334" s="58" t="s">
        <v>1219</v>
      </c>
      <c r="C334" s="58"/>
      <c r="D334" t="s">
        <v>102</v>
      </c>
      <c r="F334" t="s">
        <v>103</v>
      </c>
      <c r="G334" s="6" t="s">
        <v>104</v>
      </c>
      <c r="H334" s="32">
        <v>0.69899999999999995</v>
      </c>
      <c r="I334" s="32">
        <v>7.0999999999999994E-2</v>
      </c>
      <c r="J334" s="32">
        <v>0.94699999999999995</v>
      </c>
      <c r="BT334" t="s">
        <v>1157</v>
      </c>
      <c r="BW334" s="32">
        <v>0.81</v>
      </c>
    </row>
    <row r="335" spans="2:79" x14ac:dyDescent="0.2">
      <c r="B335" s="58" t="s">
        <v>1220</v>
      </c>
      <c r="C335" s="58"/>
      <c r="D335" t="s">
        <v>1221</v>
      </c>
      <c r="F335" t="s">
        <v>15</v>
      </c>
      <c r="G335" s="6" t="s">
        <v>76</v>
      </c>
      <c r="H335" s="32">
        <v>0.64100000000000001</v>
      </c>
      <c r="I335" s="32">
        <v>0.41699999999999998</v>
      </c>
      <c r="J335" s="32">
        <v>0.35699999999999998</v>
      </c>
      <c r="BT335" t="s">
        <v>1162</v>
      </c>
      <c r="BW335" s="32">
        <v>0.5</v>
      </c>
      <c r="CA335" s="21"/>
    </row>
    <row r="336" spans="2:79" x14ac:dyDescent="0.2">
      <c r="B336" s="58" t="s">
        <v>1220</v>
      </c>
      <c r="C336" s="58"/>
      <c r="D336" t="s">
        <v>1222</v>
      </c>
      <c r="F336" t="s">
        <v>15</v>
      </c>
      <c r="G336" s="6" t="s">
        <v>76</v>
      </c>
      <c r="H336" s="32">
        <v>0.64100000000000001</v>
      </c>
      <c r="I336" s="32">
        <v>0.41699999999999998</v>
      </c>
      <c r="J336" s="32">
        <v>0.35699999999999998</v>
      </c>
      <c r="BT336" t="s">
        <v>1104</v>
      </c>
      <c r="BW336" s="32">
        <v>0.7</v>
      </c>
    </row>
    <row r="337" spans="1:75" x14ac:dyDescent="0.2">
      <c r="B337" s="58" t="s">
        <v>1220</v>
      </c>
      <c r="C337" s="58"/>
      <c r="D337" t="s">
        <v>394</v>
      </c>
      <c r="F337" t="s">
        <v>30</v>
      </c>
      <c r="G337" s="6" t="s">
        <v>395</v>
      </c>
      <c r="H337" s="32">
        <v>0.55200000000000005</v>
      </c>
      <c r="I337" s="32">
        <v>0.628</v>
      </c>
      <c r="J337" s="32">
        <v>0.496</v>
      </c>
      <c r="BT337" t="s">
        <v>1153</v>
      </c>
      <c r="BW337" s="32">
        <v>0.96</v>
      </c>
    </row>
    <row r="338" spans="1:75" x14ac:dyDescent="0.2">
      <c r="B338" s="58" t="s">
        <v>1220</v>
      </c>
      <c r="C338" s="58"/>
      <c r="D338" t="s">
        <v>37</v>
      </c>
      <c r="F338" t="s">
        <v>30</v>
      </c>
      <c r="G338" s="6" t="s">
        <v>38</v>
      </c>
      <c r="H338" s="32">
        <v>3.5999999999999997E-2</v>
      </c>
      <c r="I338" s="32">
        <v>0.84699999999999998</v>
      </c>
      <c r="J338" s="32">
        <v>0.55900000000000005</v>
      </c>
      <c r="BT338" t="s">
        <v>1223</v>
      </c>
      <c r="BW338" s="32">
        <v>0.72</v>
      </c>
    </row>
    <row r="339" spans="1:75" x14ac:dyDescent="0.2">
      <c r="B339" s="58" t="s">
        <v>1220</v>
      </c>
      <c r="C339" s="58"/>
      <c r="D339" t="s">
        <v>501</v>
      </c>
      <c r="F339" t="s">
        <v>225</v>
      </c>
      <c r="G339" s="6" t="s">
        <v>502</v>
      </c>
      <c r="H339" s="32">
        <v>0.56000000000000005</v>
      </c>
      <c r="I339" s="32">
        <v>0.77500000000000002</v>
      </c>
      <c r="J339" s="32">
        <v>0.157</v>
      </c>
      <c r="BT339" t="s">
        <v>1224</v>
      </c>
      <c r="BW339" s="32">
        <v>0.92</v>
      </c>
    </row>
    <row r="340" spans="1:75" x14ac:dyDescent="0.2">
      <c r="B340" s="58" t="s">
        <v>691</v>
      </c>
      <c r="C340" s="58"/>
      <c r="D340" t="s">
        <v>690</v>
      </c>
      <c r="F340" t="s">
        <v>15</v>
      </c>
      <c r="G340" s="6" t="s">
        <v>134</v>
      </c>
      <c r="H340" s="32">
        <v>0.40300000000000002</v>
      </c>
      <c r="I340" s="32">
        <v>0.17899999999999999</v>
      </c>
      <c r="J340" s="32">
        <v>0.19600000000000001</v>
      </c>
      <c r="BT340" t="s">
        <v>1225</v>
      </c>
      <c r="BW340" s="32">
        <v>0.56999999999999995</v>
      </c>
    </row>
    <row r="341" spans="1:75" x14ac:dyDescent="0.2">
      <c r="B341" s="58" t="s">
        <v>691</v>
      </c>
      <c r="C341" s="58"/>
      <c r="D341" t="s">
        <v>679</v>
      </c>
      <c r="F341" t="s">
        <v>45</v>
      </c>
      <c r="G341" s="6" t="s">
        <v>453</v>
      </c>
      <c r="H341" s="32">
        <v>0.68899999999999995</v>
      </c>
      <c r="I341" s="32">
        <v>0.13900000000000001</v>
      </c>
      <c r="J341" s="32">
        <v>0.90300000000000002</v>
      </c>
      <c r="BT341" t="s">
        <v>1226</v>
      </c>
      <c r="BW341" s="32">
        <v>0.66</v>
      </c>
    </row>
    <row r="342" spans="1:75" x14ac:dyDescent="0.2">
      <c r="B342" s="58" t="s">
        <v>691</v>
      </c>
      <c r="C342" s="58"/>
      <c r="D342" t="s">
        <v>127</v>
      </c>
      <c r="F342" t="s">
        <v>45</v>
      </c>
      <c r="G342" s="6" t="s">
        <v>128</v>
      </c>
      <c r="H342" s="32">
        <v>0.25</v>
      </c>
      <c r="I342" s="32">
        <v>0.59799999999999998</v>
      </c>
      <c r="J342" s="32">
        <v>0.54900000000000004</v>
      </c>
      <c r="BT342" t="s">
        <v>1227</v>
      </c>
      <c r="BW342" s="32">
        <v>0.5</v>
      </c>
    </row>
    <row r="343" spans="1:75" x14ac:dyDescent="0.2">
      <c r="B343" s="58" t="s">
        <v>1228</v>
      </c>
      <c r="C343" s="58"/>
      <c r="D343" t="s">
        <v>244</v>
      </c>
      <c r="F343" t="s">
        <v>15</v>
      </c>
      <c r="G343" s="6" t="s">
        <v>16</v>
      </c>
      <c r="H343" s="32">
        <v>0.47099999999999997</v>
      </c>
      <c r="I343" s="32">
        <v>1.7000000000000001E-2</v>
      </c>
      <c r="J343" s="32">
        <v>1</v>
      </c>
      <c r="BT343" t="s">
        <v>1229</v>
      </c>
      <c r="BW343" s="32">
        <v>0.52</v>
      </c>
    </row>
    <row r="344" spans="1:75" x14ac:dyDescent="0.2">
      <c r="B344" s="58" t="s">
        <v>1228</v>
      </c>
      <c r="C344" s="58"/>
      <c r="D344" t="s">
        <v>285</v>
      </c>
      <c r="F344" t="s">
        <v>15</v>
      </c>
      <c r="G344" s="6" t="s">
        <v>16</v>
      </c>
      <c r="H344" s="32">
        <v>0.47099999999999997</v>
      </c>
      <c r="I344" s="32">
        <v>1.7000000000000001E-2</v>
      </c>
      <c r="J344" s="32">
        <v>1</v>
      </c>
      <c r="BT344" t="s">
        <v>1188</v>
      </c>
      <c r="BW344" s="13">
        <v>0.69</v>
      </c>
    </row>
    <row r="345" spans="1:75" x14ac:dyDescent="0.2">
      <c r="B345" s="58" t="s">
        <v>1228</v>
      </c>
      <c r="C345" s="58"/>
      <c r="D345" t="s">
        <v>14</v>
      </c>
      <c r="F345" t="s">
        <v>15</v>
      </c>
      <c r="G345" s="6" t="s">
        <v>16</v>
      </c>
      <c r="H345" s="32">
        <v>0.47099999999999997</v>
      </c>
      <c r="I345" s="32">
        <v>1.7000000000000001E-2</v>
      </c>
      <c r="J345" s="32">
        <v>1</v>
      </c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  <c r="BL345" s="47"/>
      <c r="BM345" s="47"/>
      <c r="BN345" s="47"/>
      <c r="BO345" s="47"/>
      <c r="BP345" s="47"/>
      <c r="BQ345" s="47"/>
      <c r="BR345" s="47"/>
      <c r="BS345" s="47"/>
      <c r="BT345" s="47" t="s">
        <v>1230</v>
      </c>
      <c r="BU345" s="47"/>
      <c r="BV345" s="47"/>
      <c r="BW345" s="49">
        <v>0.44</v>
      </c>
    </row>
    <row r="346" spans="1:75" x14ac:dyDescent="0.2">
      <c r="B346" s="58" t="s">
        <v>1228</v>
      </c>
      <c r="C346" s="58"/>
      <c r="D346" t="s">
        <v>207</v>
      </c>
      <c r="F346" t="s">
        <v>15</v>
      </c>
      <c r="G346" s="6" t="s">
        <v>16</v>
      </c>
      <c r="H346" s="32">
        <v>0.47099999999999997</v>
      </c>
      <c r="I346" s="32">
        <v>1.7000000000000001E-2</v>
      </c>
      <c r="J346" s="32">
        <v>1</v>
      </c>
      <c r="BT346" t="s">
        <v>1157</v>
      </c>
      <c r="BW346" s="32">
        <v>0.43</v>
      </c>
    </row>
    <row r="347" spans="1:75" x14ac:dyDescent="0.2">
      <c r="B347" s="58" t="s">
        <v>1228</v>
      </c>
      <c r="C347" s="58"/>
      <c r="D347" t="s">
        <v>517</v>
      </c>
      <c r="F347" t="s">
        <v>30</v>
      </c>
      <c r="G347" s="6" t="s">
        <v>518</v>
      </c>
      <c r="H347" s="32">
        <v>0.57099999999999995</v>
      </c>
      <c r="I347" s="32">
        <v>0.60299999999999998</v>
      </c>
      <c r="J347" s="32">
        <v>0.441</v>
      </c>
      <c r="BT347" t="s">
        <v>1175</v>
      </c>
      <c r="BW347" s="32">
        <v>0.43</v>
      </c>
    </row>
    <row r="348" spans="1:75" x14ac:dyDescent="0.2">
      <c r="A348">
        <v>2025</v>
      </c>
      <c r="B348" s="58" t="s">
        <v>1231</v>
      </c>
      <c r="C348" s="58" t="s">
        <v>848</v>
      </c>
      <c r="D348" t="s">
        <v>1232</v>
      </c>
      <c r="E348" s="5" t="s">
        <v>845</v>
      </c>
      <c r="F348" s="5" t="s">
        <v>15</v>
      </c>
      <c r="H348" s="5"/>
      <c r="I348" s="5"/>
      <c r="J348" s="5"/>
      <c r="K348" t="s">
        <v>833</v>
      </c>
      <c r="L348" t="s">
        <v>963</v>
      </c>
      <c r="N348" t="s">
        <v>834</v>
      </c>
      <c r="O348" t="s">
        <v>965</v>
      </c>
      <c r="P348" t="s">
        <v>965</v>
      </c>
      <c r="Q348" t="s">
        <v>965</v>
      </c>
      <c r="R348" t="s">
        <v>965</v>
      </c>
      <c r="S348" t="s">
        <v>965</v>
      </c>
      <c r="T348" t="s">
        <v>965</v>
      </c>
      <c r="U348" t="s">
        <v>965</v>
      </c>
      <c r="V348" t="s">
        <v>965</v>
      </c>
      <c r="W348" t="s">
        <v>965</v>
      </c>
      <c r="X348" t="s">
        <v>965</v>
      </c>
      <c r="Y348" t="s">
        <v>965</v>
      </c>
      <c r="Z348" t="s">
        <v>965</v>
      </c>
      <c r="AA348" t="s">
        <v>965</v>
      </c>
      <c r="AB348" t="s">
        <v>965</v>
      </c>
      <c r="AC348" t="s">
        <v>965</v>
      </c>
      <c r="AD348" t="s">
        <v>965</v>
      </c>
      <c r="AE348" t="s">
        <v>965</v>
      </c>
      <c r="AF348" t="s">
        <v>965</v>
      </c>
      <c r="AG348" t="s">
        <v>965</v>
      </c>
      <c r="AH348" t="s">
        <v>965</v>
      </c>
      <c r="AI348" t="s">
        <v>965</v>
      </c>
      <c r="AJ348" t="s">
        <v>965</v>
      </c>
      <c r="AK348" t="s">
        <v>965</v>
      </c>
      <c r="AL348" t="s">
        <v>965</v>
      </c>
      <c r="AM348" t="s">
        <v>965</v>
      </c>
      <c r="AN348" t="s">
        <v>965</v>
      </c>
      <c r="AO348" t="s">
        <v>965</v>
      </c>
      <c r="AP348" t="s">
        <v>965</v>
      </c>
      <c r="AQ348" t="s">
        <v>965</v>
      </c>
      <c r="AR348" t="s">
        <v>965</v>
      </c>
      <c r="AS348" t="s">
        <v>965</v>
      </c>
      <c r="AT348" t="s">
        <v>965</v>
      </c>
      <c r="AU348" t="s">
        <v>965</v>
      </c>
      <c r="AV348" t="s">
        <v>965</v>
      </c>
      <c r="AW348" t="s">
        <v>965</v>
      </c>
      <c r="AX348" t="s">
        <v>965</v>
      </c>
      <c r="AY348" t="s">
        <v>965</v>
      </c>
      <c r="AZ348" t="s">
        <v>833</v>
      </c>
      <c r="BA348" t="s">
        <v>965</v>
      </c>
      <c r="BB348" t="s">
        <v>965</v>
      </c>
      <c r="BC348" t="s">
        <v>965</v>
      </c>
      <c r="BD348" t="s">
        <v>965</v>
      </c>
      <c r="BE348" t="s">
        <v>855</v>
      </c>
      <c r="BF348">
        <v>113</v>
      </c>
      <c r="BG348">
        <v>26</v>
      </c>
      <c r="BH348">
        <v>0</v>
      </c>
      <c r="BI348">
        <v>0</v>
      </c>
      <c r="BJ348">
        <v>0</v>
      </c>
      <c r="BK348">
        <v>229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342</v>
      </c>
      <c r="BR348">
        <v>0</v>
      </c>
      <c r="BS348">
        <v>0</v>
      </c>
      <c r="BT348">
        <v>342</v>
      </c>
      <c r="BU348">
        <v>342</v>
      </c>
      <c r="BV348" s="36">
        <f t="shared" ref="BV348:BV379" si="2">BU348/BT348</f>
        <v>1</v>
      </c>
      <c r="BW348" s="32">
        <v>0.74</v>
      </c>
    </row>
    <row r="349" spans="1:75" x14ac:dyDescent="0.2">
      <c r="A349">
        <v>2025</v>
      </c>
      <c r="B349" s="58" t="s">
        <v>1231</v>
      </c>
      <c r="C349" s="58" t="s">
        <v>866</v>
      </c>
      <c r="D349" t="s">
        <v>1233</v>
      </c>
      <c r="E349" s="5" t="s">
        <v>845</v>
      </c>
      <c r="F349" s="5" t="s">
        <v>15</v>
      </c>
      <c r="H349" s="5"/>
      <c r="I349" s="5"/>
      <c r="J349" s="5"/>
      <c r="K349" t="s">
        <v>833</v>
      </c>
      <c r="L349" t="s">
        <v>963</v>
      </c>
      <c r="N349" t="s">
        <v>834</v>
      </c>
      <c r="O349" t="s">
        <v>965</v>
      </c>
      <c r="P349" t="s">
        <v>965</v>
      </c>
      <c r="Q349" t="s">
        <v>965</v>
      </c>
      <c r="R349" t="s">
        <v>965</v>
      </c>
      <c r="S349" t="s">
        <v>965</v>
      </c>
      <c r="T349" t="s">
        <v>965</v>
      </c>
      <c r="U349" t="s">
        <v>965</v>
      </c>
      <c r="V349" t="s">
        <v>965</v>
      </c>
      <c r="W349" t="s">
        <v>965</v>
      </c>
      <c r="X349" t="s">
        <v>965</v>
      </c>
      <c r="Y349" t="s">
        <v>965</v>
      </c>
      <c r="Z349" t="s">
        <v>965</v>
      </c>
      <c r="AA349" t="s">
        <v>965</v>
      </c>
      <c r="AB349" t="s">
        <v>965</v>
      </c>
      <c r="AC349" t="s">
        <v>965</v>
      </c>
      <c r="AD349" t="s">
        <v>965</v>
      </c>
      <c r="AE349" t="s">
        <v>965</v>
      </c>
      <c r="AF349" t="s">
        <v>965</v>
      </c>
      <c r="AG349" t="s">
        <v>965</v>
      </c>
      <c r="AH349" t="s">
        <v>965</v>
      </c>
      <c r="AI349" t="s">
        <v>965</v>
      </c>
      <c r="AJ349" t="s">
        <v>965</v>
      </c>
      <c r="AK349" t="s">
        <v>965</v>
      </c>
      <c r="AL349" t="s">
        <v>965</v>
      </c>
      <c r="AM349" t="s">
        <v>965</v>
      </c>
      <c r="AN349" t="s">
        <v>965</v>
      </c>
      <c r="AO349" t="s">
        <v>965</v>
      </c>
      <c r="AP349" t="s">
        <v>965</v>
      </c>
      <c r="AQ349" t="s">
        <v>965</v>
      </c>
      <c r="AR349" t="s">
        <v>965</v>
      </c>
      <c r="AS349" t="s">
        <v>965</v>
      </c>
      <c r="AT349" t="s">
        <v>965</v>
      </c>
      <c r="AU349" t="s">
        <v>965</v>
      </c>
      <c r="AV349" t="s">
        <v>965</v>
      </c>
      <c r="AW349" t="s">
        <v>965</v>
      </c>
      <c r="AX349" t="s">
        <v>965</v>
      </c>
      <c r="AY349" t="s">
        <v>965</v>
      </c>
      <c r="AZ349" t="s">
        <v>965</v>
      </c>
      <c r="BA349" t="s">
        <v>965</v>
      </c>
      <c r="BB349" t="s">
        <v>965</v>
      </c>
      <c r="BC349" t="s">
        <v>965</v>
      </c>
      <c r="BD349" t="s">
        <v>965</v>
      </c>
      <c r="BE349" t="s">
        <v>835</v>
      </c>
      <c r="BF349">
        <v>4</v>
      </c>
      <c r="BG349">
        <v>1</v>
      </c>
      <c r="BH349">
        <v>0</v>
      </c>
      <c r="BI349">
        <v>0</v>
      </c>
      <c r="BJ349">
        <v>0</v>
      </c>
      <c r="BK349">
        <v>2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6</v>
      </c>
      <c r="BR349">
        <v>0</v>
      </c>
      <c r="BS349">
        <v>0</v>
      </c>
      <c r="BT349">
        <v>6</v>
      </c>
      <c r="BU349">
        <v>5</v>
      </c>
      <c r="BV349" s="36">
        <f t="shared" si="2"/>
        <v>0.83333333333333337</v>
      </c>
      <c r="BW349" s="32">
        <v>0.53</v>
      </c>
    </row>
    <row r="350" spans="1:75" x14ac:dyDescent="0.2">
      <c r="A350">
        <v>2025</v>
      </c>
      <c r="B350" s="58" t="s">
        <v>1231</v>
      </c>
      <c r="C350" s="58" t="s">
        <v>842</v>
      </c>
      <c r="D350" t="s">
        <v>321</v>
      </c>
      <c r="E350" s="5" t="s">
        <v>845</v>
      </c>
      <c r="F350" s="5" t="s">
        <v>15</v>
      </c>
      <c r="G350" s="6" t="s">
        <v>322</v>
      </c>
      <c r="H350" s="35">
        <v>0.38</v>
      </c>
      <c r="I350" s="35">
        <v>0.46</v>
      </c>
      <c r="J350" s="32">
        <v>0.95</v>
      </c>
      <c r="K350" t="s">
        <v>833</v>
      </c>
      <c r="L350" t="s">
        <v>963</v>
      </c>
      <c r="N350" t="s">
        <v>834</v>
      </c>
      <c r="O350" t="s">
        <v>965</v>
      </c>
      <c r="P350" t="s">
        <v>965</v>
      </c>
      <c r="Q350" t="s">
        <v>965</v>
      </c>
      <c r="R350" t="s">
        <v>965</v>
      </c>
      <c r="S350" t="s">
        <v>965</v>
      </c>
      <c r="T350" t="s">
        <v>965</v>
      </c>
      <c r="U350" t="s">
        <v>965</v>
      </c>
      <c r="V350" t="s">
        <v>965</v>
      </c>
      <c r="W350" t="s">
        <v>965</v>
      </c>
      <c r="X350" t="s">
        <v>965</v>
      </c>
      <c r="Y350" t="s">
        <v>965</v>
      </c>
      <c r="Z350" t="s">
        <v>965</v>
      </c>
      <c r="AA350" t="s">
        <v>965</v>
      </c>
      <c r="AB350" t="s">
        <v>965</v>
      </c>
      <c r="AC350" t="s">
        <v>965</v>
      </c>
      <c r="AD350" t="s">
        <v>965</v>
      </c>
      <c r="AE350" t="s">
        <v>965</v>
      </c>
      <c r="AF350" t="s">
        <v>965</v>
      </c>
      <c r="AG350" t="s">
        <v>965</v>
      </c>
      <c r="AH350" t="s">
        <v>965</v>
      </c>
      <c r="AI350" t="s">
        <v>965</v>
      </c>
      <c r="AJ350" t="s">
        <v>965</v>
      </c>
      <c r="AK350" t="s">
        <v>965</v>
      </c>
      <c r="AL350" t="s">
        <v>965</v>
      </c>
      <c r="AM350" t="s">
        <v>965</v>
      </c>
      <c r="AN350" t="s">
        <v>965</v>
      </c>
      <c r="AO350" t="s">
        <v>965</v>
      </c>
      <c r="AP350" t="s">
        <v>965</v>
      </c>
      <c r="AQ350" t="s">
        <v>965</v>
      </c>
      <c r="AR350" t="s">
        <v>965</v>
      </c>
      <c r="AS350" t="s">
        <v>965</v>
      </c>
      <c r="AT350" t="s">
        <v>965</v>
      </c>
      <c r="AU350" t="s">
        <v>965</v>
      </c>
      <c r="AV350" t="s">
        <v>965</v>
      </c>
      <c r="AW350" t="s">
        <v>965</v>
      </c>
      <c r="AX350" t="s">
        <v>965</v>
      </c>
      <c r="AY350" t="s">
        <v>833</v>
      </c>
      <c r="AZ350" t="s">
        <v>965</v>
      </c>
      <c r="BA350" t="s">
        <v>965</v>
      </c>
      <c r="BB350" t="s">
        <v>965</v>
      </c>
      <c r="BC350" t="s">
        <v>833</v>
      </c>
      <c r="BD350" t="s">
        <v>965</v>
      </c>
      <c r="BE350" t="s">
        <v>835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16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16</v>
      </c>
      <c r="BR350">
        <v>0</v>
      </c>
      <c r="BS350">
        <v>0</v>
      </c>
      <c r="BT350">
        <v>16</v>
      </c>
      <c r="BU350">
        <v>14</v>
      </c>
      <c r="BV350" s="36">
        <f t="shared" si="2"/>
        <v>0.875</v>
      </c>
      <c r="BW350" s="32">
        <v>0.88</v>
      </c>
    </row>
    <row r="351" spans="1:75" x14ac:dyDescent="0.2">
      <c r="A351">
        <v>2025</v>
      </c>
      <c r="B351" s="58" t="s">
        <v>1231</v>
      </c>
      <c r="C351" s="58" t="s">
        <v>842</v>
      </c>
      <c r="D351" t="s">
        <v>422</v>
      </c>
      <c r="E351" s="5" t="s">
        <v>841</v>
      </c>
      <c r="F351" s="5" t="s">
        <v>58</v>
      </c>
      <c r="G351" s="6" t="s">
        <v>122</v>
      </c>
      <c r="H351" s="35">
        <v>0.33</v>
      </c>
      <c r="I351" s="35">
        <v>0.5</v>
      </c>
      <c r="J351" s="32">
        <v>0.75</v>
      </c>
      <c r="K351" t="s">
        <v>833</v>
      </c>
      <c r="L351" t="s">
        <v>963</v>
      </c>
      <c r="N351" t="s">
        <v>834</v>
      </c>
      <c r="O351" t="s">
        <v>965</v>
      </c>
      <c r="P351" t="s">
        <v>965</v>
      </c>
      <c r="Q351" t="s">
        <v>965</v>
      </c>
      <c r="R351" t="s">
        <v>965</v>
      </c>
      <c r="S351" t="s">
        <v>965</v>
      </c>
      <c r="T351" t="s">
        <v>965</v>
      </c>
      <c r="U351" t="s">
        <v>965</v>
      </c>
      <c r="V351" t="s">
        <v>965</v>
      </c>
      <c r="W351" t="s">
        <v>965</v>
      </c>
      <c r="X351" t="s">
        <v>965</v>
      </c>
      <c r="Y351" t="s">
        <v>965</v>
      </c>
      <c r="Z351" t="s">
        <v>965</v>
      </c>
      <c r="AA351" t="s">
        <v>965</v>
      </c>
      <c r="AB351" t="s">
        <v>965</v>
      </c>
      <c r="AC351" t="s">
        <v>965</v>
      </c>
      <c r="AD351" t="s">
        <v>965</v>
      </c>
      <c r="AE351" t="s">
        <v>965</v>
      </c>
      <c r="AF351" t="s">
        <v>965</v>
      </c>
      <c r="AG351" t="s">
        <v>965</v>
      </c>
      <c r="AH351" t="s">
        <v>965</v>
      </c>
      <c r="AI351" t="s">
        <v>965</v>
      </c>
      <c r="AJ351" t="s">
        <v>965</v>
      </c>
      <c r="AK351" t="s">
        <v>965</v>
      </c>
      <c r="AL351" t="s">
        <v>965</v>
      </c>
      <c r="AM351" t="s">
        <v>965</v>
      </c>
      <c r="AN351" t="s">
        <v>965</v>
      </c>
      <c r="AO351" t="s">
        <v>965</v>
      </c>
      <c r="AP351" t="s">
        <v>965</v>
      </c>
      <c r="AQ351" t="s">
        <v>965</v>
      </c>
      <c r="AR351" t="s">
        <v>965</v>
      </c>
      <c r="AS351" t="s">
        <v>965</v>
      </c>
      <c r="AT351" t="s">
        <v>965</v>
      </c>
      <c r="AU351" t="s">
        <v>965</v>
      </c>
      <c r="AV351" t="s">
        <v>965</v>
      </c>
      <c r="AW351" t="s">
        <v>965</v>
      </c>
      <c r="AX351" t="s">
        <v>965</v>
      </c>
      <c r="AY351" t="s">
        <v>833</v>
      </c>
      <c r="AZ351" t="s">
        <v>965</v>
      </c>
      <c r="BA351" t="s">
        <v>965</v>
      </c>
      <c r="BB351" t="s">
        <v>965</v>
      </c>
      <c r="BC351" t="s">
        <v>833</v>
      </c>
      <c r="BD351" t="s">
        <v>965</v>
      </c>
      <c r="BE351" t="s">
        <v>835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57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57</v>
      </c>
      <c r="BR351">
        <v>0</v>
      </c>
      <c r="BS351">
        <v>0</v>
      </c>
      <c r="BT351">
        <v>57</v>
      </c>
      <c r="BU351">
        <v>56</v>
      </c>
      <c r="BV351" s="36">
        <f t="shared" si="2"/>
        <v>0.98245614035087714</v>
      </c>
      <c r="BW351" s="32">
        <v>0.44</v>
      </c>
    </row>
    <row r="352" spans="1:75" x14ac:dyDescent="0.2">
      <c r="A352">
        <v>2025</v>
      </c>
      <c r="B352" s="58" t="s">
        <v>1231</v>
      </c>
      <c r="C352" s="58" t="s">
        <v>842</v>
      </c>
      <c r="D352" t="s">
        <v>870</v>
      </c>
      <c r="E352" s="5" t="s">
        <v>869</v>
      </c>
      <c r="F352" s="5" t="s">
        <v>20</v>
      </c>
      <c r="G352" s="6" t="s">
        <v>300</v>
      </c>
      <c r="H352" s="35">
        <v>0.33</v>
      </c>
      <c r="I352" s="35">
        <v>0.62</v>
      </c>
      <c r="J352" s="32">
        <v>0.4</v>
      </c>
      <c r="K352" t="s">
        <v>833</v>
      </c>
      <c r="L352" t="s">
        <v>963</v>
      </c>
      <c r="N352" t="s">
        <v>834</v>
      </c>
      <c r="O352" t="s">
        <v>965</v>
      </c>
      <c r="P352" t="s">
        <v>965</v>
      </c>
      <c r="Q352" t="s">
        <v>965</v>
      </c>
      <c r="R352" t="s">
        <v>965</v>
      </c>
      <c r="S352" t="s">
        <v>965</v>
      </c>
      <c r="T352" t="s">
        <v>965</v>
      </c>
      <c r="U352" t="s">
        <v>965</v>
      </c>
      <c r="V352" t="s">
        <v>965</v>
      </c>
      <c r="W352" t="s">
        <v>965</v>
      </c>
      <c r="X352" t="s">
        <v>965</v>
      </c>
      <c r="Y352" t="s">
        <v>965</v>
      </c>
      <c r="Z352" t="s">
        <v>965</v>
      </c>
      <c r="AA352" t="s">
        <v>965</v>
      </c>
      <c r="AB352" t="s">
        <v>965</v>
      </c>
      <c r="AC352" t="s">
        <v>965</v>
      </c>
      <c r="AD352" t="s">
        <v>965</v>
      </c>
      <c r="AE352" t="s">
        <v>965</v>
      </c>
      <c r="AF352" t="s">
        <v>965</v>
      </c>
      <c r="AG352" t="s">
        <v>965</v>
      </c>
      <c r="AH352" t="s">
        <v>965</v>
      </c>
      <c r="AI352" t="s">
        <v>965</v>
      </c>
      <c r="AJ352" t="s">
        <v>965</v>
      </c>
      <c r="AK352" t="s">
        <v>965</v>
      </c>
      <c r="AL352" t="s">
        <v>965</v>
      </c>
      <c r="AM352" t="s">
        <v>965</v>
      </c>
      <c r="AN352" t="s">
        <v>965</v>
      </c>
      <c r="AO352" t="s">
        <v>965</v>
      </c>
      <c r="AP352" t="s">
        <v>965</v>
      </c>
      <c r="AQ352" t="s">
        <v>965</v>
      </c>
      <c r="AR352" t="s">
        <v>965</v>
      </c>
      <c r="AS352" t="s">
        <v>965</v>
      </c>
      <c r="AT352" t="s">
        <v>965</v>
      </c>
      <c r="AU352" t="s">
        <v>965</v>
      </c>
      <c r="AV352" t="s">
        <v>965</v>
      </c>
      <c r="AW352" t="s">
        <v>965</v>
      </c>
      <c r="AX352" t="s">
        <v>965</v>
      </c>
      <c r="AY352" t="s">
        <v>833</v>
      </c>
      <c r="AZ352" t="s">
        <v>965</v>
      </c>
      <c r="BA352" t="s">
        <v>965</v>
      </c>
      <c r="BB352" t="s">
        <v>965</v>
      </c>
      <c r="BC352" t="s">
        <v>965</v>
      </c>
      <c r="BD352" t="s">
        <v>965</v>
      </c>
      <c r="BE352" t="s">
        <v>835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10</v>
      </c>
      <c r="BR352">
        <v>0</v>
      </c>
      <c r="BS352">
        <v>0</v>
      </c>
      <c r="BT352">
        <v>10</v>
      </c>
      <c r="BU352">
        <v>9</v>
      </c>
      <c r="BV352" s="36">
        <f t="shared" si="2"/>
        <v>0.9</v>
      </c>
      <c r="BW352" s="32">
        <v>0.45</v>
      </c>
    </row>
    <row r="353" spans="1:79" x14ac:dyDescent="0.2">
      <c r="A353">
        <v>2025</v>
      </c>
      <c r="B353" s="58" t="s">
        <v>1231</v>
      </c>
      <c r="C353" s="58" t="s">
        <v>1234</v>
      </c>
      <c r="D353" t="s">
        <v>1235</v>
      </c>
      <c r="E353" s="5" t="s">
        <v>1010</v>
      </c>
      <c r="F353" s="5" t="s">
        <v>23</v>
      </c>
      <c r="H353" s="5"/>
      <c r="I353" s="5"/>
      <c r="J353" s="5"/>
      <c r="K353" t="s">
        <v>833</v>
      </c>
      <c r="L353" t="s">
        <v>963</v>
      </c>
      <c r="N353" t="s">
        <v>834</v>
      </c>
      <c r="O353" t="s">
        <v>965</v>
      </c>
      <c r="P353" t="s">
        <v>965</v>
      </c>
      <c r="Q353" t="s">
        <v>965</v>
      </c>
      <c r="R353" t="s">
        <v>965</v>
      </c>
      <c r="S353" t="s">
        <v>965</v>
      </c>
      <c r="T353" t="s">
        <v>965</v>
      </c>
      <c r="U353" t="s">
        <v>965</v>
      </c>
      <c r="V353" t="s">
        <v>965</v>
      </c>
      <c r="W353" t="s">
        <v>965</v>
      </c>
      <c r="X353" t="s">
        <v>965</v>
      </c>
      <c r="Y353" t="s">
        <v>965</v>
      </c>
      <c r="Z353" t="s">
        <v>965</v>
      </c>
      <c r="AA353" t="s">
        <v>965</v>
      </c>
      <c r="AB353" t="s">
        <v>965</v>
      </c>
      <c r="AC353" t="s">
        <v>965</v>
      </c>
      <c r="AD353" t="s">
        <v>965</v>
      </c>
      <c r="AE353" t="s">
        <v>965</v>
      </c>
      <c r="AF353" t="s">
        <v>965</v>
      </c>
      <c r="AG353" t="s">
        <v>965</v>
      </c>
      <c r="AH353" t="s">
        <v>965</v>
      </c>
      <c r="AI353" t="s">
        <v>965</v>
      </c>
      <c r="AJ353" t="s">
        <v>965</v>
      </c>
      <c r="AK353" t="s">
        <v>965</v>
      </c>
      <c r="AL353" t="s">
        <v>965</v>
      </c>
      <c r="AM353" t="s">
        <v>965</v>
      </c>
      <c r="AN353" t="s">
        <v>965</v>
      </c>
      <c r="AO353" t="s">
        <v>965</v>
      </c>
      <c r="AP353" t="s">
        <v>965</v>
      </c>
      <c r="AQ353" t="s">
        <v>965</v>
      </c>
      <c r="AR353" t="s">
        <v>965</v>
      </c>
      <c r="AS353" t="s">
        <v>965</v>
      </c>
      <c r="AT353" t="s">
        <v>965</v>
      </c>
      <c r="AU353" t="s">
        <v>965</v>
      </c>
      <c r="AV353" t="s">
        <v>965</v>
      </c>
      <c r="AW353" t="s">
        <v>965</v>
      </c>
      <c r="AX353" t="s">
        <v>965</v>
      </c>
      <c r="AY353" t="s">
        <v>965</v>
      </c>
      <c r="AZ353" t="s">
        <v>833</v>
      </c>
      <c r="BA353" t="s">
        <v>965</v>
      </c>
      <c r="BB353" t="s">
        <v>965</v>
      </c>
      <c r="BC353" t="s">
        <v>965</v>
      </c>
      <c r="BD353" t="s">
        <v>965</v>
      </c>
      <c r="BE353" t="s">
        <v>855</v>
      </c>
      <c r="BF353">
        <v>122</v>
      </c>
      <c r="BG353">
        <v>35</v>
      </c>
      <c r="BH353">
        <v>0</v>
      </c>
      <c r="BI353">
        <v>0</v>
      </c>
      <c r="BJ353">
        <v>0</v>
      </c>
      <c r="BK353">
        <v>69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191</v>
      </c>
      <c r="BR353">
        <v>0</v>
      </c>
      <c r="BS353">
        <v>0</v>
      </c>
      <c r="BT353">
        <v>191</v>
      </c>
      <c r="BU353">
        <v>191</v>
      </c>
      <c r="BV353" s="36">
        <f t="shared" si="2"/>
        <v>1</v>
      </c>
      <c r="BW353" s="32">
        <v>0.34</v>
      </c>
    </row>
    <row r="354" spans="1:79" x14ac:dyDescent="0.2">
      <c r="A354">
        <v>2025</v>
      </c>
      <c r="B354" s="58" t="s">
        <v>1231</v>
      </c>
      <c r="C354" s="58" t="s">
        <v>842</v>
      </c>
      <c r="D354" t="s">
        <v>1236</v>
      </c>
      <c r="E354" s="5" t="s">
        <v>882</v>
      </c>
      <c r="F354" s="5" t="s">
        <v>30</v>
      </c>
      <c r="G354" s="6" t="s">
        <v>395</v>
      </c>
      <c r="H354" s="35">
        <v>0.55000000000000004</v>
      </c>
      <c r="I354" s="35">
        <v>0.63</v>
      </c>
      <c r="J354" s="32">
        <v>0.5</v>
      </c>
      <c r="K354" t="s">
        <v>833</v>
      </c>
      <c r="L354" t="s">
        <v>963</v>
      </c>
      <c r="N354" t="s">
        <v>834</v>
      </c>
      <c r="O354" t="s">
        <v>965</v>
      </c>
      <c r="P354" t="s">
        <v>965</v>
      </c>
      <c r="Q354" t="s">
        <v>965</v>
      </c>
      <c r="R354" t="s">
        <v>965</v>
      </c>
      <c r="S354" t="s">
        <v>965</v>
      </c>
      <c r="T354" t="s">
        <v>965</v>
      </c>
      <c r="U354" t="s">
        <v>965</v>
      </c>
      <c r="V354" t="s">
        <v>965</v>
      </c>
      <c r="W354" t="s">
        <v>965</v>
      </c>
      <c r="X354" t="s">
        <v>965</v>
      </c>
      <c r="Y354" t="s">
        <v>965</v>
      </c>
      <c r="Z354" t="s">
        <v>965</v>
      </c>
      <c r="AA354" t="s">
        <v>965</v>
      </c>
      <c r="AB354" t="s">
        <v>965</v>
      </c>
      <c r="AC354" t="s">
        <v>965</v>
      </c>
      <c r="AD354" t="s">
        <v>965</v>
      </c>
      <c r="AE354" t="s">
        <v>965</v>
      </c>
      <c r="AF354" t="s">
        <v>965</v>
      </c>
      <c r="AG354" t="s">
        <v>965</v>
      </c>
      <c r="AH354" t="s">
        <v>965</v>
      </c>
      <c r="AI354" t="s">
        <v>965</v>
      </c>
      <c r="AJ354" t="s">
        <v>965</v>
      </c>
      <c r="AK354" t="s">
        <v>965</v>
      </c>
      <c r="AL354" t="s">
        <v>965</v>
      </c>
      <c r="AM354" t="s">
        <v>965</v>
      </c>
      <c r="AN354" t="s">
        <v>965</v>
      </c>
      <c r="AO354" t="s">
        <v>965</v>
      </c>
      <c r="AP354" t="s">
        <v>965</v>
      </c>
      <c r="AQ354" t="s">
        <v>965</v>
      </c>
      <c r="AR354" t="s">
        <v>965</v>
      </c>
      <c r="AS354" t="s">
        <v>965</v>
      </c>
      <c r="AT354" t="s">
        <v>965</v>
      </c>
      <c r="AU354" t="s">
        <v>965</v>
      </c>
      <c r="AV354" t="s">
        <v>965</v>
      </c>
      <c r="AW354" t="s">
        <v>965</v>
      </c>
      <c r="AX354" t="s">
        <v>965</v>
      </c>
      <c r="AY354" t="s">
        <v>833</v>
      </c>
      <c r="AZ354" t="s">
        <v>965</v>
      </c>
      <c r="BA354" t="s">
        <v>965</v>
      </c>
      <c r="BB354" t="s">
        <v>965</v>
      </c>
      <c r="BC354" t="s">
        <v>965</v>
      </c>
      <c r="BD354" t="s">
        <v>965</v>
      </c>
      <c r="BE354" t="s">
        <v>835</v>
      </c>
      <c r="BF354">
        <v>50</v>
      </c>
      <c r="BG354">
        <v>10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50</v>
      </c>
      <c r="BR354">
        <v>0</v>
      </c>
      <c r="BS354">
        <v>0</v>
      </c>
      <c r="BT354">
        <v>50</v>
      </c>
      <c r="BU354">
        <v>53</v>
      </c>
      <c r="BV354" s="36">
        <f t="shared" si="2"/>
        <v>1.06</v>
      </c>
      <c r="BW354" s="32">
        <v>0.95</v>
      </c>
    </row>
    <row r="355" spans="1:79" x14ac:dyDescent="0.2">
      <c r="A355">
        <v>2025</v>
      </c>
      <c r="B355" s="58" t="s">
        <v>1231</v>
      </c>
      <c r="C355" s="58" t="s">
        <v>1026</v>
      </c>
      <c r="D355" t="s">
        <v>1237</v>
      </c>
      <c r="E355" s="5" t="s">
        <v>1028</v>
      </c>
      <c r="F355" s="5" t="s">
        <v>1029</v>
      </c>
      <c r="H355" s="5"/>
      <c r="I355" s="5"/>
      <c r="J355" s="5"/>
      <c r="K355" t="s">
        <v>833</v>
      </c>
      <c r="L355" t="s">
        <v>963</v>
      </c>
      <c r="N355" t="s">
        <v>964</v>
      </c>
      <c r="O355" t="s">
        <v>965</v>
      </c>
      <c r="P355" t="s">
        <v>965</v>
      </c>
      <c r="Q355" t="s">
        <v>965</v>
      </c>
      <c r="R355" t="s">
        <v>965</v>
      </c>
      <c r="S355" t="s">
        <v>965</v>
      </c>
      <c r="T355" t="s">
        <v>965</v>
      </c>
      <c r="U355" t="s">
        <v>965</v>
      </c>
      <c r="V355" t="s">
        <v>965</v>
      </c>
      <c r="W355" t="s">
        <v>965</v>
      </c>
      <c r="X355" t="s">
        <v>965</v>
      </c>
      <c r="Y355" t="s">
        <v>965</v>
      </c>
      <c r="Z355" t="s">
        <v>965</v>
      </c>
      <c r="AA355" t="s">
        <v>965</v>
      </c>
      <c r="AB355" t="s">
        <v>965</v>
      </c>
      <c r="AC355" t="s">
        <v>965</v>
      </c>
      <c r="AD355" t="s">
        <v>965</v>
      </c>
      <c r="AE355" t="s">
        <v>965</v>
      </c>
      <c r="AF355" t="s">
        <v>965</v>
      </c>
      <c r="AG355" t="s">
        <v>965</v>
      </c>
      <c r="AH355" t="s">
        <v>965</v>
      </c>
      <c r="AI355" t="s">
        <v>965</v>
      </c>
      <c r="AJ355" t="s">
        <v>965</v>
      </c>
      <c r="AK355" t="s">
        <v>965</v>
      </c>
      <c r="AL355" t="s">
        <v>965</v>
      </c>
      <c r="AM355" t="s">
        <v>965</v>
      </c>
      <c r="AN355" t="s">
        <v>965</v>
      </c>
      <c r="AO355" t="s">
        <v>965</v>
      </c>
      <c r="AP355" t="s">
        <v>965</v>
      </c>
      <c r="AQ355" t="s">
        <v>965</v>
      </c>
      <c r="AR355" t="s">
        <v>965</v>
      </c>
      <c r="AS355" t="s">
        <v>965</v>
      </c>
      <c r="AT355" t="s">
        <v>965</v>
      </c>
      <c r="AU355" t="s">
        <v>965</v>
      </c>
      <c r="AV355" t="s">
        <v>965</v>
      </c>
      <c r="AW355" t="s">
        <v>965</v>
      </c>
      <c r="AX355" t="s">
        <v>965</v>
      </c>
      <c r="AY355" t="s">
        <v>965</v>
      </c>
      <c r="AZ355" t="s">
        <v>965</v>
      </c>
      <c r="BA355" t="s">
        <v>965</v>
      </c>
      <c r="BB355" t="s">
        <v>965</v>
      </c>
      <c r="BC355" t="s">
        <v>965</v>
      </c>
      <c r="BD355" t="s">
        <v>965</v>
      </c>
      <c r="BE355" t="s">
        <v>835</v>
      </c>
      <c r="BF355">
        <v>5</v>
      </c>
      <c r="BG355">
        <v>1</v>
      </c>
      <c r="BH355">
        <v>0</v>
      </c>
      <c r="BI355">
        <v>0</v>
      </c>
      <c r="BJ355">
        <v>0</v>
      </c>
      <c r="BK355">
        <v>2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7</v>
      </c>
      <c r="BR355">
        <v>0</v>
      </c>
      <c r="BS355">
        <v>0</v>
      </c>
      <c r="BT355">
        <v>7</v>
      </c>
      <c r="BU355">
        <v>5</v>
      </c>
      <c r="BV355" s="36">
        <f t="shared" si="2"/>
        <v>0.7142857142857143</v>
      </c>
      <c r="BW355" s="32">
        <v>0.69</v>
      </c>
      <c r="CA355" s="41"/>
    </row>
    <row r="356" spans="1:79" x14ac:dyDescent="0.2">
      <c r="A356">
        <v>2025</v>
      </c>
      <c r="B356" s="58" t="s">
        <v>1231</v>
      </c>
      <c r="C356" s="58" t="s">
        <v>1026</v>
      </c>
      <c r="D356" t="s">
        <v>1238</v>
      </c>
      <c r="E356" s="5" t="s">
        <v>1028</v>
      </c>
      <c r="F356" s="5" t="s">
        <v>1029</v>
      </c>
      <c r="H356" s="5"/>
      <c r="I356" s="5"/>
      <c r="J356" s="5"/>
      <c r="K356" t="s">
        <v>833</v>
      </c>
      <c r="L356" t="s">
        <v>963</v>
      </c>
      <c r="N356" t="s">
        <v>834</v>
      </c>
      <c r="O356" t="s">
        <v>965</v>
      </c>
      <c r="P356" t="s">
        <v>965</v>
      </c>
      <c r="Q356" t="s">
        <v>965</v>
      </c>
      <c r="R356" t="s">
        <v>965</v>
      </c>
      <c r="S356" t="s">
        <v>965</v>
      </c>
      <c r="T356" t="s">
        <v>965</v>
      </c>
      <c r="U356" t="s">
        <v>965</v>
      </c>
      <c r="V356" t="s">
        <v>965</v>
      </c>
      <c r="W356" t="s">
        <v>965</v>
      </c>
      <c r="X356" t="s">
        <v>965</v>
      </c>
      <c r="Y356" t="s">
        <v>965</v>
      </c>
      <c r="Z356" t="s">
        <v>965</v>
      </c>
      <c r="AA356" t="s">
        <v>965</v>
      </c>
      <c r="AB356" t="s">
        <v>965</v>
      </c>
      <c r="AC356" t="s">
        <v>965</v>
      </c>
      <c r="AD356" t="s">
        <v>965</v>
      </c>
      <c r="AE356" t="s">
        <v>965</v>
      </c>
      <c r="AF356" t="s">
        <v>965</v>
      </c>
      <c r="AG356" t="s">
        <v>965</v>
      </c>
      <c r="AH356" t="s">
        <v>965</v>
      </c>
      <c r="AI356" t="s">
        <v>965</v>
      </c>
      <c r="AJ356" t="s">
        <v>965</v>
      </c>
      <c r="AK356" t="s">
        <v>965</v>
      </c>
      <c r="AL356" t="s">
        <v>965</v>
      </c>
      <c r="AM356" t="s">
        <v>965</v>
      </c>
      <c r="AN356" t="s">
        <v>965</v>
      </c>
      <c r="AO356" t="s">
        <v>965</v>
      </c>
      <c r="AP356" t="s">
        <v>965</v>
      </c>
      <c r="AQ356" t="s">
        <v>965</v>
      </c>
      <c r="AR356" t="s">
        <v>965</v>
      </c>
      <c r="AS356" t="s">
        <v>965</v>
      </c>
      <c r="AT356" t="s">
        <v>965</v>
      </c>
      <c r="AU356" t="s">
        <v>965</v>
      </c>
      <c r="AV356" t="s">
        <v>965</v>
      </c>
      <c r="AW356" t="s">
        <v>965</v>
      </c>
      <c r="AX356" t="s">
        <v>965</v>
      </c>
      <c r="AY356" t="s">
        <v>965</v>
      </c>
      <c r="AZ356" t="s">
        <v>965</v>
      </c>
      <c r="BA356" t="s">
        <v>965</v>
      </c>
      <c r="BB356" t="s">
        <v>965</v>
      </c>
      <c r="BC356" t="s">
        <v>965</v>
      </c>
      <c r="BD356" t="s">
        <v>965</v>
      </c>
      <c r="BE356" t="s">
        <v>835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6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6</v>
      </c>
      <c r="BR356">
        <v>0</v>
      </c>
      <c r="BS356">
        <v>0</v>
      </c>
      <c r="BT356">
        <v>6</v>
      </c>
      <c r="BU356">
        <v>5</v>
      </c>
      <c r="BV356" s="36">
        <f t="shared" si="2"/>
        <v>0.83333333333333337</v>
      </c>
      <c r="BW356" s="32">
        <v>0.43</v>
      </c>
    </row>
    <row r="357" spans="1:79" x14ac:dyDescent="0.2">
      <c r="A357">
        <v>2025</v>
      </c>
      <c r="B357" s="58" t="s">
        <v>1231</v>
      </c>
      <c r="C357" s="58" t="s">
        <v>842</v>
      </c>
      <c r="D357" t="s">
        <v>334</v>
      </c>
      <c r="E357" s="5" t="s">
        <v>871</v>
      </c>
      <c r="F357" s="5" t="s">
        <v>335</v>
      </c>
      <c r="G357" s="6" t="s">
        <v>336</v>
      </c>
      <c r="H357" s="35">
        <v>0.92</v>
      </c>
      <c r="I357" s="35">
        <v>0.8</v>
      </c>
      <c r="J357" s="32">
        <v>0.54</v>
      </c>
      <c r="K357" t="s">
        <v>833</v>
      </c>
      <c r="L357" t="s">
        <v>963</v>
      </c>
      <c r="N357" t="s">
        <v>834</v>
      </c>
      <c r="O357" t="s">
        <v>965</v>
      </c>
      <c r="P357" t="s">
        <v>965</v>
      </c>
      <c r="Q357" t="s">
        <v>965</v>
      </c>
      <c r="R357" t="s">
        <v>965</v>
      </c>
      <c r="S357" t="s">
        <v>965</v>
      </c>
      <c r="T357" t="s">
        <v>965</v>
      </c>
      <c r="U357" t="s">
        <v>965</v>
      </c>
      <c r="V357" t="s">
        <v>965</v>
      </c>
      <c r="W357" t="s">
        <v>965</v>
      </c>
      <c r="X357" t="s">
        <v>965</v>
      </c>
      <c r="Y357" t="s">
        <v>965</v>
      </c>
      <c r="Z357" t="s">
        <v>965</v>
      </c>
      <c r="AA357" t="s">
        <v>965</v>
      </c>
      <c r="AB357" t="s">
        <v>965</v>
      </c>
      <c r="AC357" t="s">
        <v>965</v>
      </c>
      <c r="AD357" t="s">
        <v>965</v>
      </c>
      <c r="AE357" t="s">
        <v>965</v>
      </c>
      <c r="AF357" t="s">
        <v>965</v>
      </c>
      <c r="AG357" t="s">
        <v>965</v>
      </c>
      <c r="AH357" t="s">
        <v>965</v>
      </c>
      <c r="AI357" t="s">
        <v>965</v>
      </c>
      <c r="AJ357" t="s">
        <v>965</v>
      </c>
      <c r="AK357" t="s">
        <v>965</v>
      </c>
      <c r="AL357" t="s">
        <v>965</v>
      </c>
      <c r="AM357" t="s">
        <v>965</v>
      </c>
      <c r="AN357" t="s">
        <v>965</v>
      </c>
      <c r="AO357" t="s">
        <v>965</v>
      </c>
      <c r="AP357" t="s">
        <v>965</v>
      </c>
      <c r="AQ357" t="s">
        <v>965</v>
      </c>
      <c r="AR357" t="s">
        <v>965</v>
      </c>
      <c r="AS357" t="s">
        <v>965</v>
      </c>
      <c r="AT357" t="s">
        <v>965</v>
      </c>
      <c r="AU357" t="s">
        <v>965</v>
      </c>
      <c r="AV357" t="s">
        <v>965</v>
      </c>
      <c r="AW357" t="s">
        <v>965</v>
      </c>
      <c r="AX357" t="s">
        <v>965</v>
      </c>
      <c r="AY357" t="s">
        <v>833</v>
      </c>
      <c r="AZ357" t="s">
        <v>965</v>
      </c>
      <c r="BA357" t="s">
        <v>965</v>
      </c>
      <c r="BB357" t="s">
        <v>965</v>
      </c>
      <c r="BC357" t="s">
        <v>965</v>
      </c>
      <c r="BD357" t="s">
        <v>965</v>
      </c>
      <c r="BE357" t="s">
        <v>835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8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8</v>
      </c>
      <c r="BR357">
        <v>0</v>
      </c>
      <c r="BS357">
        <v>0</v>
      </c>
      <c r="BT357">
        <v>70</v>
      </c>
      <c r="BU357">
        <v>8</v>
      </c>
      <c r="BV357" s="36">
        <f t="shared" si="2"/>
        <v>0.11428571428571428</v>
      </c>
      <c r="BW357" s="32">
        <v>0.5</v>
      </c>
    </row>
    <row r="358" spans="1:79" x14ac:dyDescent="0.2">
      <c r="A358">
        <v>2025</v>
      </c>
      <c r="B358" s="58" t="s">
        <v>1231</v>
      </c>
      <c r="C358" s="58" t="s">
        <v>1026</v>
      </c>
      <c r="D358" t="s">
        <v>1239</v>
      </c>
      <c r="E358" s="5" t="s">
        <v>1240</v>
      </c>
      <c r="F358" s="5" t="s">
        <v>33</v>
      </c>
      <c r="H358" s="5"/>
      <c r="I358" s="5"/>
      <c r="J358" s="5"/>
      <c r="K358" t="s">
        <v>833</v>
      </c>
      <c r="L358" t="s">
        <v>963</v>
      </c>
      <c r="N358" t="s">
        <v>834</v>
      </c>
      <c r="O358" t="s">
        <v>965</v>
      </c>
      <c r="P358" t="s">
        <v>965</v>
      </c>
      <c r="Q358" t="s">
        <v>965</v>
      </c>
      <c r="R358" t="s">
        <v>965</v>
      </c>
      <c r="S358" t="s">
        <v>965</v>
      </c>
      <c r="T358" t="s">
        <v>965</v>
      </c>
      <c r="U358" t="s">
        <v>965</v>
      </c>
      <c r="V358" t="s">
        <v>965</v>
      </c>
      <c r="W358" t="s">
        <v>965</v>
      </c>
      <c r="X358" t="s">
        <v>965</v>
      </c>
      <c r="Y358" t="s">
        <v>965</v>
      </c>
      <c r="Z358" t="s">
        <v>965</v>
      </c>
      <c r="AA358" t="s">
        <v>965</v>
      </c>
      <c r="AB358" t="s">
        <v>965</v>
      </c>
      <c r="AC358" t="s">
        <v>965</v>
      </c>
      <c r="AD358" t="s">
        <v>965</v>
      </c>
      <c r="AE358" t="s">
        <v>965</v>
      </c>
      <c r="AF358" t="s">
        <v>965</v>
      </c>
      <c r="AG358" t="s">
        <v>965</v>
      </c>
      <c r="AH358" t="s">
        <v>965</v>
      </c>
      <c r="AI358" t="s">
        <v>965</v>
      </c>
      <c r="AJ358" t="s">
        <v>965</v>
      </c>
      <c r="AK358" t="s">
        <v>965</v>
      </c>
      <c r="AL358" t="s">
        <v>965</v>
      </c>
      <c r="AM358" t="s">
        <v>965</v>
      </c>
      <c r="AN358" t="s">
        <v>965</v>
      </c>
      <c r="AO358" t="s">
        <v>965</v>
      </c>
      <c r="AP358" t="s">
        <v>965</v>
      </c>
      <c r="AQ358" t="s">
        <v>965</v>
      </c>
      <c r="AR358" t="s">
        <v>965</v>
      </c>
      <c r="AS358" t="s">
        <v>965</v>
      </c>
      <c r="AT358" t="s">
        <v>965</v>
      </c>
      <c r="AU358" t="s">
        <v>965</v>
      </c>
      <c r="AV358" t="s">
        <v>965</v>
      </c>
      <c r="AW358" t="s">
        <v>965</v>
      </c>
      <c r="AX358" t="s">
        <v>965</v>
      </c>
      <c r="AY358" t="s">
        <v>965</v>
      </c>
      <c r="AZ358" t="s">
        <v>965</v>
      </c>
      <c r="BA358" t="s">
        <v>965</v>
      </c>
      <c r="BB358" t="s">
        <v>965</v>
      </c>
      <c r="BC358" t="s">
        <v>965</v>
      </c>
      <c r="BD358" t="s">
        <v>965</v>
      </c>
      <c r="BE358" t="s">
        <v>835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0</v>
      </c>
      <c r="BS358">
        <v>0</v>
      </c>
      <c r="BT358">
        <v>1</v>
      </c>
      <c r="BU358">
        <v>1</v>
      </c>
      <c r="BV358" s="36">
        <f t="shared" si="2"/>
        <v>1</v>
      </c>
      <c r="BW358" s="32">
        <v>0.88</v>
      </c>
    </row>
    <row r="359" spans="1:79" x14ac:dyDescent="0.2">
      <c r="A359">
        <v>2025</v>
      </c>
      <c r="B359" s="58" t="s">
        <v>1231</v>
      </c>
      <c r="C359" s="58" t="s">
        <v>866</v>
      </c>
      <c r="D359" t="s">
        <v>1241</v>
      </c>
      <c r="E359" s="5" t="s">
        <v>893</v>
      </c>
      <c r="F359" s="5" t="s">
        <v>95</v>
      </c>
      <c r="H359" s="5"/>
      <c r="I359" s="5"/>
      <c r="J359" s="5"/>
      <c r="K359" t="s">
        <v>833</v>
      </c>
      <c r="L359" t="s">
        <v>963</v>
      </c>
      <c r="N359" t="s">
        <v>834</v>
      </c>
      <c r="O359" t="s">
        <v>965</v>
      </c>
      <c r="P359" t="s">
        <v>965</v>
      </c>
      <c r="Q359" t="s">
        <v>965</v>
      </c>
      <c r="R359" t="s">
        <v>965</v>
      </c>
      <c r="S359" t="s">
        <v>965</v>
      </c>
      <c r="T359" t="s">
        <v>965</v>
      </c>
      <c r="U359" t="s">
        <v>965</v>
      </c>
      <c r="V359" t="s">
        <v>965</v>
      </c>
      <c r="W359" t="s">
        <v>965</v>
      </c>
      <c r="X359" t="s">
        <v>965</v>
      </c>
      <c r="Y359" t="s">
        <v>965</v>
      </c>
      <c r="Z359" t="s">
        <v>965</v>
      </c>
      <c r="AA359" t="s">
        <v>965</v>
      </c>
      <c r="AB359" t="s">
        <v>965</v>
      </c>
      <c r="AC359" t="s">
        <v>965</v>
      </c>
      <c r="AD359" t="s">
        <v>965</v>
      </c>
      <c r="AE359" t="s">
        <v>965</v>
      </c>
      <c r="AF359" t="s">
        <v>965</v>
      </c>
      <c r="AG359" t="s">
        <v>965</v>
      </c>
      <c r="AH359" t="s">
        <v>965</v>
      </c>
      <c r="AI359" t="s">
        <v>965</v>
      </c>
      <c r="AJ359" t="s">
        <v>965</v>
      </c>
      <c r="AK359" t="s">
        <v>965</v>
      </c>
      <c r="AL359" t="s">
        <v>965</v>
      </c>
      <c r="AM359" t="s">
        <v>965</v>
      </c>
      <c r="AN359" t="s">
        <v>965</v>
      </c>
      <c r="AO359" t="s">
        <v>965</v>
      </c>
      <c r="AP359" t="s">
        <v>965</v>
      </c>
      <c r="AQ359" t="s">
        <v>965</v>
      </c>
      <c r="AR359" t="s">
        <v>965</v>
      </c>
      <c r="AS359" t="s">
        <v>965</v>
      </c>
      <c r="AT359" t="s">
        <v>965</v>
      </c>
      <c r="AU359" t="s">
        <v>965</v>
      </c>
      <c r="AV359" t="s">
        <v>965</v>
      </c>
      <c r="AW359" t="s">
        <v>965</v>
      </c>
      <c r="AX359" t="s">
        <v>965</v>
      </c>
      <c r="AY359" t="s">
        <v>965</v>
      </c>
      <c r="AZ359" t="s">
        <v>965</v>
      </c>
      <c r="BA359" t="s">
        <v>965</v>
      </c>
      <c r="BB359" t="s">
        <v>965</v>
      </c>
      <c r="BC359" t="s">
        <v>965</v>
      </c>
      <c r="BD359" t="s">
        <v>965</v>
      </c>
      <c r="BE359" t="s">
        <v>835</v>
      </c>
      <c r="BF359">
        <v>7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7</v>
      </c>
      <c r="BR359">
        <v>0</v>
      </c>
      <c r="BS359">
        <v>0</v>
      </c>
      <c r="BT359">
        <v>7</v>
      </c>
      <c r="BU359">
        <v>7</v>
      </c>
      <c r="BV359" s="36">
        <f t="shared" si="2"/>
        <v>1</v>
      </c>
      <c r="BW359" s="32">
        <v>0.67</v>
      </c>
    </row>
    <row r="360" spans="1:79" x14ac:dyDescent="0.2">
      <c r="A360">
        <v>2025</v>
      </c>
      <c r="B360" s="58" t="s">
        <v>1231</v>
      </c>
      <c r="C360" s="58" t="s">
        <v>842</v>
      </c>
      <c r="D360" t="s">
        <v>711</v>
      </c>
      <c r="E360" s="5" t="s">
        <v>893</v>
      </c>
      <c r="F360" s="5" t="s">
        <v>95</v>
      </c>
      <c r="G360" s="6" t="s">
        <v>246</v>
      </c>
      <c r="H360" s="35">
        <v>0.51</v>
      </c>
      <c r="I360" s="35">
        <v>0.28999999999999998</v>
      </c>
      <c r="J360" s="32">
        <v>0.22</v>
      </c>
      <c r="K360" t="s">
        <v>833</v>
      </c>
      <c r="L360" t="s">
        <v>963</v>
      </c>
      <c r="N360" t="s">
        <v>834</v>
      </c>
      <c r="O360" t="s">
        <v>965</v>
      </c>
      <c r="P360" t="s">
        <v>965</v>
      </c>
      <c r="Q360" t="s">
        <v>965</v>
      </c>
      <c r="R360" t="s">
        <v>965</v>
      </c>
      <c r="S360" t="s">
        <v>965</v>
      </c>
      <c r="T360" t="s">
        <v>965</v>
      </c>
      <c r="U360" t="s">
        <v>965</v>
      </c>
      <c r="V360" t="s">
        <v>965</v>
      </c>
      <c r="W360" t="s">
        <v>965</v>
      </c>
      <c r="X360" t="s">
        <v>965</v>
      </c>
      <c r="Y360" t="s">
        <v>965</v>
      </c>
      <c r="Z360" t="s">
        <v>965</v>
      </c>
      <c r="AA360" t="s">
        <v>965</v>
      </c>
      <c r="AB360" t="s">
        <v>965</v>
      </c>
      <c r="AC360" t="s">
        <v>965</v>
      </c>
      <c r="AD360" t="s">
        <v>965</v>
      </c>
      <c r="AE360" t="s">
        <v>965</v>
      </c>
      <c r="AF360" t="s">
        <v>965</v>
      </c>
      <c r="AG360" t="s">
        <v>965</v>
      </c>
      <c r="AH360" t="s">
        <v>965</v>
      </c>
      <c r="AI360" t="s">
        <v>965</v>
      </c>
      <c r="AJ360" t="s">
        <v>965</v>
      </c>
      <c r="AK360" t="s">
        <v>965</v>
      </c>
      <c r="AL360" t="s">
        <v>965</v>
      </c>
      <c r="AM360" t="s">
        <v>965</v>
      </c>
      <c r="AN360" t="s">
        <v>965</v>
      </c>
      <c r="AO360" t="s">
        <v>965</v>
      </c>
      <c r="AP360" t="s">
        <v>965</v>
      </c>
      <c r="AQ360" t="s">
        <v>965</v>
      </c>
      <c r="AR360" t="s">
        <v>965</v>
      </c>
      <c r="AS360" t="s">
        <v>965</v>
      </c>
      <c r="AT360" t="s">
        <v>965</v>
      </c>
      <c r="AU360" t="s">
        <v>965</v>
      </c>
      <c r="AV360" t="s">
        <v>965</v>
      </c>
      <c r="AW360" t="s">
        <v>965</v>
      </c>
      <c r="AX360" t="s">
        <v>965</v>
      </c>
      <c r="AY360" t="s">
        <v>833</v>
      </c>
      <c r="AZ360" t="s">
        <v>965</v>
      </c>
      <c r="BA360" t="s">
        <v>965</v>
      </c>
      <c r="BB360" t="s">
        <v>965</v>
      </c>
      <c r="BC360" t="s">
        <v>965</v>
      </c>
      <c r="BD360" t="s">
        <v>965</v>
      </c>
      <c r="BE360" t="s">
        <v>835</v>
      </c>
      <c r="BF360">
        <v>26</v>
      </c>
      <c r="BG360">
        <v>8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26</v>
      </c>
      <c r="BR360">
        <v>0</v>
      </c>
      <c r="BS360">
        <v>0</v>
      </c>
      <c r="BT360">
        <v>26</v>
      </c>
      <c r="BU360">
        <v>28</v>
      </c>
      <c r="BV360" s="36">
        <f t="shared" si="2"/>
        <v>1.0769230769230769</v>
      </c>
      <c r="BW360" s="32">
        <v>0.75</v>
      </c>
    </row>
    <row r="361" spans="1:79" x14ac:dyDescent="0.2">
      <c r="A361">
        <v>2025</v>
      </c>
      <c r="B361" s="58" t="s">
        <v>1231</v>
      </c>
      <c r="C361" s="58" t="s">
        <v>842</v>
      </c>
      <c r="D361" t="s">
        <v>735</v>
      </c>
      <c r="E361" s="5" t="s">
        <v>893</v>
      </c>
      <c r="F361" s="5" t="s">
        <v>95</v>
      </c>
      <c r="G361" s="6" t="s">
        <v>549</v>
      </c>
      <c r="H361" s="35">
        <v>0.38</v>
      </c>
      <c r="I361" s="35">
        <v>0.26</v>
      </c>
      <c r="J361" s="32">
        <v>0.69</v>
      </c>
      <c r="K361" t="s">
        <v>833</v>
      </c>
      <c r="L361" t="s">
        <v>963</v>
      </c>
      <c r="N361" t="s">
        <v>834</v>
      </c>
      <c r="O361" t="s">
        <v>965</v>
      </c>
      <c r="P361" t="s">
        <v>965</v>
      </c>
      <c r="Q361" t="s">
        <v>965</v>
      </c>
      <c r="R361" t="s">
        <v>965</v>
      </c>
      <c r="S361" t="s">
        <v>965</v>
      </c>
      <c r="T361" t="s">
        <v>965</v>
      </c>
      <c r="U361" t="s">
        <v>965</v>
      </c>
      <c r="V361" t="s">
        <v>965</v>
      </c>
      <c r="W361" t="s">
        <v>965</v>
      </c>
      <c r="X361" t="s">
        <v>965</v>
      </c>
      <c r="Y361" t="s">
        <v>965</v>
      </c>
      <c r="Z361" t="s">
        <v>965</v>
      </c>
      <c r="AA361" t="s">
        <v>965</v>
      </c>
      <c r="AB361" t="s">
        <v>965</v>
      </c>
      <c r="AC361" t="s">
        <v>965</v>
      </c>
      <c r="AD361" t="s">
        <v>965</v>
      </c>
      <c r="AE361" t="s">
        <v>965</v>
      </c>
      <c r="AF361" t="s">
        <v>965</v>
      </c>
      <c r="AG361" t="s">
        <v>965</v>
      </c>
      <c r="AH361" t="s">
        <v>965</v>
      </c>
      <c r="AI361" t="s">
        <v>965</v>
      </c>
      <c r="AJ361" t="s">
        <v>965</v>
      </c>
      <c r="AK361" t="s">
        <v>965</v>
      </c>
      <c r="AL361" t="s">
        <v>965</v>
      </c>
      <c r="AM361" t="s">
        <v>965</v>
      </c>
      <c r="AN361" t="s">
        <v>965</v>
      </c>
      <c r="AO361" t="s">
        <v>965</v>
      </c>
      <c r="AP361" t="s">
        <v>965</v>
      </c>
      <c r="AQ361" t="s">
        <v>965</v>
      </c>
      <c r="AR361" t="s">
        <v>965</v>
      </c>
      <c r="AS361" t="s">
        <v>965</v>
      </c>
      <c r="AT361" t="s">
        <v>965</v>
      </c>
      <c r="AU361" t="s">
        <v>965</v>
      </c>
      <c r="AV361" t="s">
        <v>965</v>
      </c>
      <c r="AW361" t="s">
        <v>965</v>
      </c>
      <c r="AX361" t="s">
        <v>965</v>
      </c>
      <c r="AY361" t="s">
        <v>833</v>
      </c>
      <c r="AZ361" t="s">
        <v>965</v>
      </c>
      <c r="BA361" t="s">
        <v>965</v>
      </c>
      <c r="BB361" t="s">
        <v>965</v>
      </c>
      <c r="BC361" t="s">
        <v>833</v>
      </c>
      <c r="BD361" t="s">
        <v>965</v>
      </c>
      <c r="BE361" t="s">
        <v>835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19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19</v>
      </c>
      <c r="BR361">
        <v>0</v>
      </c>
      <c r="BS361">
        <v>0</v>
      </c>
      <c r="BT361">
        <v>19</v>
      </c>
      <c r="BU361">
        <v>19</v>
      </c>
      <c r="BV361" s="36">
        <f t="shared" si="2"/>
        <v>1</v>
      </c>
      <c r="BW361" s="32">
        <v>0.96</v>
      </c>
    </row>
    <row r="362" spans="1:79" x14ac:dyDescent="0.2">
      <c r="A362">
        <v>2025</v>
      </c>
      <c r="B362" s="58" t="s">
        <v>1231</v>
      </c>
      <c r="C362" s="58" t="s">
        <v>966</v>
      </c>
      <c r="D362" t="s">
        <v>1242</v>
      </c>
      <c r="E362" s="5" t="s">
        <v>838</v>
      </c>
      <c r="F362" s="5" t="s">
        <v>42</v>
      </c>
      <c r="H362" s="5"/>
      <c r="I362" s="5"/>
      <c r="J362" s="5"/>
      <c r="K362" t="s">
        <v>833</v>
      </c>
      <c r="L362" t="s">
        <v>963</v>
      </c>
      <c r="N362" t="s">
        <v>834</v>
      </c>
      <c r="O362" t="s">
        <v>965</v>
      </c>
      <c r="P362" t="s">
        <v>965</v>
      </c>
      <c r="Q362" t="s">
        <v>965</v>
      </c>
      <c r="R362" t="s">
        <v>965</v>
      </c>
      <c r="S362" t="s">
        <v>965</v>
      </c>
      <c r="T362" t="s">
        <v>965</v>
      </c>
      <c r="U362" t="s">
        <v>965</v>
      </c>
      <c r="V362" t="s">
        <v>965</v>
      </c>
      <c r="W362" t="s">
        <v>965</v>
      </c>
      <c r="X362" t="s">
        <v>965</v>
      </c>
      <c r="Y362" t="s">
        <v>965</v>
      </c>
      <c r="Z362" t="s">
        <v>965</v>
      </c>
      <c r="AA362" t="s">
        <v>965</v>
      </c>
      <c r="AB362" t="s">
        <v>965</v>
      </c>
      <c r="AC362" t="s">
        <v>965</v>
      </c>
      <c r="AD362" t="s">
        <v>965</v>
      </c>
      <c r="AE362" t="s">
        <v>965</v>
      </c>
      <c r="AF362" t="s">
        <v>965</v>
      </c>
      <c r="AG362" t="s">
        <v>965</v>
      </c>
      <c r="AH362" t="s">
        <v>965</v>
      </c>
      <c r="AI362" t="s">
        <v>965</v>
      </c>
      <c r="AJ362" t="s">
        <v>965</v>
      </c>
      <c r="AK362" t="s">
        <v>965</v>
      </c>
      <c r="AL362" t="s">
        <v>965</v>
      </c>
      <c r="AM362" t="s">
        <v>965</v>
      </c>
      <c r="AN362" t="s">
        <v>965</v>
      </c>
      <c r="AO362" t="s">
        <v>965</v>
      </c>
      <c r="AP362" t="s">
        <v>965</v>
      </c>
      <c r="AQ362" t="s">
        <v>965</v>
      </c>
      <c r="AR362" t="s">
        <v>965</v>
      </c>
      <c r="AS362" t="s">
        <v>965</v>
      </c>
      <c r="AT362" t="s">
        <v>965</v>
      </c>
      <c r="AU362" t="s">
        <v>965</v>
      </c>
      <c r="AV362" t="s">
        <v>965</v>
      </c>
      <c r="AW362" t="s">
        <v>965</v>
      </c>
      <c r="AX362" t="s">
        <v>965</v>
      </c>
      <c r="AY362" t="s">
        <v>965</v>
      </c>
      <c r="AZ362" t="s">
        <v>965</v>
      </c>
      <c r="BA362" t="s">
        <v>965</v>
      </c>
      <c r="BB362" t="s">
        <v>965</v>
      </c>
      <c r="BC362" t="s">
        <v>833</v>
      </c>
      <c r="BD362" t="s">
        <v>965</v>
      </c>
      <c r="BE362" t="s">
        <v>855</v>
      </c>
      <c r="BF362">
        <v>8</v>
      </c>
      <c r="BG362">
        <v>1</v>
      </c>
      <c r="BH362">
        <v>0</v>
      </c>
      <c r="BI362">
        <v>0</v>
      </c>
      <c r="BJ362">
        <v>0</v>
      </c>
      <c r="BK362">
        <v>92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100</v>
      </c>
      <c r="BR362">
        <v>0</v>
      </c>
      <c r="BS362">
        <v>0</v>
      </c>
      <c r="BT362">
        <v>100</v>
      </c>
      <c r="BU362">
        <v>57</v>
      </c>
      <c r="BV362" s="36">
        <f t="shared" si="2"/>
        <v>0.56999999999999995</v>
      </c>
      <c r="BW362" s="32">
        <v>0.9</v>
      </c>
    </row>
    <row r="363" spans="1:79" x14ac:dyDescent="0.2">
      <c r="A363">
        <v>2025</v>
      </c>
      <c r="B363" s="58" t="s">
        <v>1231</v>
      </c>
      <c r="C363" s="58" t="s">
        <v>1243</v>
      </c>
      <c r="D363" t="s">
        <v>1244</v>
      </c>
      <c r="E363" s="5" t="s">
        <v>838</v>
      </c>
      <c r="F363" s="5" t="s">
        <v>42</v>
      </c>
      <c r="H363" s="5"/>
      <c r="I363" s="5"/>
      <c r="J363" s="5"/>
      <c r="K363" t="s">
        <v>833</v>
      </c>
      <c r="L363" t="s">
        <v>963</v>
      </c>
      <c r="N363" t="s">
        <v>834</v>
      </c>
      <c r="O363" t="s">
        <v>965</v>
      </c>
      <c r="P363" t="s">
        <v>965</v>
      </c>
      <c r="Q363" t="s">
        <v>965</v>
      </c>
      <c r="R363" t="s">
        <v>965</v>
      </c>
      <c r="S363" t="s">
        <v>965</v>
      </c>
      <c r="T363" t="s">
        <v>965</v>
      </c>
      <c r="U363" t="s">
        <v>965</v>
      </c>
      <c r="V363" t="s">
        <v>965</v>
      </c>
      <c r="W363" t="s">
        <v>965</v>
      </c>
      <c r="X363" t="s">
        <v>965</v>
      </c>
      <c r="Y363" t="s">
        <v>965</v>
      </c>
      <c r="Z363" t="s">
        <v>965</v>
      </c>
      <c r="AA363" t="s">
        <v>965</v>
      </c>
      <c r="AB363" t="s">
        <v>965</v>
      </c>
      <c r="AC363" t="s">
        <v>965</v>
      </c>
      <c r="AD363" t="s">
        <v>965</v>
      </c>
      <c r="AE363" t="s">
        <v>965</v>
      </c>
      <c r="AF363" t="s">
        <v>965</v>
      </c>
      <c r="AG363" t="s">
        <v>965</v>
      </c>
      <c r="AH363" t="s">
        <v>965</v>
      </c>
      <c r="AI363" t="s">
        <v>965</v>
      </c>
      <c r="AJ363" t="s">
        <v>965</v>
      </c>
      <c r="AK363" t="s">
        <v>965</v>
      </c>
      <c r="AL363" t="s">
        <v>965</v>
      </c>
      <c r="AM363" t="s">
        <v>965</v>
      </c>
      <c r="AN363" t="s">
        <v>965</v>
      </c>
      <c r="AO363" t="s">
        <v>965</v>
      </c>
      <c r="AP363" t="s">
        <v>965</v>
      </c>
      <c r="AQ363" t="s">
        <v>965</v>
      </c>
      <c r="AR363" t="s">
        <v>965</v>
      </c>
      <c r="AS363" t="s">
        <v>965</v>
      </c>
      <c r="AT363" t="s">
        <v>965</v>
      </c>
      <c r="AU363" t="s">
        <v>965</v>
      </c>
      <c r="AV363" t="s">
        <v>965</v>
      </c>
      <c r="AW363" t="s">
        <v>965</v>
      </c>
      <c r="AX363" t="s">
        <v>965</v>
      </c>
      <c r="AY363" t="s">
        <v>965</v>
      </c>
      <c r="AZ363" t="s">
        <v>965</v>
      </c>
      <c r="BA363" t="s">
        <v>965</v>
      </c>
      <c r="BB363" t="s">
        <v>965</v>
      </c>
      <c r="BC363" t="s">
        <v>833</v>
      </c>
      <c r="BD363" t="s">
        <v>965</v>
      </c>
      <c r="BE363" t="s">
        <v>855</v>
      </c>
      <c r="BF363">
        <v>6</v>
      </c>
      <c r="BG363">
        <v>1</v>
      </c>
      <c r="BH363">
        <v>0</v>
      </c>
      <c r="BI363">
        <v>0</v>
      </c>
      <c r="BJ363">
        <v>0</v>
      </c>
      <c r="BK363">
        <v>60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66</v>
      </c>
      <c r="BR363">
        <v>0</v>
      </c>
      <c r="BS363">
        <v>0</v>
      </c>
      <c r="BT363">
        <v>66</v>
      </c>
      <c r="BU363">
        <v>66</v>
      </c>
      <c r="BV363" s="36">
        <f t="shared" si="2"/>
        <v>1</v>
      </c>
      <c r="BW363" s="32">
        <v>0.7</v>
      </c>
    </row>
    <row r="364" spans="1:79" x14ac:dyDescent="0.2">
      <c r="A364">
        <v>2025</v>
      </c>
      <c r="B364" s="58" t="s">
        <v>1231</v>
      </c>
      <c r="C364" s="58" t="s">
        <v>866</v>
      </c>
      <c r="D364" t="s">
        <v>1245</v>
      </c>
      <c r="E364" s="5" t="s">
        <v>838</v>
      </c>
      <c r="F364" s="5" t="s">
        <v>42</v>
      </c>
      <c r="H364" s="5"/>
      <c r="I364" s="5"/>
      <c r="J364" s="5"/>
      <c r="K364" t="s">
        <v>833</v>
      </c>
      <c r="L364" t="s">
        <v>963</v>
      </c>
      <c r="N364" t="s">
        <v>1000</v>
      </c>
      <c r="O364" t="s">
        <v>965</v>
      </c>
      <c r="P364" t="s">
        <v>965</v>
      </c>
      <c r="Q364" t="s">
        <v>965</v>
      </c>
      <c r="R364" t="s">
        <v>965</v>
      </c>
      <c r="S364" t="s">
        <v>965</v>
      </c>
      <c r="T364" t="s">
        <v>965</v>
      </c>
      <c r="U364" t="s">
        <v>965</v>
      </c>
      <c r="V364" t="s">
        <v>965</v>
      </c>
      <c r="W364" t="s">
        <v>965</v>
      </c>
      <c r="X364" t="s">
        <v>965</v>
      </c>
      <c r="Y364" t="s">
        <v>965</v>
      </c>
      <c r="Z364" t="s">
        <v>965</v>
      </c>
      <c r="AA364" t="s">
        <v>965</v>
      </c>
      <c r="AB364" t="s">
        <v>965</v>
      </c>
      <c r="AC364" t="s">
        <v>965</v>
      </c>
      <c r="AD364" t="s">
        <v>965</v>
      </c>
      <c r="AE364" t="s">
        <v>965</v>
      </c>
      <c r="AF364" t="s">
        <v>965</v>
      </c>
      <c r="AG364" t="s">
        <v>965</v>
      </c>
      <c r="AH364" t="s">
        <v>965</v>
      </c>
      <c r="AI364" t="s">
        <v>965</v>
      </c>
      <c r="AJ364" t="s">
        <v>965</v>
      </c>
      <c r="AK364" t="s">
        <v>965</v>
      </c>
      <c r="AL364" t="s">
        <v>965</v>
      </c>
      <c r="AM364" t="s">
        <v>965</v>
      </c>
      <c r="AN364" t="s">
        <v>965</v>
      </c>
      <c r="AO364" t="s">
        <v>965</v>
      </c>
      <c r="AP364" t="s">
        <v>965</v>
      </c>
      <c r="AQ364" t="s">
        <v>965</v>
      </c>
      <c r="AR364" t="s">
        <v>965</v>
      </c>
      <c r="AS364" t="s">
        <v>965</v>
      </c>
      <c r="AT364" t="s">
        <v>965</v>
      </c>
      <c r="AU364" t="s">
        <v>965</v>
      </c>
      <c r="AV364" t="s">
        <v>965</v>
      </c>
      <c r="AW364" t="s">
        <v>965</v>
      </c>
      <c r="AX364" t="s">
        <v>965</v>
      </c>
      <c r="AY364" t="s">
        <v>965</v>
      </c>
      <c r="AZ364" t="s">
        <v>965</v>
      </c>
      <c r="BA364" t="s">
        <v>965</v>
      </c>
      <c r="BB364" t="s">
        <v>965</v>
      </c>
      <c r="BC364" t="s">
        <v>965</v>
      </c>
      <c r="BD364" t="s">
        <v>965</v>
      </c>
      <c r="BE364" t="s">
        <v>835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21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21</v>
      </c>
      <c r="BR364">
        <v>0</v>
      </c>
      <c r="BS364">
        <v>0</v>
      </c>
      <c r="BT364">
        <v>21</v>
      </c>
      <c r="BU364">
        <v>15</v>
      </c>
      <c r="BV364" s="36">
        <f t="shared" si="2"/>
        <v>0.7142857142857143</v>
      </c>
      <c r="BW364" s="32">
        <v>0.7</v>
      </c>
    </row>
    <row r="365" spans="1:79" x14ac:dyDescent="0.2">
      <c r="A365">
        <v>2025</v>
      </c>
      <c r="B365" s="58" t="s">
        <v>1231</v>
      </c>
      <c r="C365" s="58" t="s">
        <v>866</v>
      </c>
      <c r="D365" t="s">
        <v>314</v>
      </c>
      <c r="E365" s="5" t="s">
        <v>838</v>
      </c>
      <c r="F365" s="5" t="s">
        <v>42</v>
      </c>
      <c r="G365" s="6" t="s">
        <v>290</v>
      </c>
      <c r="H365" s="35">
        <v>0.66</v>
      </c>
      <c r="I365" s="35">
        <v>0.03</v>
      </c>
      <c r="J365" s="32">
        <v>0.36</v>
      </c>
      <c r="K365" t="s">
        <v>833</v>
      </c>
      <c r="L365" t="s">
        <v>963</v>
      </c>
      <c r="N365" t="s">
        <v>834</v>
      </c>
      <c r="O365" t="s">
        <v>965</v>
      </c>
      <c r="P365" t="s">
        <v>965</v>
      </c>
      <c r="Q365" t="s">
        <v>965</v>
      </c>
      <c r="R365" t="s">
        <v>965</v>
      </c>
      <c r="S365" t="s">
        <v>965</v>
      </c>
      <c r="T365" t="s">
        <v>965</v>
      </c>
      <c r="U365" t="s">
        <v>965</v>
      </c>
      <c r="V365" t="s">
        <v>965</v>
      </c>
      <c r="W365" t="s">
        <v>965</v>
      </c>
      <c r="X365" t="s">
        <v>965</v>
      </c>
      <c r="Y365" t="s">
        <v>965</v>
      </c>
      <c r="Z365" t="s">
        <v>965</v>
      </c>
      <c r="AA365" t="s">
        <v>965</v>
      </c>
      <c r="AB365" t="s">
        <v>965</v>
      </c>
      <c r="AC365" t="s">
        <v>965</v>
      </c>
      <c r="AD365" t="s">
        <v>965</v>
      </c>
      <c r="AE365" t="s">
        <v>965</v>
      </c>
      <c r="AF365" t="s">
        <v>965</v>
      </c>
      <c r="AG365" t="s">
        <v>965</v>
      </c>
      <c r="AH365" t="s">
        <v>965</v>
      </c>
      <c r="AI365" t="s">
        <v>965</v>
      </c>
      <c r="AJ365" t="s">
        <v>965</v>
      </c>
      <c r="AK365" t="s">
        <v>965</v>
      </c>
      <c r="AL365" t="s">
        <v>965</v>
      </c>
      <c r="AM365" t="s">
        <v>965</v>
      </c>
      <c r="AN365" t="s">
        <v>965</v>
      </c>
      <c r="AO365" t="s">
        <v>965</v>
      </c>
      <c r="AP365" t="s">
        <v>965</v>
      </c>
      <c r="AQ365" t="s">
        <v>965</v>
      </c>
      <c r="AR365" t="s">
        <v>965</v>
      </c>
      <c r="AS365" t="s">
        <v>965</v>
      </c>
      <c r="AT365" t="s">
        <v>965</v>
      </c>
      <c r="AU365" t="s">
        <v>965</v>
      </c>
      <c r="AV365" t="s">
        <v>965</v>
      </c>
      <c r="AW365" t="s">
        <v>965</v>
      </c>
      <c r="AX365" t="s">
        <v>965</v>
      </c>
      <c r="AY365" t="s">
        <v>965</v>
      </c>
      <c r="AZ365" t="s">
        <v>965</v>
      </c>
      <c r="BA365" t="s">
        <v>965</v>
      </c>
      <c r="BB365" t="s">
        <v>965</v>
      </c>
      <c r="BC365" t="s">
        <v>965</v>
      </c>
      <c r="BD365" t="s">
        <v>965</v>
      </c>
      <c r="BE365" t="s">
        <v>835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8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8</v>
      </c>
      <c r="BR365">
        <v>0</v>
      </c>
      <c r="BS365">
        <v>0</v>
      </c>
      <c r="BT365">
        <v>8</v>
      </c>
      <c r="BU365">
        <v>7</v>
      </c>
      <c r="BV365" s="36">
        <f t="shared" si="2"/>
        <v>0.875</v>
      </c>
      <c r="BW365" s="32">
        <v>0.9</v>
      </c>
    </row>
    <row r="366" spans="1:79" x14ac:dyDescent="0.2">
      <c r="A366">
        <v>2025</v>
      </c>
      <c r="B366" s="58" t="s">
        <v>1231</v>
      </c>
      <c r="C366" s="58" t="s">
        <v>866</v>
      </c>
      <c r="D366" t="s">
        <v>881</v>
      </c>
      <c r="E366" s="5" t="s">
        <v>838</v>
      </c>
      <c r="F366" s="5" t="s">
        <v>42</v>
      </c>
      <c r="K366" t="s">
        <v>833</v>
      </c>
      <c r="L366" t="s">
        <v>963</v>
      </c>
      <c r="N366" t="s">
        <v>834</v>
      </c>
      <c r="O366" t="s">
        <v>965</v>
      </c>
      <c r="P366" t="s">
        <v>965</v>
      </c>
      <c r="Q366" t="s">
        <v>965</v>
      </c>
      <c r="R366" t="s">
        <v>965</v>
      </c>
      <c r="S366" t="s">
        <v>965</v>
      </c>
      <c r="T366" t="s">
        <v>965</v>
      </c>
      <c r="U366" t="s">
        <v>965</v>
      </c>
      <c r="V366" t="s">
        <v>965</v>
      </c>
      <c r="W366" t="s">
        <v>965</v>
      </c>
      <c r="X366" t="s">
        <v>965</v>
      </c>
      <c r="Y366" t="s">
        <v>965</v>
      </c>
      <c r="Z366" t="s">
        <v>965</v>
      </c>
      <c r="AA366" t="s">
        <v>965</v>
      </c>
      <c r="AB366" t="s">
        <v>965</v>
      </c>
      <c r="AC366" t="s">
        <v>965</v>
      </c>
      <c r="AD366" t="s">
        <v>965</v>
      </c>
      <c r="AE366" t="s">
        <v>965</v>
      </c>
      <c r="AF366" t="s">
        <v>965</v>
      </c>
      <c r="AG366" t="s">
        <v>965</v>
      </c>
      <c r="AH366" t="s">
        <v>965</v>
      </c>
      <c r="AI366" t="s">
        <v>965</v>
      </c>
      <c r="AJ366" t="s">
        <v>965</v>
      </c>
      <c r="AK366" t="s">
        <v>965</v>
      </c>
      <c r="AL366" t="s">
        <v>965</v>
      </c>
      <c r="AM366" t="s">
        <v>965</v>
      </c>
      <c r="AN366" t="s">
        <v>965</v>
      </c>
      <c r="AO366" t="s">
        <v>965</v>
      </c>
      <c r="AP366" t="s">
        <v>965</v>
      </c>
      <c r="AQ366" t="s">
        <v>965</v>
      </c>
      <c r="AR366" t="s">
        <v>965</v>
      </c>
      <c r="AS366" t="s">
        <v>965</v>
      </c>
      <c r="AT366" t="s">
        <v>965</v>
      </c>
      <c r="AU366" t="s">
        <v>965</v>
      </c>
      <c r="AV366" t="s">
        <v>965</v>
      </c>
      <c r="AW366" t="s">
        <v>965</v>
      </c>
      <c r="AX366" t="s">
        <v>965</v>
      </c>
      <c r="AY366" t="s">
        <v>965</v>
      </c>
      <c r="AZ366" t="s">
        <v>965</v>
      </c>
      <c r="BA366" t="s">
        <v>965</v>
      </c>
      <c r="BB366" t="s">
        <v>965</v>
      </c>
      <c r="BC366" t="s">
        <v>965</v>
      </c>
      <c r="BD366" t="s">
        <v>965</v>
      </c>
      <c r="BE366" t="s">
        <v>835</v>
      </c>
      <c r="BF366">
        <v>21</v>
      </c>
      <c r="BG366">
        <v>3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21</v>
      </c>
      <c r="BR366">
        <v>0</v>
      </c>
      <c r="BS366">
        <v>0</v>
      </c>
      <c r="BT366">
        <v>21</v>
      </c>
      <c r="BU366">
        <v>20</v>
      </c>
      <c r="BV366" s="36">
        <f t="shared" si="2"/>
        <v>0.95238095238095233</v>
      </c>
      <c r="BW366" s="13">
        <v>0.9</v>
      </c>
    </row>
    <row r="367" spans="1:79" x14ac:dyDescent="0.2">
      <c r="A367">
        <v>2025</v>
      </c>
      <c r="B367" s="58" t="s">
        <v>1231</v>
      </c>
      <c r="C367" s="58" t="s">
        <v>866</v>
      </c>
      <c r="D367" t="s">
        <v>884</v>
      </c>
      <c r="E367" s="5" t="s">
        <v>838</v>
      </c>
      <c r="F367" s="5" t="s">
        <v>42</v>
      </c>
      <c r="K367" s="47" t="s">
        <v>833</v>
      </c>
      <c r="L367" s="47" t="s">
        <v>963</v>
      </c>
      <c r="M367" s="47"/>
      <c r="N367" s="47" t="s">
        <v>834</v>
      </c>
      <c r="O367" s="47" t="s">
        <v>965</v>
      </c>
      <c r="P367" s="47" t="s">
        <v>965</v>
      </c>
      <c r="Q367" s="47" t="s">
        <v>965</v>
      </c>
      <c r="R367" s="47" t="s">
        <v>965</v>
      </c>
      <c r="S367" s="47" t="s">
        <v>965</v>
      </c>
      <c r="T367" s="47" t="s">
        <v>965</v>
      </c>
      <c r="U367" s="47" t="s">
        <v>965</v>
      </c>
      <c r="V367" s="47" t="s">
        <v>965</v>
      </c>
      <c r="W367" s="47" t="s">
        <v>965</v>
      </c>
      <c r="X367" s="47" t="s">
        <v>965</v>
      </c>
      <c r="Y367" s="47" t="s">
        <v>965</v>
      </c>
      <c r="Z367" s="47" t="s">
        <v>965</v>
      </c>
      <c r="AA367" s="47" t="s">
        <v>965</v>
      </c>
      <c r="AB367" s="47" t="s">
        <v>965</v>
      </c>
      <c r="AC367" s="47" t="s">
        <v>965</v>
      </c>
      <c r="AD367" s="47" t="s">
        <v>965</v>
      </c>
      <c r="AE367" s="47" t="s">
        <v>965</v>
      </c>
      <c r="AF367" s="47" t="s">
        <v>965</v>
      </c>
      <c r="AG367" s="47" t="s">
        <v>965</v>
      </c>
      <c r="AH367" s="47" t="s">
        <v>965</v>
      </c>
      <c r="AI367" s="47" t="s">
        <v>965</v>
      </c>
      <c r="AJ367" s="47" t="s">
        <v>965</v>
      </c>
      <c r="AK367" s="47" t="s">
        <v>965</v>
      </c>
      <c r="AL367" s="47" t="s">
        <v>965</v>
      </c>
      <c r="AM367" s="47" t="s">
        <v>965</v>
      </c>
      <c r="AN367" s="47" t="s">
        <v>965</v>
      </c>
      <c r="AO367" s="47" t="s">
        <v>965</v>
      </c>
      <c r="AP367" s="47" t="s">
        <v>965</v>
      </c>
      <c r="AQ367" s="47" t="s">
        <v>965</v>
      </c>
      <c r="AR367" s="47" t="s">
        <v>965</v>
      </c>
      <c r="AS367" s="47" t="s">
        <v>965</v>
      </c>
      <c r="AT367" s="47" t="s">
        <v>965</v>
      </c>
      <c r="AU367" s="47" t="s">
        <v>965</v>
      </c>
      <c r="AV367" s="47" t="s">
        <v>965</v>
      </c>
      <c r="AW367" s="47" t="s">
        <v>965</v>
      </c>
      <c r="AX367" s="47" t="s">
        <v>965</v>
      </c>
      <c r="AY367" s="47" t="s">
        <v>965</v>
      </c>
      <c r="AZ367" s="47" t="s">
        <v>965</v>
      </c>
      <c r="BA367" s="47" t="s">
        <v>965</v>
      </c>
      <c r="BB367" s="47" t="s">
        <v>965</v>
      </c>
      <c r="BC367" s="47" t="s">
        <v>965</v>
      </c>
      <c r="BD367" s="47" t="s">
        <v>965</v>
      </c>
      <c r="BE367" s="47" t="s">
        <v>835</v>
      </c>
      <c r="BF367" s="47">
        <v>2</v>
      </c>
      <c r="BG367" s="47">
        <v>1</v>
      </c>
      <c r="BH367" s="47">
        <v>0</v>
      </c>
      <c r="BI367" s="47">
        <v>0</v>
      </c>
      <c r="BJ367" s="47">
        <v>0</v>
      </c>
      <c r="BK367" s="47">
        <v>11</v>
      </c>
      <c r="BL367" s="47">
        <v>0</v>
      </c>
      <c r="BM367" s="47">
        <v>0</v>
      </c>
      <c r="BN367" s="47">
        <v>0</v>
      </c>
      <c r="BO367" s="47">
        <v>0</v>
      </c>
      <c r="BP367" s="47">
        <v>0</v>
      </c>
      <c r="BQ367" s="47">
        <v>13</v>
      </c>
      <c r="BR367" s="47">
        <v>0</v>
      </c>
      <c r="BS367" s="47">
        <v>0</v>
      </c>
      <c r="BT367" s="47">
        <v>13</v>
      </c>
      <c r="BU367" s="47">
        <v>6</v>
      </c>
      <c r="BV367" s="52">
        <f t="shared" si="2"/>
        <v>0.46153846153846156</v>
      </c>
      <c r="BW367" s="49">
        <v>0.97</v>
      </c>
    </row>
    <row r="368" spans="1:79" x14ac:dyDescent="0.2">
      <c r="A368">
        <v>2025</v>
      </c>
      <c r="B368" s="58" t="s">
        <v>1231</v>
      </c>
      <c r="C368" s="58" t="s">
        <v>842</v>
      </c>
      <c r="D368" t="s">
        <v>281</v>
      </c>
      <c r="E368" s="5" t="s">
        <v>838</v>
      </c>
      <c r="F368" s="5" t="s">
        <v>42</v>
      </c>
      <c r="G368" s="6" t="s">
        <v>282</v>
      </c>
      <c r="H368" s="35">
        <v>0.25</v>
      </c>
      <c r="I368" s="35">
        <v>0.33</v>
      </c>
      <c r="J368" s="32">
        <v>0.66</v>
      </c>
      <c r="K368" t="s">
        <v>833</v>
      </c>
      <c r="L368" t="s">
        <v>963</v>
      </c>
      <c r="N368" t="s">
        <v>834</v>
      </c>
      <c r="O368" t="s">
        <v>965</v>
      </c>
      <c r="P368" t="s">
        <v>965</v>
      </c>
      <c r="Q368" t="s">
        <v>965</v>
      </c>
      <c r="R368" t="s">
        <v>965</v>
      </c>
      <c r="S368" t="s">
        <v>965</v>
      </c>
      <c r="T368" t="s">
        <v>965</v>
      </c>
      <c r="U368" t="s">
        <v>965</v>
      </c>
      <c r="V368" t="s">
        <v>965</v>
      </c>
      <c r="W368" t="s">
        <v>965</v>
      </c>
      <c r="X368" t="s">
        <v>965</v>
      </c>
      <c r="Y368" t="s">
        <v>965</v>
      </c>
      <c r="Z368" t="s">
        <v>965</v>
      </c>
      <c r="AA368" t="s">
        <v>965</v>
      </c>
      <c r="AB368" t="s">
        <v>965</v>
      </c>
      <c r="AC368" t="s">
        <v>965</v>
      </c>
      <c r="AD368" t="s">
        <v>965</v>
      </c>
      <c r="AE368" t="s">
        <v>965</v>
      </c>
      <c r="AF368" t="s">
        <v>965</v>
      </c>
      <c r="AG368" t="s">
        <v>965</v>
      </c>
      <c r="AH368" t="s">
        <v>965</v>
      </c>
      <c r="AI368" t="s">
        <v>965</v>
      </c>
      <c r="AJ368" t="s">
        <v>965</v>
      </c>
      <c r="AK368" t="s">
        <v>965</v>
      </c>
      <c r="AL368" t="s">
        <v>965</v>
      </c>
      <c r="AM368" t="s">
        <v>965</v>
      </c>
      <c r="AN368" t="s">
        <v>965</v>
      </c>
      <c r="AO368" t="s">
        <v>965</v>
      </c>
      <c r="AP368" t="s">
        <v>965</v>
      </c>
      <c r="AQ368" t="s">
        <v>965</v>
      </c>
      <c r="AR368" t="s">
        <v>965</v>
      </c>
      <c r="AS368" t="s">
        <v>965</v>
      </c>
      <c r="AT368" t="s">
        <v>965</v>
      </c>
      <c r="AU368" t="s">
        <v>965</v>
      </c>
      <c r="AV368" t="s">
        <v>965</v>
      </c>
      <c r="AW368" t="s">
        <v>965</v>
      </c>
      <c r="AX368" t="s">
        <v>965</v>
      </c>
      <c r="AY368" t="s">
        <v>833</v>
      </c>
      <c r="AZ368" t="s">
        <v>965</v>
      </c>
      <c r="BA368" t="s">
        <v>965</v>
      </c>
      <c r="BB368" t="s">
        <v>965</v>
      </c>
      <c r="BC368" t="s">
        <v>965</v>
      </c>
      <c r="BD368" t="s">
        <v>965</v>
      </c>
      <c r="BE368" t="s">
        <v>835</v>
      </c>
      <c r="BF368">
        <v>2</v>
      </c>
      <c r="BG368">
        <v>1</v>
      </c>
      <c r="BH368">
        <v>0</v>
      </c>
      <c r="BI368">
        <v>0</v>
      </c>
      <c r="BJ368">
        <v>0</v>
      </c>
      <c r="BK368">
        <v>41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43</v>
      </c>
      <c r="BR368">
        <v>0</v>
      </c>
      <c r="BS368">
        <v>0</v>
      </c>
      <c r="BT368">
        <v>43</v>
      </c>
      <c r="BU368">
        <v>45</v>
      </c>
      <c r="BV368" s="36">
        <f t="shared" si="2"/>
        <v>1.0465116279069768</v>
      </c>
      <c r="BW368" s="32">
        <v>0.37</v>
      </c>
    </row>
    <row r="369" spans="1:75" x14ac:dyDescent="0.2">
      <c r="A369">
        <v>2025</v>
      </c>
      <c r="B369" s="58" t="s">
        <v>1231</v>
      </c>
      <c r="C369" s="58" t="s">
        <v>842</v>
      </c>
      <c r="D369" t="s">
        <v>1246</v>
      </c>
      <c r="E369" s="5" t="s">
        <v>838</v>
      </c>
      <c r="F369" s="5" t="s">
        <v>42</v>
      </c>
      <c r="K369" t="s">
        <v>833</v>
      </c>
      <c r="L369" t="s">
        <v>963</v>
      </c>
      <c r="N369" t="s">
        <v>834</v>
      </c>
      <c r="O369" t="s">
        <v>965</v>
      </c>
      <c r="P369" t="s">
        <v>965</v>
      </c>
      <c r="Q369" t="s">
        <v>965</v>
      </c>
      <c r="R369" t="s">
        <v>965</v>
      </c>
      <c r="S369" t="s">
        <v>965</v>
      </c>
      <c r="T369" t="s">
        <v>965</v>
      </c>
      <c r="U369" t="s">
        <v>965</v>
      </c>
      <c r="V369" t="s">
        <v>965</v>
      </c>
      <c r="W369" t="s">
        <v>965</v>
      </c>
      <c r="X369" t="s">
        <v>965</v>
      </c>
      <c r="Y369" t="s">
        <v>965</v>
      </c>
      <c r="Z369" t="s">
        <v>965</v>
      </c>
      <c r="AA369" t="s">
        <v>965</v>
      </c>
      <c r="AB369" t="s">
        <v>965</v>
      </c>
      <c r="AC369" t="s">
        <v>965</v>
      </c>
      <c r="AD369" t="s">
        <v>965</v>
      </c>
      <c r="AE369" t="s">
        <v>965</v>
      </c>
      <c r="AF369" t="s">
        <v>965</v>
      </c>
      <c r="AG369" t="s">
        <v>965</v>
      </c>
      <c r="AH369" t="s">
        <v>965</v>
      </c>
      <c r="AI369" t="s">
        <v>965</v>
      </c>
      <c r="AJ369" t="s">
        <v>965</v>
      </c>
      <c r="AK369" t="s">
        <v>965</v>
      </c>
      <c r="AL369" t="s">
        <v>965</v>
      </c>
      <c r="AM369" t="s">
        <v>965</v>
      </c>
      <c r="AN369" t="s">
        <v>965</v>
      </c>
      <c r="AO369" t="s">
        <v>965</v>
      </c>
      <c r="AP369" t="s">
        <v>965</v>
      </c>
      <c r="AQ369" t="s">
        <v>965</v>
      </c>
      <c r="AR369" t="s">
        <v>965</v>
      </c>
      <c r="AS369" t="s">
        <v>965</v>
      </c>
      <c r="AT369" t="s">
        <v>965</v>
      </c>
      <c r="AU369" t="s">
        <v>965</v>
      </c>
      <c r="AV369" t="s">
        <v>965</v>
      </c>
      <c r="AW369" t="s">
        <v>965</v>
      </c>
      <c r="AX369" t="s">
        <v>965</v>
      </c>
      <c r="AY369" t="s">
        <v>965</v>
      </c>
      <c r="AZ369" t="s">
        <v>833</v>
      </c>
      <c r="BA369" t="s">
        <v>965</v>
      </c>
      <c r="BB369" t="s">
        <v>965</v>
      </c>
      <c r="BC369" t="s">
        <v>965</v>
      </c>
      <c r="BD369" t="s">
        <v>965</v>
      </c>
      <c r="BE369" t="s">
        <v>855</v>
      </c>
      <c r="BF369">
        <v>136</v>
      </c>
      <c r="BG369">
        <v>68</v>
      </c>
      <c r="BH369">
        <v>0</v>
      </c>
      <c r="BI369">
        <v>0</v>
      </c>
      <c r="BJ369">
        <v>0</v>
      </c>
      <c r="BK369">
        <v>493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629</v>
      </c>
      <c r="BR369">
        <v>0</v>
      </c>
      <c r="BS369">
        <v>0</v>
      </c>
      <c r="BT369">
        <v>629</v>
      </c>
      <c r="BU369">
        <v>626</v>
      </c>
      <c r="BV369" s="36">
        <f t="shared" si="2"/>
        <v>0.99523052464228934</v>
      </c>
      <c r="BW369" s="32">
        <v>0.65</v>
      </c>
    </row>
    <row r="370" spans="1:75" x14ac:dyDescent="0.2">
      <c r="A370">
        <v>2025</v>
      </c>
      <c r="B370" s="58" t="s">
        <v>1231</v>
      </c>
      <c r="C370" s="58" t="s">
        <v>1247</v>
      </c>
      <c r="D370" t="s">
        <v>1248</v>
      </c>
      <c r="E370" s="5" t="s">
        <v>838</v>
      </c>
      <c r="F370" s="5" t="s">
        <v>42</v>
      </c>
      <c r="K370" t="s">
        <v>833</v>
      </c>
      <c r="L370" t="s">
        <v>963</v>
      </c>
      <c r="N370" t="s">
        <v>834</v>
      </c>
      <c r="O370" t="s">
        <v>965</v>
      </c>
      <c r="P370" t="s">
        <v>965</v>
      </c>
      <c r="Q370" t="s">
        <v>965</v>
      </c>
      <c r="R370" t="s">
        <v>965</v>
      </c>
      <c r="S370" t="s">
        <v>965</v>
      </c>
      <c r="T370" t="s">
        <v>965</v>
      </c>
      <c r="U370" t="s">
        <v>965</v>
      </c>
      <c r="V370" t="s">
        <v>965</v>
      </c>
      <c r="W370" t="s">
        <v>965</v>
      </c>
      <c r="X370" t="s">
        <v>965</v>
      </c>
      <c r="Y370" t="s">
        <v>965</v>
      </c>
      <c r="Z370" t="s">
        <v>965</v>
      </c>
      <c r="AA370" t="s">
        <v>965</v>
      </c>
      <c r="AB370" t="s">
        <v>965</v>
      </c>
      <c r="AC370" t="s">
        <v>965</v>
      </c>
      <c r="AD370" t="s">
        <v>965</v>
      </c>
      <c r="AE370" t="s">
        <v>965</v>
      </c>
      <c r="AF370" t="s">
        <v>965</v>
      </c>
      <c r="AG370" t="s">
        <v>965</v>
      </c>
      <c r="AH370" t="s">
        <v>965</v>
      </c>
      <c r="AI370" t="s">
        <v>965</v>
      </c>
      <c r="AJ370" t="s">
        <v>965</v>
      </c>
      <c r="AK370" t="s">
        <v>965</v>
      </c>
      <c r="AL370" t="s">
        <v>965</v>
      </c>
      <c r="AM370" t="s">
        <v>965</v>
      </c>
      <c r="AN370" t="s">
        <v>965</v>
      </c>
      <c r="AO370" t="s">
        <v>965</v>
      </c>
      <c r="AP370" t="s">
        <v>965</v>
      </c>
      <c r="AQ370" t="s">
        <v>965</v>
      </c>
      <c r="AR370" t="s">
        <v>965</v>
      </c>
      <c r="AS370" t="s">
        <v>965</v>
      </c>
      <c r="AT370" t="s">
        <v>965</v>
      </c>
      <c r="AU370" t="s">
        <v>965</v>
      </c>
      <c r="AV370" t="s">
        <v>965</v>
      </c>
      <c r="AW370" t="s">
        <v>965</v>
      </c>
      <c r="AX370" t="s">
        <v>965</v>
      </c>
      <c r="AY370" t="s">
        <v>965</v>
      </c>
      <c r="AZ370" t="s">
        <v>833</v>
      </c>
      <c r="BA370" t="s">
        <v>965</v>
      </c>
      <c r="BB370" t="s">
        <v>965</v>
      </c>
      <c r="BC370" t="s">
        <v>965</v>
      </c>
      <c r="BD370" t="s">
        <v>965</v>
      </c>
      <c r="BE370" t="s">
        <v>855</v>
      </c>
      <c r="BF370">
        <v>9</v>
      </c>
      <c r="BG370">
        <v>3</v>
      </c>
      <c r="BH370">
        <v>0</v>
      </c>
      <c r="BI370">
        <v>0</v>
      </c>
      <c r="BJ370">
        <v>0</v>
      </c>
      <c r="BK370">
        <v>81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90</v>
      </c>
      <c r="BR370">
        <v>0</v>
      </c>
      <c r="BS370">
        <v>0</v>
      </c>
      <c r="BT370">
        <v>90</v>
      </c>
      <c r="BU370">
        <v>90</v>
      </c>
      <c r="BV370" s="36">
        <f t="shared" si="2"/>
        <v>1</v>
      </c>
      <c r="BW370" s="32">
        <v>0.68</v>
      </c>
    </row>
    <row r="371" spans="1:75" x14ac:dyDescent="0.2">
      <c r="A371">
        <v>2025</v>
      </c>
      <c r="B371" s="58" t="s">
        <v>1231</v>
      </c>
      <c r="C371" s="58" t="s">
        <v>842</v>
      </c>
      <c r="D371" t="s">
        <v>182</v>
      </c>
      <c r="E371" s="5" t="s">
        <v>1249</v>
      </c>
      <c r="F371" s="5" t="s">
        <v>183</v>
      </c>
      <c r="G371" s="6" t="s">
        <v>184</v>
      </c>
      <c r="H371" s="35">
        <v>0.33</v>
      </c>
      <c r="I371" s="35">
        <v>0.08</v>
      </c>
      <c r="J371" s="32">
        <v>0.88</v>
      </c>
      <c r="K371" t="s">
        <v>833</v>
      </c>
      <c r="L371" t="s">
        <v>963</v>
      </c>
      <c r="N371" t="s">
        <v>834</v>
      </c>
      <c r="O371" t="s">
        <v>965</v>
      </c>
      <c r="P371" t="s">
        <v>965</v>
      </c>
      <c r="Q371" t="s">
        <v>965</v>
      </c>
      <c r="R371" t="s">
        <v>965</v>
      </c>
      <c r="S371" t="s">
        <v>965</v>
      </c>
      <c r="T371" t="s">
        <v>965</v>
      </c>
      <c r="U371" t="s">
        <v>965</v>
      </c>
      <c r="V371" t="s">
        <v>965</v>
      </c>
      <c r="W371" t="s">
        <v>965</v>
      </c>
      <c r="X371" t="s">
        <v>965</v>
      </c>
      <c r="Y371" t="s">
        <v>965</v>
      </c>
      <c r="Z371" t="s">
        <v>965</v>
      </c>
      <c r="AA371" t="s">
        <v>965</v>
      </c>
      <c r="AB371" t="s">
        <v>965</v>
      </c>
      <c r="AC371" t="s">
        <v>965</v>
      </c>
      <c r="AD371" t="s">
        <v>965</v>
      </c>
      <c r="AE371" t="s">
        <v>965</v>
      </c>
      <c r="AF371" t="s">
        <v>965</v>
      </c>
      <c r="AG371" t="s">
        <v>965</v>
      </c>
      <c r="AH371" t="s">
        <v>965</v>
      </c>
      <c r="AI371" t="s">
        <v>965</v>
      </c>
      <c r="AJ371" t="s">
        <v>965</v>
      </c>
      <c r="AK371" t="s">
        <v>965</v>
      </c>
      <c r="AL371" t="s">
        <v>965</v>
      </c>
      <c r="AM371" t="s">
        <v>965</v>
      </c>
      <c r="AN371" t="s">
        <v>965</v>
      </c>
      <c r="AO371" t="s">
        <v>965</v>
      </c>
      <c r="AP371" t="s">
        <v>965</v>
      </c>
      <c r="AQ371" t="s">
        <v>965</v>
      </c>
      <c r="AR371" t="s">
        <v>965</v>
      </c>
      <c r="AS371" t="s">
        <v>965</v>
      </c>
      <c r="AT371" t="s">
        <v>965</v>
      </c>
      <c r="AU371" t="s">
        <v>965</v>
      </c>
      <c r="AV371" t="s">
        <v>965</v>
      </c>
      <c r="AW371" t="s">
        <v>965</v>
      </c>
      <c r="AX371" t="s">
        <v>965</v>
      </c>
      <c r="AY371" t="s">
        <v>833</v>
      </c>
      <c r="AZ371" t="s">
        <v>965</v>
      </c>
      <c r="BA371" t="s">
        <v>965</v>
      </c>
      <c r="BB371" t="s">
        <v>965</v>
      </c>
      <c r="BC371" t="s">
        <v>965</v>
      </c>
      <c r="BD371" t="s">
        <v>965</v>
      </c>
      <c r="BE371" t="s">
        <v>835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30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30</v>
      </c>
      <c r="BR371">
        <v>0</v>
      </c>
      <c r="BS371">
        <v>0</v>
      </c>
      <c r="BT371">
        <v>49</v>
      </c>
      <c r="BU371">
        <v>30</v>
      </c>
      <c r="BV371" s="36">
        <f t="shared" si="2"/>
        <v>0.61224489795918369</v>
      </c>
      <c r="BW371" s="13">
        <v>0.72</v>
      </c>
    </row>
    <row r="372" spans="1:75" x14ac:dyDescent="0.2">
      <c r="A372">
        <v>2025</v>
      </c>
      <c r="B372" s="58" t="s">
        <v>1231</v>
      </c>
      <c r="C372" s="58" t="s">
        <v>842</v>
      </c>
      <c r="D372" t="s">
        <v>762</v>
      </c>
      <c r="E372" s="5" t="s">
        <v>1249</v>
      </c>
      <c r="F372" s="5" t="s">
        <v>183</v>
      </c>
      <c r="G372" s="6" t="s">
        <v>202</v>
      </c>
      <c r="H372" s="35">
        <v>0.75</v>
      </c>
      <c r="I372" s="35">
        <v>7.0000000000000007E-2</v>
      </c>
      <c r="J372" s="32">
        <v>0.91</v>
      </c>
      <c r="K372" s="47" t="s">
        <v>833</v>
      </c>
      <c r="L372" s="47" t="s">
        <v>963</v>
      </c>
      <c r="M372" s="47"/>
      <c r="N372" s="47" t="s">
        <v>834</v>
      </c>
      <c r="O372" s="47" t="s">
        <v>965</v>
      </c>
      <c r="P372" s="47" t="s">
        <v>965</v>
      </c>
      <c r="Q372" s="47" t="s">
        <v>965</v>
      </c>
      <c r="R372" s="47" t="s">
        <v>965</v>
      </c>
      <c r="S372" s="47" t="s">
        <v>965</v>
      </c>
      <c r="T372" s="47" t="s">
        <v>965</v>
      </c>
      <c r="U372" s="47" t="s">
        <v>965</v>
      </c>
      <c r="V372" s="47" t="s">
        <v>965</v>
      </c>
      <c r="W372" s="47" t="s">
        <v>965</v>
      </c>
      <c r="X372" s="47" t="s">
        <v>965</v>
      </c>
      <c r="Y372" s="47" t="s">
        <v>965</v>
      </c>
      <c r="Z372" s="47" t="s">
        <v>965</v>
      </c>
      <c r="AA372" s="47" t="s">
        <v>965</v>
      </c>
      <c r="AB372" s="47" t="s">
        <v>965</v>
      </c>
      <c r="AC372" s="47" t="s">
        <v>965</v>
      </c>
      <c r="AD372" s="47" t="s">
        <v>965</v>
      </c>
      <c r="AE372" s="47" t="s">
        <v>965</v>
      </c>
      <c r="AF372" s="47" t="s">
        <v>965</v>
      </c>
      <c r="AG372" s="47" t="s">
        <v>965</v>
      </c>
      <c r="AH372" s="47" t="s">
        <v>965</v>
      </c>
      <c r="AI372" s="47" t="s">
        <v>965</v>
      </c>
      <c r="AJ372" s="47" t="s">
        <v>965</v>
      </c>
      <c r="AK372" s="47" t="s">
        <v>965</v>
      </c>
      <c r="AL372" s="47" t="s">
        <v>965</v>
      </c>
      <c r="AM372" s="47" t="s">
        <v>965</v>
      </c>
      <c r="AN372" s="47" t="s">
        <v>965</v>
      </c>
      <c r="AO372" s="47" t="s">
        <v>965</v>
      </c>
      <c r="AP372" s="47" t="s">
        <v>965</v>
      </c>
      <c r="AQ372" s="47" t="s">
        <v>965</v>
      </c>
      <c r="AR372" s="47" t="s">
        <v>965</v>
      </c>
      <c r="AS372" s="47" t="s">
        <v>965</v>
      </c>
      <c r="AT372" s="47" t="s">
        <v>965</v>
      </c>
      <c r="AU372" s="47" t="s">
        <v>965</v>
      </c>
      <c r="AV372" s="47" t="s">
        <v>965</v>
      </c>
      <c r="AW372" s="47" t="s">
        <v>965</v>
      </c>
      <c r="AX372" s="47" t="s">
        <v>965</v>
      </c>
      <c r="AY372" s="47" t="s">
        <v>833</v>
      </c>
      <c r="AZ372" s="47" t="s">
        <v>965</v>
      </c>
      <c r="BA372" s="47" t="s">
        <v>965</v>
      </c>
      <c r="BB372" s="47" t="s">
        <v>965</v>
      </c>
      <c r="BC372" s="47" t="s">
        <v>965</v>
      </c>
      <c r="BD372" s="47" t="s">
        <v>965</v>
      </c>
      <c r="BE372" s="47" t="s">
        <v>835</v>
      </c>
      <c r="BF372" s="47">
        <v>0</v>
      </c>
      <c r="BG372" s="47">
        <v>0</v>
      </c>
      <c r="BH372" s="47">
        <v>0</v>
      </c>
      <c r="BI372" s="47">
        <v>0</v>
      </c>
      <c r="BJ372" s="47">
        <v>0</v>
      </c>
      <c r="BK372" s="47">
        <v>20</v>
      </c>
      <c r="BL372" s="47">
        <v>0</v>
      </c>
      <c r="BM372" s="47">
        <v>0</v>
      </c>
      <c r="BN372" s="47">
        <v>0</v>
      </c>
      <c r="BO372" s="47">
        <v>0</v>
      </c>
      <c r="BP372" s="47">
        <v>0</v>
      </c>
      <c r="BQ372" s="47">
        <v>20</v>
      </c>
      <c r="BR372" s="47">
        <v>0</v>
      </c>
      <c r="BS372" s="47">
        <v>0</v>
      </c>
      <c r="BT372" s="47">
        <v>64</v>
      </c>
      <c r="BU372" s="47">
        <v>21</v>
      </c>
      <c r="BV372" s="52">
        <f t="shared" si="2"/>
        <v>0.328125</v>
      </c>
      <c r="BW372" s="49">
        <v>0.05</v>
      </c>
    </row>
    <row r="373" spans="1:75" x14ac:dyDescent="0.2">
      <c r="A373">
        <v>2025</v>
      </c>
      <c r="B373" s="58" t="s">
        <v>1231</v>
      </c>
      <c r="C373" s="58" t="s">
        <v>981</v>
      </c>
      <c r="D373" t="s">
        <v>1250</v>
      </c>
      <c r="E373" s="5" t="s">
        <v>843</v>
      </c>
      <c r="F373" s="5" t="s">
        <v>628</v>
      </c>
      <c r="K373" t="s">
        <v>833</v>
      </c>
      <c r="L373" t="s">
        <v>963</v>
      </c>
      <c r="N373" t="s">
        <v>834</v>
      </c>
      <c r="O373" t="s">
        <v>965</v>
      </c>
      <c r="P373" t="s">
        <v>965</v>
      </c>
      <c r="Q373" t="s">
        <v>965</v>
      </c>
      <c r="R373" t="s">
        <v>965</v>
      </c>
      <c r="S373" t="s">
        <v>965</v>
      </c>
      <c r="T373" t="s">
        <v>965</v>
      </c>
      <c r="U373" t="s">
        <v>965</v>
      </c>
      <c r="V373" t="s">
        <v>965</v>
      </c>
      <c r="W373" t="s">
        <v>965</v>
      </c>
      <c r="X373" t="s">
        <v>965</v>
      </c>
      <c r="Y373" t="s">
        <v>965</v>
      </c>
      <c r="Z373" t="s">
        <v>965</v>
      </c>
      <c r="AA373" t="s">
        <v>965</v>
      </c>
      <c r="AB373" t="s">
        <v>965</v>
      </c>
      <c r="AC373" t="s">
        <v>965</v>
      </c>
      <c r="AD373" t="s">
        <v>965</v>
      </c>
      <c r="AE373" t="s">
        <v>965</v>
      </c>
      <c r="AF373" t="s">
        <v>965</v>
      </c>
      <c r="AG373" t="s">
        <v>965</v>
      </c>
      <c r="AH373" t="s">
        <v>965</v>
      </c>
      <c r="AI373" t="s">
        <v>965</v>
      </c>
      <c r="AJ373" t="s">
        <v>965</v>
      </c>
      <c r="AK373" t="s">
        <v>965</v>
      </c>
      <c r="AL373" t="s">
        <v>965</v>
      </c>
      <c r="AM373" t="s">
        <v>965</v>
      </c>
      <c r="AN373" t="s">
        <v>965</v>
      </c>
      <c r="AO373" t="s">
        <v>965</v>
      </c>
      <c r="AP373" t="s">
        <v>965</v>
      </c>
      <c r="AQ373" t="s">
        <v>965</v>
      </c>
      <c r="AR373" t="s">
        <v>965</v>
      </c>
      <c r="AS373" t="s">
        <v>965</v>
      </c>
      <c r="AT373" t="s">
        <v>965</v>
      </c>
      <c r="AU373" t="s">
        <v>965</v>
      </c>
      <c r="AV373" t="s">
        <v>965</v>
      </c>
      <c r="AW373" t="s">
        <v>965</v>
      </c>
      <c r="AX373" t="s">
        <v>965</v>
      </c>
      <c r="AY373" t="s">
        <v>965</v>
      </c>
      <c r="AZ373" t="s">
        <v>965</v>
      </c>
      <c r="BA373" t="s">
        <v>965</v>
      </c>
      <c r="BB373" t="s">
        <v>965</v>
      </c>
      <c r="BC373" t="s">
        <v>965</v>
      </c>
      <c r="BD373" t="s">
        <v>965</v>
      </c>
      <c r="BE373" t="s">
        <v>835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24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24</v>
      </c>
      <c r="BR373">
        <v>0</v>
      </c>
      <c r="BS373">
        <v>0</v>
      </c>
      <c r="BT373">
        <v>24</v>
      </c>
      <c r="BU373">
        <v>21</v>
      </c>
      <c r="BV373" s="36">
        <f t="shared" si="2"/>
        <v>0.875</v>
      </c>
      <c r="BW373" s="32">
        <v>0.63</v>
      </c>
    </row>
    <row r="374" spans="1:75" x14ac:dyDescent="0.2">
      <c r="A374">
        <v>2025</v>
      </c>
      <c r="B374" s="58" t="s">
        <v>1231</v>
      </c>
      <c r="C374" s="58" t="s">
        <v>1026</v>
      </c>
      <c r="D374" t="s">
        <v>1251</v>
      </c>
      <c r="E374" s="5" t="s">
        <v>843</v>
      </c>
      <c r="F374" s="5" t="s">
        <v>628</v>
      </c>
      <c r="K374" t="s">
        <v>833</v>
      </c>
      <c r="L374" t="s">
        <v>963</v>
      </c>
      <c r="N374" t="s">
        <v>834</v>
      </c>
      <c r="O374" t="s">
        <v>965</v>
      </c>
      <c r="P374" t="s">
        <v>965</v>
      </c>
      <c r="Q374" t="s">
        <v>965</v>
      </c>
      <c r="R374" t="s">
        <v>965</v>
      </c>
      <c r="S374" t="s">
        <v>965</v>
      </c>
      <c r="T374" t="s">
        <v>965</v>
      </c>
      <c r="U374" t="s">
        <v>965</v>
      </c>
      <c r="V374" t="s">
        <v>965</v>
      </c>
      <c r="W374" t="s">
        <v>965</v>
      </c>
      <c r="X374" t="s">
        <v>965</v>
      </c>
      <c r="Y374" t="s">
        <v>965</v>
      </c>
      <c r="Z374" t="s">
        <v>965</v>
      </c>
      <c r="AA374" t="s">
        <v>965</v>
      </c>
      <c r="AB374" t="s">
        <v>965</v>
      </c>
      <c r="AC374" t="s">
        <v>965</v>
      </c>
      <c r="AD374" t="s">
        <v>965</v>
      </c>
      <c r="AE374" t="s">
        <v>965</v>
      </c>
      <c r="AF374" t="s">
        <v>965</v>
      </c>
      <c r="AG374" t="s">
        <v>965</v>
      </c>
      <c r="AH374" t="s">
        <v>965</v>
      </c>
      <c r="AI374" t="s">
        <v>965</v>
      </c>
      <c r="AJ374" t="s">
        <v>965</v>
      </c>
      <c r="AK374" t="s">
        <v>965</v>
      </c>
      <c r="AL374" t="s">
        <v>965</v>
      </c>
      <c r="AM374" t="s">
        <v>965</v>
      </c>
      <c r="AN374" t="s">
        <v>965</v>
      </c>
      <c r="AO374" t="s">
        <v>965</v>
      </c>
      <c r="AP374" t="s">
        <v>965</v>
      </c>
      <c r="AQ374" t="s">
        <v>965</v>
      </c>
      <c r="AR374" t="s">
        <v>965</v>
      </c>
      <c r="AS374" t="s">
        <v>965</v>
      </c>
      <c r="AT374" t="s">
        <v>965</v>
      </c>
      <c r="AU374" t="s">
        <v>965</v>
      </c>
      <c r="AV374" t="s">
        <v>965</v>
      </c>
      <c r="AW374" t="s">
        <v>965</v>
      </c>
      <c r="AX374" t="s">
        <v>965</v>
      </c>
      <c r="AY374" t="s">
        <v>965</v>
      </c>
      <c r="AZ374" t="s">
        <v>965</v>
      </c>
      <c r="BA374" t="s">
        <v>965</v>
      </c>
      <c r="BB374" t="s">
        <v>965</v>
      </c>
      <c r="BC374" t="s">
        <v>965</v>
      </c>
      <c r="BD374" t="s">
        <v>965</v>
      </c>
      <c r="BE374" t="s">
        <v>835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7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7</v>
      </c>
      <c r="BR374">
        <v>0</v>
      </c>
      <c r="BS374">
        <v>0</v>
      </c>
      <c r="BT374">
        <v>7</v>
      </c>
      <c r="BU374">
        <v>5</v>
      </c>
      <c r="BV374" s="36">
        <f t="shared" si="2"/>
        <v>0.7142857142857143</v>
      </c>
      <c r="BW374" s="32">
        <v>0.89</v>
      </c>
    </row>
    <row r="375" spans="1:75" x14ac:dyDescent="0.2">
      <c r="A375">
        <v>2025</v>
      </c>
      <c r="B375" s="58" t="s">
        <v>1231</v>
      </c>
      <c r="C375" s="58" t="s">
        <v>1026</v>
      </c>
      <c r="D375" t="s">
        <v>1252</v>
      </c>
      <c r="E375" s="5" t="s">
        <v>843</v>
      </c>
      <c r="F375" s="5" t="s">
        <v>628</v>
      </c>
      <c r="K375" t="s">
        <v>833</v>
      </c>
      <c r="L375" t="s">
        <v>963</v>
      </c>
      <c r="N375" t="s">
        <v>834</v>
      </c>
      <c r="O375" t="s">
        <v>965</v>
      </c>
      <c r="P375" t="s">
        <v>965</v>
      </c>
      <c r="Q375" t="s">
        <v>965</v>
      </c>
      <c r="R375" t="s">
        <v>965</v>
      </c>
      <c r="S375" t="s">
        <v>965</v>
      </c>
      <c r="T375" t="s">
        <v>965</v>
      </c>
      <c r="U375" t="s">
        <v>965</v>
      </c>
      <c r="V375" t="s">
        <v>965</v>
      </c>
      <c r="W375" t="s">
        <v>965</v>
      </c>
      <c r="X375" t="s">
        <v>965</v>
      </c>
      <c r="Y375" t="s">
        <v>965</v>
      </c>
      <c r="Z375" t="s">
        <v>965</v>
      </c>
      <c r="AA375" t="s">
        <v>965</v>
      </c>
      <c r="AB375" t="s">
        <v>965</v>
      </c>
      <c r="AC375" t="s">
        <v>965</v>
      </c>
      <c r="AD375" t="s">
        <v>965</v>
      </c>
      <c r="AE375" t="s">
        <v>965</v>
      </c>
      <c r="AF375" t="s">
        <v>965</v>
      </c>
      <c r="AG375" t="s">
        <v>965</v>
      </c>
      <c r="AH375" t="s">
        <v>965</v>
      </c>
      <c r="AI375" t="s">
        <v>965</v>
      </c>
      <c r="AJ375" t="s">
        <v>965</v>
      </c>
      <c r="AK375" t="s">
        <v>965</v>
      </c>
      <c r="AL375" t="s">
        <v>965</v>
      </c>
      <c r="AM375" t="s">
        <v>965</v>
      </c>
      <c r="AN375" t="s">
        <v>965</v>
      </c>
      <c r="AO375" t="s">
        <v>965</v>
      </c>
      <c r="AP375" t="s">
        <v>965</v>
      </c>
      <c r="AQ375" t="s">
        <v>965</v>
      </c>
      <c r="AR375" t="s">
        <v>965</v>
      </c>
      <c r="AS375" t="s">
        <v>965</v>
      </c>
      <c r="AT375" t="s">
        <v>965</v>
      </c>
      <c r="AU375" t="s">
        <v>965</v>
      </c>
      <c r="AV375" t="s">
        <v>965</v>
      </c>
      <c r="AW375" t="s">
        <v>965</v>
      </c>
      <c r="AX375" t="s">
        <v>965</v>
      </c>
      <c r="AY375" t="s">
        <v>965</v>
      </c>
      <c r="AZ375" t="s">
        <v>965</v>
      </c>
      <c r="BA375" t="s">
        <v>965</v>
      </c>
      <c r="BB375" t="s">
        <v>965</v>
      </c>
      <c r="BC375" t="s">
        <v>965</v>
      </c>
      <c r="BD375" t="s">
        <v>965</v>
      </c>
      <c r="BE375" t="s">
        <v>835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6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6</v>
      </c>
      <c r="BR375">
        <v>0</v>
      </c>
      <c r="BS375">
        <v>0</v>
      </c>
      <c r="BT375">
        <v>6</v>
      </c>
      <c r="BU375">
        <v>6</v>
      </c>
      <c r="BV375" s="36">
        <f t="shared" si="2"/>
        <v>1</v>
      </c>
      <c r="BW375" s="32">
        <v>0.6</v>
      </c>
    </row>
    <row r="376" spans="1:75" x14ac:dyDescent="0.2">
      <c r="A376">
        <v>2025</v>
      </c>
      <c r="B376" s="58" t="s">
        <v>1231</v>
      </c>
      <c r="C376" s="58" t="s">
        <v>1026</v>
      </c>
      <c r="D376" t="s">
        <v>1253</v>
      </c>
      <c r="E376" s="5" t="s">
        <v>843</v>
      </c>
      <c r="F376" s="5" t="s">
        <v>628</v>
      </c>
      <c r="K376" t="s">
        <v>833</v>
      </c>
      <c r="L376" t="s">
        <v>963</v>
      </c>
      <c r="N376" t="s">
        <v>834</v>
      </c>
      <c r="O376" t="s">
        <v>965</v>
      </c>
      <c r="P376" t="s">
        <v>965</v>
      </c>
      <c r="Q376" t="s">
        <v>965</v>
      </c>
      <c r="R376" t="s">
        <v>965</v>
      </c>
      <c r="S376" t="s">
        <v>965</v>
      </c>
      <c r="T376" t="s">
        <v>965</v>
      </c>
      <c r="U376" t="s">
        <v>965</v>
      </c>
      <c r="V376" t="s">
        <v>965</v>
      </c>
      <c r="W376" t="s">
        <v>965</v>
      </c>
      <c r="X376" t="s">
        <v>965</v>
      </c>
      <c r="Y376" t="s">
        <v>965</v>
      </c>
      <c r="Z376" t="s">
        <v>965</v>
      </c>
      <c r="AA376" t="s">
        <v>965</v>
      </c>
      <c r="AB376" t="s">
        <v>965</v>
      </c>
      <c r="AC376" t="s">
        <v>965</v>
      </c>
      <c r="AD376" t="s">
        <v>965</v>
      </c>
      <c r="AE376" t="s">
        <v>965</v>
      </c>
      <c r="AF376" t="s">
        <v>965</v>
      </c>
      <c r="AG376" t="s">
        <v>965</v>
      </c>
      <c r="AH376" t="s">
        <v>965</v>
      </c>
      <c r="AI376" t="s">
        <v>965</v>
      </c>
      <c r="AJ376" t="s">
        <v>965</v>
      </c>
      <c r="AK376" t="s">
        <v>965</v>
      </c>
      <c r="AL376" t="s">
        <v>965</v>
      </c>
      <c r="AM376" t="s">
        <v>965</v>
      </c>
      <c r="AN376" t="s">
        <v>965</v>
      </c>
      <c r="AO376" t="s">
        <v>965</v>
      </c>
      <c r="AP376" t="s">
        <v>965</v>
      </c>
      <c r="AQ376" t="s">
        <v>965</v>
      </c>
      <c r="AR376" t="s">
        <v>965</v>
      </c>
      <c r="AS376" t="s">
        <v>965</v>
      </c>
      <c r="AT376" t="s">
        <v>965</v>
      </c>
      <c r="AU376" t="s">
        <v>965</v>
      </c>
      <c r="AV376" t="s">
        <v>965</v>
      </c>
      <c r="AW376" t="s">
        <v>965</v>
      </c>
      <c r="AX376" t="s">
        <v>965</v>
      </c>
      <c r="AY376" t="s">
        <v>965</v>
      </c>
      <c r="AZ376" t="s">
        <v>965</v>
      </c>
      <c r="BA376" t="s">
        <v>965</v>
      </c>
      <c r="BB376" t="s">
        <v>965</v>
      </c>
      <c r="BC376" t="s">
        <v>965</v>
      </c>
      <c r="BD376" t="s">
        <v>965</v>
      </c>
      <c r="BE376" t="s">
        <v>835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2</v>
      </c>
      <c r="BR376">
        <v>0</v>
      </c>
      <c r="BS376">
        <v>0</v>
      </c>
      <c r="BT376">
        <v>2</v>
      </c>
      <c r="BU376">
        <v>1</v>
      </c>
      <c r="BV376" s="36">
        <f t="shared" si="2"/>
        <v>0.5</v>
      </c>
      <c r="BW376" s="32">
        <v>0.89</v>
      </c>
    </row>
    <row r="377" spans="1:75" x14ac:dyDescent="0.2">
      <c r="A377">
        <v>2025</v>
      </c>
      <c r="B377" s="58" t="s">
        <v>1231</v>
      </c>
      <c r="C377" s="58" t="s">
        <v>842</v>
      </c>
      <c r="D377" t="s">
        <v>844</v>
      </c>
      <c r="E377" s="5" t="s">
        <v>843</v>
      </c>
      <c r="F377" s="5" t="s">
        <v>139</v>
      </c>
      <c r="G377" s="6" t="s">
        <v>349</v>
      </c>
      <c r="H377" s="35">
        <v>0.56000000000000005</v>
      </c>
      <c r="I377" s="35">
        <v>0.18</v>
      </c>
      <c r="J377" s="32">
        <v>0.89</v>
      </c>
      <c r="K377" t="s">
        <v>833</v>
      </c>
      <c r="L377" t="s">
        <v>963</v>
      </c>
      <c r="N377" t="s">
        <v>834</v>
      </c>
      <c r="O377" t="s">
        <v>965</v>
      </c>
      <c r="P377" t="s">
        <v>965</v>
      </c>
      <c r="Q377" t="s">
        <v>965</v>
      </c>
      <c r="R377" t="s">
        <v>965</v>
      </c>
      <c r="S377" t="s">
        <v>965</v>
      </c>
      <c r="T377" t="s">
        <v>965</v>
      </c>
      <c r="U377" t="s">
        <v>965</v>
      </c>
      <c r="V377" t="s">
        <v>965</v>
      </c>
      <c r="W377" t="s">
        <v>965</v>
      </c>
      <c r="X377" t="s">
        <v>965</v>
      </c>
      <c r="Y377" t="s">
        <v>965</v>
      </c>
      <c r="Z377" t="s">
        <v>965</v>
      </c>
      <c r="AA377" t="s">
        <v>965</v>
      </c>
      <c r="AB377" t="s">
        <v>965</v>
      </c>
      <c r="AC377" t="s">
        <v>965</v>
      </c>
      <c r="AD377" t="s">
        <v>965</v>
      </c>
      <c r="AE377" t="s">
        <v>965</v>
      </c>
      <c r="AF377" t="s">
        <v>965</v>
      </c>
      <c r="AG377" t="s">
        <v>965</v>
      </c>
      <c r="AH377" t="s">
        <v>965</v>
      </c>
      <c r="AI377" t="s">
        <v>965</v>
      </c>
      <c r="AJ377" t="s">
        <v>965</v>
      </c>
      <c r="AK377" t="s">
        <v>965</v>
      </c>
      <c r="AL377" t="s">
        <v>965</v>
      </c>
      <c r="AM377" t="s">
        <v>965</v>
      </c>
      <c r="AN377" t="s">
        <v>965</v>
      </c>
      <c r="AO377" t="s">
        <v>965</v>
      </c>
      <c r="AP377" t="s">
        <v>965</v>
      </c>
      <c r="AQ377" t="s">
        <v>965</v>
      </c>
      <c r="AR377" t="s">
        <v>965</v>
      </c>
      <c r="AS377" t="s">
        <v>965</v>
      </c>
      <c r="AT377" t="s">
        <v>965</v>
      </c>
      <c r="AU377" t="s">
        <v>965</v>
      </c>
      <c r="AV377" t="s">
        <v>965</v>
      </c>
      <c r="AW377" t="s">
        <v>965</v>
      </c>
      <c r="AX377" t="s">
        <v>965</v>
      </c>
      <c r="AY377" t="s">
        <v>833</v>
      </c>
      <c r="AZ377" t="s">
        <v>965</v>
      </c>
      <c r="BA377" t="s">
        <v>965</v>
      </c>
      <c r="BB377" t="s">
        <v>965</v>
      </c>
      <c r="BC377" t="s">
        <v>965</v>
      </c>
      <c r="BD377" t="s">
        <v>965</v>
      </c>
      <c r="BE377" t="s">
        <v>835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10</v>
      </c>
      <c r="BR377">
        <v>0</v>
      </c>
      <c r="BS377">
        <v>0</v>
      </c>
      <c r="BT377">
        <v>10</v>
      </c>
      <c r="BU377">
        <v>7</v>
      </c>
      <c r="BV377" s="36">
        <f t="shared" si="2"/>
        <v>0.7</v>
      </c>
      <c r="BW377" s="32">
        <v>0.64</v>
      </c>
    </row>
    <row r="378" spans="1:75" x14ac:dyDescent="0.2">
      <c r="A378">
        <v>2025</v>
      </c>
      <c r="B378" s="58" t="s">
        <v>1231</v>
      </c>
      <c r="C378" s="58" t="s">
        <v>842</v>
      </c>
      <c r="D378" t="s">
        <v>485</v>
      </c>
      <c r="E378" s="5" t="s">
        <v>843</v>
      </c>
      <c r="F378" s="5" t="s">
        <v>169</v>
      </c>
      <c r="G378" s="6" t="s">
        <v>486</v>
      </c>
      <c r="H378" s="35">
        <v>0.69</v>
      </c>
      <c r="I378" s="35">
        <v>0.08</v>
      </c>
      <c r="J378" s="32">
        <v>1</v>
      </c>
      <c r="K378" t="s">
        <v>833</v>
      </c>
      <c r="L378" t="s">
        <v>963</v>
      </c>
      <c r="N378" t="s">
        <v>834</v>
      </c>
      <c r="O378" t="s">
        <v>965</v>
      </c>
      <c r="P378" t="s">
        <v>965</v>
      </c>
      <c r="Q378" t="s">
        <v>965</v>
      </c>
      <c r="R378" t="s">
        <v>965</v>
      </c>
      <c r="S378" t="s">
        <v>965</v>
      </c>
      <c r="T378" t="s">
        <v>965</v>
      </c>
      <c r="U378" t="s">
        <v>965</v>
      </c>
      <c r="V378" t="s">
        <v>965</v>
      </c>
      <c r="W378" t="s">
        <v>965</v>
      </c>
      <c r="X378" t="s">
        <v>965</v>
      </c>
      <c r="Y378" t="s">
        <v>965</v>
      </c>
      <c r="Z378" t="s">
        <v>965</v>
      </c>
      <c r="AA378" t="s">
        <v>965</v>
      </c>
      <c r="AB378" t="s">
        <v>965</v>
      </c>
      <c r="AC378" t="s">
        <v>965</v>
      </c>
      <c r="AD378" t="s">
        <v>965</v>
      </c>
      <c r="AE378" t="s">
        <v>965</v>
      </c>
      <c r="AF378" t="s">
        <v>965</v>
      </c>
      <c r="AG378" t="s">
        <v>965</v>
      </c>
      <c r="AH378" t="s">
        <v>965</v>
      </c>
      <c r="AI378" t="s">
        <v>965</v>
      </c>
      <c r="AJ378" t="s">
        <v>965</v>
      </c>
      <c r="AK378" t="s">
        <v>965</v>
      </c>
      <c r="AL378" t="s">
        <v>965</v>
      </c>
      <c r="AM378" t="s">
        <v>965</v>
      </c>
      <c r="AN378" t="s">
        <v>965</v>
      </c>
      <c r="AO378" t="s">
        <v>965</v>
      </c>
      <c r="AP378" t="s">
        <v>965</v>
      </c>
      <c r="AQ378" t="s">
        <v>965</v>
      </c>
      <c r="AR378" t="s">
        <v>965</v>
      </c>
      <c r="AS378" t="s">
        <v>965</v>
      </c>
      <c r="AT378" t="s">
        <v>965</v>
      </c>
      <c r="AU378" t="s">
        <v>965</v>
      </c>
      <c r="AV378" t="s">
        <v>965</v>
      </c>
      <c r="AW378" t="s">
        <v>965</v>
      </c>
      <c r="AX378" t="s">
        <v>965</v>
      </c>
      <c r="AY378" t="s">
        <v>833</v>
      </c>
      <c r="AZ378" t="s">
        <v>965</v>
      </c>
      <c r="BA378" t="s">
        <v>965</v>
      </c>
      <c r="BB378" t="s">
        <v>965</v>
      </c>
      <c r="BC378" t="s">
        <v>833</v>
      </c>
      <c r="BD378" t="s">
        <v>965</v>
      </c>
      <c r="BE378" t="s">
        <v>835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8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8</v>
      </c>
      <c r="BR378">
        <v>0</v>
      </c>
      <c r="BS378">
        <v>0</v>
      </c>
      <c r="BT378">
        <v>69</v>
      </c>
      <c r="BU378">
        <v>7</v>
      </c>
      <c r="BV378" s="36">
        <f t="shared" si="2"/>
        <v>0.10144927536231885</v>
      </c>
      <c r="BW378" s="13">
        <v>0.75</v>
      </c>
    </row>
    <row r="379" spans="1:75" x14ac:dyDescent="0.2">
      <c r="A379">
        <v>2025</v>
      </c>
      <c r="B379" s="58" t="s">
        <v>1231</v>
      </c>
      <c r="C379" s="58" t="s">
        <v>842</v>
      </c>
      <c r="D379" t="s">
        <v>1254</v>
      </c>
      <c r="E379" s="5" t="s">
        <v>843</v>
      </c>
      <c r="F379" s="5" t="s">
        <v>628</v>
      </c>
      <c r="K379" s="47" t="s">
        <v>833</v>
      </c>
      <c r="L379" s="47" t="s">
        <v>963</v>
      </c>
      <c r="M379" s="47"/>
      <c r="N379" s="47" t="s">
        <v>834</v>
      </c>
      <c r="O379" s="47" t="s">
        <v>965</v>
      </c>
      <c r="P379" s="47" t="s">
        <v>965</v>
      </c>
      <c r="Q379" s="47" t="s">
        <v>965</v>
      </c>
      <c r="R379" s="47" t="s">
        <v>965</v>
      </c>
      <c r="S379" s="47" t="s">
        <v>965</v>
      </c>
      <c r="T379" s="47" t="s">
        <v>965</v>
      </c>
      <c r="U379" s="47" t="s">
        <v>965</v>
      </c>
      <c r="V379" s="47" t="s">
        <v>965</v>
      </c>
      <c r="W379" s="47" t="s">
        <v>965</v>
      </c>
      <c r="X379" s="47" t="s">
        <v>965</v>
      </c>
      <c r="Y379" s="47" t="s">
        <v>965</v>
      </c>
      <c r="Z379" s="47" t="s">
        <v>965</v>
      </c>
      <c r="AA379" s="47" t="s">
        <v>965</v>
      </c>
      <c r="AB379" s="47" t="s">
        <v>965</v>
      </c>
      <c r="AC379" s="47" t="s">
        <v>965</v>
      </c>
      <c r="AD379" s="47" t="s">
        <v>965</v>
      </c>
      <c r="AE379" s="47" t="s">
        <v>965</v>
      </c>
      <c r="AF379" s="47" t="s">
        <v>965</v>
      </c>
      <c r="AG379" s="47" t="s">
        <v>965</v>
      </c>
      <c r="AH379" s="47" t="s">
        <v>965</v>
      </c>
      <c r="AI379" s="47" t="s">
        <v>965</v>
      </c>
      <c r="AJ379" s="47" t="s">
        <v>965</v>
      </c>
      <c r="AK379" s="47" t="s">
        <v>965</v>
      </c>
      <c r="AL379" s="47" t="s">
        <v>965</v>
      </c>
      <c r="AM379" s="47" t="s">
        <v>965</v>
      </c>
      <c r="AN379" s="47" t="s">
        <v>965</v>
      </c>
      <c r="AO379" s="47" t="s">
        <v>965</v>
      </c>
      <c r="AP379" s="47" t="s">
        <v>965</v>
      </c>
      <c r="AQ379" s="47" t="s">
        <v>965</v>
      </c>
      <c r="AR379" s="47" t="s">
        <v>965</v>
      </c>
      <c r="AS379" s="47" t="s">
        <v>965</v>
      </c>
      <c r="AT379" s="47" t="s">
        <v>965</v>
      </c>
      <c r="AU379" s="47" t="s">
        <v>965</v>
      </c>
      <c r="AV379" s="47" t="s">
        <v>965</v>
      </c>
      <c r="AW379" s="47" t="s">
        <v>965</v>
      </c>
      <c r="AX379" s="47" t="s">
        <v>965</v>
      </c>
      <c r="AY379" s="47" t="s">
        <v>833</v>
      </c>
      <c r="AZ379" s="47" t="s">
        <v>965</v>
      </c>
      <c r="BA379" s="47" t="s">
        <v>965</v>
      </c>
      <c r="BB379" s="47" t="s">
        <v>965</v>
      </c>
      <c r="BC379" s="47" t="s">
        <v>965</v>
      </c>
      <c r="BD379" s="47" t="s">
        <v>965</v>
      </c>
      <c r="BE379" s="47" t="s">
        <v>855</v>
      </c>
      <c r="BF379" s="47">
        <v>244</v>
      </c>
      <c r="BG379" s="47">
        <v>61</v>
      </c>
      <c r="BH379" s="47">
        <v>0</v>
      </c>
      <c r="BI379" s="47">
        <v>0</v>
      </c>
      <c r="BJ379" s="47">
        <v>0</v>
      </c>
      <c r="BK379" s="47">
        <v>44</v>
      </c>
      <c r="BL379" s="47">
        <v>0</v>
      </c>
      <c r="BM379" s="47">
        <v>0</v>
      </c>
      <c r="BN379" s="47">
        <v>0</v>
      </c>
      <c r="BO379" s="47">
        <v>0</v>
      </c>
      <c r="BP379" s="47">
        <v>0</v>
      </c>
      <c r="BQ379" s="47">
        <v>288</v>
      </c>
      <c r="BR379" s="47">
        <v>0</v>
      </c>
      <c r="BS379" s="47">
        <v>0</v>
      </c>
      <c r="BT379" s="47">
        <v>288</v>
      </c>
      <c r="BU379" s="47">
        <v>263</v>
      </c>
      <c r="BV379" s="52">
        <f t="shared" si="2"/>
        <v>0.91319444444444442</v>
      </c>
      <c r="BW379" s="49">
        <v>0.56999999999999995</v>
      </c>
    </row>
    <row r="380" spans="1:75" x14ac:dyDescent="0.2">
      <c r="A380">
        <v>2025</v>
      </c>
      <c r="B380" s="58" t="s">
        <v>1231</v>
      </c>
      <c r="C380" s="58" t="s">
        <v>842</v>
      </c>
      <c r="D380" t="s">
        <v>1255</v>
      </c>
      <c r="E380" s="5" t="s">
        <v>843</v>
      </c>
      <c r="F380" s="5" t="s">
        <v>628</v>
      </c>
      <c r="K380" t="s">
        <v>833</v>
      </c>
      <c r="L380" t="s">
        <v>963</v>
      </c>
      <c r="N380" t="s">
        <v>834</v>
      </c>
      <c r="O380" t="s">
        <v>965</v>
      </c>
      <c r="P380" t="s">
        <v>965</v>
      </c>
      <c r="Q380" t="s">
        <v>965</v>
      </c>
      <c r="R380" t="s">
        <v>965</v>
      </c>
      <c r="S380" t="s">
        <v>965</v>
      </c>
      <c r="T380" t="s">
        <v>965</v>
      </c>
      <c r="U380" t="s">
        <v>965</v>
      </c>
      <c r="V380" t="s">
        <v>965</v>
      </c>
      <c r="W380" t="s">
        <v>965</v>
      </c>
      <c r="X380" t="s">
        <v>965</v>
      </c>
      <c r="Y380" t="s">
        <v>965</v>
      </c>
      <c r="Z380" t="s">
        <v>965</v>
      </c>
      <c r="AA380" t="s">
        <v>965</v>
      </c>
      <c r="AB380" t="s">
        <v>965</v>
      </c>
      <c r="AC380" t="s">
        <v>965</v>
      </c>
      <c r="AD380" t="s">
        <v>965</v>
      </c>
      <c r="AE380" t="s">
        <v>965</v>
      </c>
      <c r="AF380" t="s">
        <v>965</v>
      </c>
      <c r="AG380" t="s">
        <v>965</v>
      </c>
      <c r="AH380" t="s">
        <v>965</v>
      </c>
      <c r="AI380" t="s">
        <v>965</v>
      </c>
      <c r="AJ380" t="s">
        <v>965</v>
      </c>
      <c r="AK380" t="s">
        <v>965</v>
      </c>
      <c r="AL380" t="s">
        <v>965</v>
      </c>
      <c r="AM380" t="s">
        <v>965</v>
      </c>
      <c r="AN380" t="s">
        <v>965</v>
      </c>
      <c r="AO380" t="s">
        <v>965</v>
      </c>
      <c r="AP380" t="s">
        <v>965</v>
      </c>
      <c r="AQ380" t="s">
        <v>965</v>
      </c>
      <c r="AR380" t="s">
        <v>965</v>
      </c>
      <c r="AS380" t="s">
        <v>965</v>
      </c>
      <c r="AT380" t="s">
        <v>965</v>
      </c>
      <c r="AU380" t="s">
        <v>965</v>
      </c>
      <c r="AV380" t="s">
        <v>965</v>
      </c>
      <c r="AW380" t="s">
        <v>965</v>
      </c>
      <c r="AX380" t="s">
        <v>965</v>
      </c>
      <c r="AY380" t="s">
        <v>833</v>
      </c>
      <c r="AZ380" t="s">
        <v>965</v>
      </c>
      <c r="BA380" t="s">
        <v>965</v>
      </c>
      <c r="BB380" t="s">
        <v>965</v>
      </c>
      <c r="BC380" t="s">
        <v>965</v>
      </c>
      <c r="BD380" t="s">
        <v>965</v>
      </c>
      <c r="BE380" t="s">
        <v>855</v>
      </c>
      <c r="BF380">
        <v>3</v>
      </c>
      <c r="BG380">
        <v>1</v>
      </c>
      <c r="BH380">
        <v>0</v>
      </c>
      <c r="BI380">
        <v>0</v>
      </c>
      <c r="BJ380">
        <v>0</v>
      </c>
      <c r="BK380">
        <v>57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60</v>
      </c>
      <c r="BR380">
        <v>0</v>
      </c>
      <c r="BS380">
        <v>0</v>
      </c>
      <c r="BT380">
        <v>60</v>
      </c>
      <c r="BU380">
        <v>57</v>
      </c>
      <c r="BV380" s="36">
        <f t="shared" ref="BV380:BV396" si="3">BU380/BT380</f>
        <v>0.95</v>
      </c>
      <c r="BW380" s="32">
        <v>0.68</v>
      </c>
    </row>
    <row r="381" spans="1:75" x14ac:dyDescent="0.2">
      <c r="A381">
        <v>2025</v>
      </c>
      <c r="B381" s="58" t="s">
        <v>1231</v>
      </c>
      <c r="C381" s="58" t="s">
        <v>842</v>
      </c>
      <c r="D381" t="s">
        <v>501</v>
      </c>
      <c r="E381" s="5" t="s">
        <v>843</v>
      </c>
      <c r="F381" s="5" t="s">
        <v>225</v>
      </c>
      <c r="G381" s="6" t="s">
        <v>502</v>
      </c>
      <c r="H381" s="35">
        <v>0.56000000000000005</v>
      </c>
      <c r="I381" s="35">
        <v>0.78</v>
      </c>
      <c r="J381" s="32">
        <v>0.16</v>
      </c>
      <c r="K381" t="s">
        <v>833</v>
      </c>
      <c r="L381" t="s">
        <v>963</v>
      </c>
      <c r="N381" t="s">
        <v>834</v>
      </c>
      <c r="O381" t="s">
        <v>965</v>
      </c>
      <c r="P381" t="s">
        <v>965</v>
      </c>
      <c r="Q381" t="s">
        <v>965</v>
      </c>
      <c r="R381" t="s">
        <v>965</v>
      </c>
      <c r="S381" t="s">
        <v>965</v>
      </c>
      <c r="T381" t="s">
        <v>965</v>
      </c>
      <c r="U381" t="s">
        <v>965</v>
      </c>
      <c r="V381" t="s">
        <v>965</v>
      </c>
      <c r="W381" t="s">
        <v>965</v>
      </c>
      <c r="X381" t="s">
        <v>965</v>
      </c>
      <c r="Y381" t="s">
        <v>965</v>
      </c>
      <c r="Z381" t="s">
        <v>965</v>
      </c>
      <c r="AA381" t="s">
        <v>965</v>
      </c>
      <c r="AB381" t="s">
        <v>965</v>
      </c>
      <c r="AC381" t="s">
        <v>965</v>
      </c>
      <c r="AD381" t="s">
        <v>965</v>
      </c>
      <c r="AE381" t="s">
        <v>965</v>
      </c>
      <c r="AF381" t="s">
        <v>965</v>
      </c>
      <c r="AG381" t="s">
        <v>965</v>
      </c>
      <c r="AH381" t="s">
        <v>965</v>
      </c>
      <c r="AI381" t="s">
        <v>965</v>
      </c>
      <c r="AJ381" t="s">
        <v>965</v>
      </c>
      <c r="AK381" t="s">
        <v>965</v>
      </c>
      <c r="AL381" t="s">
        <v>965</v>
      </c>
      <c r="AM381" t="s">
        <v>965</v>
      </c>
      <c r="AN381" t="s">
        <v>965</v>
      </c>
      <c r="AO381" t="s">
        <v>965</v>
      </c>
      <c r="AP381" t="s">
        <v>965</v>
      </c>
      <c r="AQ381" t="s">
        <v>965</v>
      </c>
      <c r="AR381" t="s">
        <v>965</v>
      </c>
      <c r="AS381" t="s">
        <v>965</v>
      </c>
      <c r="AT381" t="s">
        <v>965</v>
      </c>
      <c r="AU381" t="s">
        <v>965</v>
      </c>
      <c r="AV381" t="s">
        <v>965</v>
      </c>
      <c r="AW381" t="s">
        <v>965</v>
      </c>
      <c r="AX381" t="s">
        <v>965</v>
      </c>
      <c r="AY381" t="s">
        <v>965</v>
      </c>
      <c r="AZ381" t="s">
        <v>833</v>
      </c>
      <c r="BA381" t="s">
        <v>965</v>
      </c>
      <c r="BB381" t="s">
        <v>965</v>
      </c>
      <c r="BC381" t="s">
        <v>965</v>
      </c>
      <c r="BD381" t="s">
        <v>965</v>
      </c>
      <c r="BE381" t="s">
        <v>855</v>
      </c>
      <c r="BF381">
        <v>12</v>
      </c>
      <c r="BG381">
        <v>4</v>
      </c>
      <c r="BH381">
        <v>0</v>
      </c>
      <c r="BI381">
        <v>0</v>
      </c>
      <c r="BJ381">
        <v>0</v>
      </c>
      <c r="BK381">
        <v>4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16</v>
      </c>
      <c r="BR381">
        <v>0</v>
      </c>
      <c r="BS381">
        <v>0</v>
      </c>
      <c r="BT381">
        <v>53</v>
      </c>
      <c r="BU381">
        <v>10</v>
      </c>
      <c r="BV381" s="36">
        <f t="shared" si="3"/>
        <v>0.18867924528301888</v>
      </c>
      <c r="BW381" s="32">
        <v>0.54</v>
      </c>
    </row>
    <row r="382" spans="1:75" x14ac:dyDescent="0.2">
      <c r="A382">
        <v>2025</v>
      </c>
      <c r="B382" s="58" t="s">
        <v>1231</v>
      </c>
      <c r="C382" s="58" t="s">
        <v>842</v>
      </c>
      <c r="D382" t="s">
        <v>627</v>
      </c>
      <c r="E382" s="5" t="s">
        <v>843</v>
      </c>
      <c r="F382" s="5" t="s">
        <v>628</v>
      </c>
      <c r="G382" s="6" t="s">
        <v>629</v>
      </c>
      <c r="H382" s="35">
        <v>0.6</v>
      </c>
      <c r="I382" s="35">
        <v>0.38</v>
      </c>
      <c r="J382" s="32">
        <v>0.2</v>
      </c>
      <c r="K382" t="s">
        <v>833</v>
      </c>
      <c r="L382" t="s">
        <v>963</v>
      </c>
      <c r="N382" t="s">
        <v>834</v>
      </c>
      <c r="O382" t="s">
        <v>965</v>
      </c>
      <c r="P382" t="s">
        <v>965</v>
      </c>
      <c r="Q382" t="s">
        <v>965</v>
      </c>
      <c r="R382" t="s">
        <v>965</v>
      </c>
      <c r="S382" t="s">
        <v>965</v>
      </c>
      <c r="T382" t="s">
        <v>965</v>
      </c>
      <c r="U382" t="s">
        <v>965</v>
      </c>
      <c r="V382" t="s">
        <v>965</v>
      </c>
      <c r="W382" t="s">
        <v>965</v>
      </c>
      <c r="X382" t="s">
        <v>965</v>
      </c>
      <c r="Y382" t="s">
        <v>965</v>
      </c>
      <c r="Z382" t="s">
        <v>965</v>
      </c>
      <c r="AA382" t="s">
        <v>965</v>
      </c>
      <c r="AB382" t="s">
        <v>965</v>
      </c>
      <c r="AC382" t="s">
        <v>965</v>
      </c>
      <c r="AD382" t="s">
        <v>965</v>
      </c>
      <c r="AE382" t="s">
        <v>965</v>
      </c>
      <c r="AF382" t="s">
        <v>965</v>
      </c>
      <c r="AG382" t="s">
        <v>965</v>
      </c>
      <c r="AH382" t="s">
        <v>965</v>
      </c>
      <c r="AI382" t="s">
        <v>965</v>
      </c>
      <c r="AJ382" t="s">
        <v>965</v>
      </c>
      <c r="AK382" t="s">
        <v>965</v>
      </c>
      <c r="AL382" t="s">
        <v>965</v>
      </c>
      <c r="AM382" t="s">
        <v>965</v>
      </c>
      <c r="AN382" t="s">
        <v>965</v>
      </c>
      <c r="AO382" t="s">
        <v>965</v>
      </c>
      <c r="AP382" t="s">
        <v>965</v>
      </c>
      <c r="AQ382" t="s">
        <v>965</v>
      </c>
      <c r="AR382" t="s">
        <v>965</v>
      </c>
      <c r="AS382" t="s">
        <v>965</v>
      </c>
      <c r="AT382" t="s">
        <v>965</v>
      </c>
      <c r="AU382" t="s">
        <v>965</v>
      </c>
      <c r="AV382" t="s">
        <v>965</v>
      </c>
      <c r="AW382" t="s">
        <v>965</v>
      </c>
      <c r="AX382" t="s">
        <v>965</v>
      </c>
      <c r="AY382" t="s">
        <v>833</v>
      </c>
      <c r="AZ382" t="s">
        <v>965</v>
      </c>
      <c r="BA382" t="s">
        <v>965</v>
      </c>
      <c r="BB382" t="s">
        <v>965</v>
      </c>
      <c r="BC382" t="s">
        <v>833</v>
      </c>
      <c r="BD382" t="s">
        <v>965</v>
      </c>
      <c r="BE382" t="s">
        <v>887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21</v>
      </c>
      <c r="BR382">
        <v>0</v>
      </c>
      <c r="BS382">
        <v>0</v>
      </c>
      <c r="BT382">
        <v>21</v>
      </c>
      <c r="BU382">
        <v>21</v>
      </c>
      <c r="BV382" s="36">
        <f t="shared" si="3"/>
        <v>1</v>
      </c>
      <c r="BW382" s="32">
        <v>0.63</v>
      </c>
    </row>
    <row r="383" spans="1:75" x14ac:dyDescent="0.2">
      <c r="A383">
        <v>2025</v>
      </c>
      <c r="B383" s="58" t="s">
        <v>1231</v>
      </c>
      <c r="C383" s="58" t="s">
        <v>842</v>
      </c>
      <c r="D383" t="s">
        <v>1256</v>
      </c>
      <c r="E383" s="5" t="s">
        <v>843</v>
      </c>
      <c r="F383" s="5" t="s">
        <v>628</v>
      </c>
      <c r="G383" s="6" t="s">
        <v>349</v>
      </c>
      <c r="H383" s="35">
        <v>0.56000000000000005</v>
      </c>
      <c r="I383" s="35">
        <v>0.18</v>
      </c>
      <c r="J383" s="32">
        <v>0.89</v>
      </c>
      <c r="K383" t="s">
        <v>833</v>
      </c>
      <c r="L383" t="s">
        <v>963</v>
      </c>
      <c r="N383" t="s">
        <v>834</v>
      </c>
      <c r="O383" t="s">
        <v>965</v>
      </c>
      <c r="P383" t="s">
        <v>965</v>
      </c>
      <c r="Q383" t="s">
        <v>965</v>
      </c>
      <c r="R383" t="s">
        <v>965</v>
      </c>
      <c r="S383" t="s">
        <v>965</v>
      </c>
      <c r="T383" t="s">
        <v>965</v>
      </c>
      <c r="U383" t="s">
        <v>965</v>
      </c>
      <c r="V383" t="s">
        <v>965</v>
      </c>
      <c r="W383" t="s">
        <v>965</v>
      </c>
      <c r="X383" t="s">
        <v>965</v>
      </c>
      <c r="Y383" t="s">
        <v>965</v>
      </c>
      <c r="Z383" t="s">
        <v>965</v>
      </c>
      <c r="AA383" t="s">
        <v>965</v>
      </c>
      <c r="AB383" t="s">
        <v>965</v>
      </c>
      <c r="AC383" t="s">
        <v>965</v>
      </c>
      <c r="AD383" t="s">
        <v>965</v>
      </c>
      <c r="AE383" t="s">
        <v>965</v>
      </c>
      <c r="AF383" t="s">
        <v>965</v>
      </c>
      <c r="AG383" t="s">
        <v>965</v>
      </c>
      <c r="AH383" t="s">
        <v>965</v>
      </c>
      <c r="AI383" t="s">
        <v>965</v>
      </c>
      <c r="AJ383" t="s">
        <v>965</v>
      </c>
      <c r="AK383" t="s">
        <v>965</v>
      </c>
      <c r="AL383" t="s">
        <v>965</v>
      </c>
      <c r="AM383" t="s">
        <v>965</v>
      </c>
      <c r="AN383" t="s">
        <v>965</v>
      </c>
      <c r="AO383" t="s">
        <v>965</v>
      </c>
      <c r="AP383" t="s">
        <v>965</v>
      </c>
      <c r="AQ383" t="s">
        <v>965</v>
      </c>
      <c r="AR383" t="s">
        <v>965</v>
      </c>
      <c r="AS383" t="s">
        <v>965</v>
      </c>
      <c r="AT383" t="s">
        <v>965</v>
      </c>
      <c r="AU383" t="s">
        <v>965</v>
      </c>
      <c r="AV383" t="s">
        <v>965</v>
      </c>
      <c r="AW383" t="s">
        <v>965</v>
      </c>
      <c r="AX383" t="s">
        <v>965</v>
      </c>
      <c r="AY383" t="s">
        <v>833</v>
      </c>
      <c r="AZ383" t="s">
        <v>965</v>
      </c>
      <c r="BA383" t="s">
        <v>965</v>
      </c>
      <c r="BB383" t="s">
        <v>965</v>
      </c>
      <c r="BC383" t="s">
        <v>965</v>
      </c>
      <c r="BD383" t="s">
        <v>965</v>
      </c>
      <c r="BE383" t="s">
        <v>835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10</v>
      </c>
      <c r="BR383">
        <v>0</v>
      </c>
      <c r="BS383">
        <v>0</v>
      </c>
      <c r="BT383">
        <v>10</v>
      </c>
      <c r="BU383">
        <v>7</v>
      </c>
      <c r="BV383" s="36">
        <f t="shared" si="3"/>
        <v>0.7</v>
      </c>
      <c r="BW383" s="32">
        <v>0.06</v>
      </c>
    </row>
    <row r="384" spans="1:75" x14ac:dyDescent="0.2">
      <c r="A384">
        <v>2025</v>
      </c>
      <c r="B384" s="58" t="s">
        <v>1231</v>
      </c>
      <c r="C384" s="58" t="s">
        <v>842</v>
      </c>
      <c r="D384" t="s">
        <v>1257</v>
      </c>
      <c r="E384" s="5" t="s">
        <v>843</v>
      </c>
      <c r="F384" s="5" t="s">
        <v>628</v>
      </c>
      <c r="G384" s="6" t="s">
        <v>349</v>
      </c>
      <c r="H384" s="35">
        <v>0.56000000000000005</v>
      </c>
      <c r="I384" s="35">
        <v>0.18</v>
      </c>
      <c r="J384" s="32">
        <v>0.89</v>
      </c>
      <c r="K384" t="s">
        <v>833</v>
      </c>
      <c r="L384" t="s">
        <v>963</v>
      </c>
      <c r="N384" t="s">
        <v>834</v>
      </c>
      <c r="O384" t="s">
        <v>965</v>
      </c>
      <c r="P384" t="s">
        <v>965</v>
      </c>
      <c r="Q384" t="s">
        <v>965</v>
      </c>
      <c r="R384" t="s">
        <v>965</v>
      </c>
      <c r="S384" t="s">
        <v>965</v>
      </c>
      <c r="T384" t="s">
        <v>965</v>
      </c>
      <c r="U384" t="s">
        <v>965</v>
      </c>
      <c r="V384" t="s">
        <v>965</v>
      </c>
      <c r="W384" t="s">
        <v>965</v>
      </c>
      <c r="X384" t="s">
        <v>965</v>
      </c>
      <c r="Y384" t="s">
        <v>965</v>
      </c>
      <c r="Z384" t="s">
        <v>965</v>
      </c>
      <c r="AA384" t="s">
        <v>965</v>
      </c>
      <c r="AB384" t="s">
        <v>965</v>
      </c>
      <c r="AC384" t="s">
        <v>965</v>
      </c>
      <c r="AD384" t="s">
        <v>965</v>
      </c>
      <c r="AE384" t="s">
        <v>965</v>
      </c>
      <c r="AF384" t="s">
        <v>965</v>
      </c>
      <c r="AG384" t="s">
        <v>965</v>
      </c>
      <c r="AH384" t="s">
        <v>965</v>
      </c>
      <c r="AI384" t="s">
        <v>965</v>
      </c>
      <c r="AJ384" t="s">
        <v>965</v>
      </c>
      <c r="AK384" t="s">
        <v>965</v>
      </c>
      <c r="AL384" t="s">
        <v>965</v>
      </c>
      <c r="AM384" t="s">
        <v>965</v>
      </c>
      <c r="AN384" t="s">
        <v>965</v>
      </c>
      <c r="AO384" t="s">
        <v>965</v>
      </c>
      <c r="AP384" t="s">
        <v>965</v>
      </c>
      <c r="AQ384" t="s">
        <v>965</v>
      </c>
      <c r="AR384" t="s">
        <v>965</v>
      </c>
      <c r="AS384" t="s">
        <v>965</v>
      </c>
      <c r="AT384" t="s">
        <v>965</v>
      </c>
      <c r="AU384" t="s">
        <v>965</v>
      </c>
      <c r="AV384" t="s">
        <v>965</v>
      </c>
      <c r="AW384" t="s">
        <v>965</v>
      </c>
      <c r="AX384" t="s">
        <v>965</v>
      </c>
      <c r="AY384" t="s">
        <v>833</v>
      </c>
      <c r="AZ384" t="s">
        <v>965</v>
      </c>
      <c r="BA384" t="s">
        <v>965</v>
      </c>
      <c r="BB384" t="s">
        <v>965</v>
      </c>
      <c r="BC384" t="s">
        <v>965</v>
      </c>
      <c r="BD384" t="s">
        <v>965</v>
      </c>
      <c r="BE384" t="s">
        <v>835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10</v>
      </c>
      <c r="BR384">
        <v>0</v>
      </c>
      <c r="BS384">
        <v>0</v>
      </c>
      <c r="BT384">
        <v>10</v>
      </c>
      <c r="BU384">
        <v>7</v>
      </c>
      <c r="BV384" s="36">
        <f t="shared" si="3"/>
        <v>0.7</v>
      </c>
      <c r="BW384" s="32">
        <v>0.06</v>
      </c>
    </row>
    <row r="385" spans="1:75" x14ac:dyDescent="0.2">
      <c r="A385">
        <v>2025</v>
      </c>
      <c r="B385" s="58" t="s">
        <v>1231</v>
      </c>
      <c r="C385" s="58" t="s">
        <v>842</v>
      </c>
      <c r="D385" t="s">
        <v>682</v>
      </c>
      <c r="E385" s="5" t="s">
        <v>843</v>
      </c>
      <c r="F385" s="5" t="s">
        <v>610</v>
      </c>
      <c r="G385" s="6" t="s">
        <v>611</v>
      </c>
      <c r="H385" s="35">
        <v>0.25</v>
      </c>
      <c r="I385" s="35">
        <v>0.66</v>
      </c>
      <c r="J385" s="32">
        <v>0.49</v>
      </c>
      <c r="K385" t="s">
        <v>833</v>
      </c>
      <c r="L385" t="s">
        <v>963</v>
      </c>
      <c r="N385" t="s">
        <v>834</v>
      </c>
      <c r="O385" t="s">
        <v>965</v>
      </c>
      <c r="P385" t="s">
        <v>965</v>
      </c>
      <c r="Q385" t="s">
        <v>965</v>
      </c>
      <c r="R385" t="s">
        <v>965</v>
      </c>
      <c r="S385" t="s">
        <v>965</v>
      </c>
      <c r="T385" t="s">
        <v>965</v>
      </c>
      <c r="U385" t="s">
        <v>965</v>
      </c>
      <c r="V385" t="s">
        <v>965</v>
      </c>
      <c r="W385" t="s">
        <v>965</v>
      </c>
      <c r="X385" t="s">
        <v>965</v>
      </c>
      <c r="Y385" t="s">
        <v>965</v>
      </c>
      <c r="Z385" t="s">
        <v>965</v>
      </c>
      <c r="AA385" t="s">
        <v>965</v>
      </c>
      <c r="AB385" t="s">
        <v>965</v>
      </c>
      <c r="AC385" t="s">
        <v>965</v>
      </c>
      <c r="AD385" t="s">
        <v>965</v>
      </c>
      <c r="AE385" t="s">
        <v>965</v>
      </c>
      <c r="AF385" t="s">
        <v>965</v>
      </c>
      <c r="AG385" t="s">
        <v>965</v>
      </c>
      <c r="AH385" t="s">
        <v>965</v>
      </c>
      <c r="AI385" t="s">
        <v>965</v>
      </c>
      <c r="AJ385" t="s">
        <v>965</v>
      </c>
      <c r="AK385" t="s">
        <v>965</v>
      </c>
      <c r="AL385" t="s">
        <v>965</v>
      </c>
      <c r="AM385" t="s">
        <v>965</v>
      </c>
      <c r="AN385" t="s">
        <v>965</v>
      </c>
      <c r="AO385" t="s">
        <v>965</v>
      </c>
      <c r="AP385" t="s">
        <v>965</v>
      </c>
      <c r="AQ385" t="s">
        <v>965</v>
      </c>
      <c r="AR385" t="s">
        <v>965</v>
      </c>
      <c r="AS385" t="s">
        <v>965</v>
      </c>
      <c r="AT385" t="s">
        <v>965</v>
      </c>
      <c r="AU385" t="s">
        <v>965</v>
      </c>
      <c r="AV385" t="s">
        <v>965</v>
      </c>
      <c r="AW385" t="s">
        <v>965</v>
      </c>
      <c r="AX385" t="s">
        <v>965</v>
      </c>
      <c r="AY385" t="s">
        <v>833</v>
      </c>
      <c r="AZ385" t="s">
        <v>965</v>
      </c>
      <c r="BA385" t="s">
        <v>965</v>
      </c>
      <c r="BB385" t="s">
        <v>965</v>
      </c>
      <c r="BC385" t="s">
        <v>965</v>
      </c>
      <c r="BD385" t="s">
        <v>965</v>
      </c>
      <c r="BE385" t="s">
        <v>835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8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8</v>
      </c>
      <c r="BR385">
        <v>0</v>
      </c>
      <c r="BS385">
        <v>0</v>
      </c>
      <c r="BT385">
        <v>8</v>
      </c>
      <c r="BU385">
        <v>8</v>
      </c>
      <c r="BV385" s="36">
        <f t="shared" si="3"/>
        <v>1</v>
      </c>
      <c r="BW385" s="32">
        <v>0.47</v>
      </c>
    </row>
    <row r="386" spans="1:75" x14ac:dyDescent="0.2">
      <c r="A386">
        <v>2025</v>
      </c>
      <c r="B386" s="58" t="s">
        <v>25</v>
      </c>
      <c r="C386" s="58" t="s">
        <v>848</v>
      </c>
      <c r="D386" t="s">
        <v>1258</v>
      </c>
      <c r="E386" s="5" t="s">
        <v>845</v>
      </c>
      <c r="F386" s="5" t="s">
        <v>15</v>
      </c>
      <c r="G386" s="6" t="s">
        <v>322</v>
      </c>
      <c r="H386" s="35">
        <v>0.38</v>
      </c>
      <c r="I386" s="35">
        <v>0.46</v>
      </c>
      <c r="J386" s="32">
        <v>0.95</v>
      </c>
      <c r="K386" t="s">
        <v>833</v>
      </c>
      <c r="L386" t="s">
        <v>963</v>
      </c>
      <c r="N386" t="s">
        <v>834</v>
      </c>
      <c r="O386" t="s">
        <v>965</v>
      </c>
      <c r="P386" t="s">
        <v>965</v>
      </c>
      <c r="Q386" t="s">
        <v>965</v>
      </c>
      <c r="R386" t="s">
        <v>965</v>
      </c>
      <c r="S386" t="s">
        <v>965</v>
      </c>
      <c r="T386" t="s">
        <v>965</v>
      </c>
      <c r="U386" t="s">
        <v>965</v>
      </c>
      <c r="V386" t="s">
        <v>965</v>
      </c>
      <c r="W386" t="s">
        <v>965</v>
      </c>
      <c r="X386" t="s">
        <v>965</v>
      </c>
      <c r="Y386" t="s">
        <v>965</v>
      </c>
      <c r="Z386" t="s">
        <v>965</v>
      </c>
      <c r="AA386" t="s">
        <v>965</v>
      </c>
      <c r="AB386" t="s">
        <v>965</v>
      </c>
      <c r="AC386" t="s">
        <v>965</v>
      </c>
      <c r="AD386" t="s">
        <v>965</v>
      </c>
      <c r="AE386" t="s">
        <v>965</v>
      </c>
      <c r="AF386" t="s">
        <v>965</v>
      </c>
      <c r="AG386" t="s">
        <v>965</v>
      </c>
      <c r="AH386" t="s">
        <v>965</v>
      </c>
      <c r="AI386" t="s">
        <v>965</v>
      </c>
      <c r="AJ386" t="s">
        <v>965</v>
      </c>
      <c r="AK386" t="s">
        <v>965</v>
      </c>
      <c r="AL386" t="s">
        <v>965</v>
      </c>
      <c r="AM386" t="s">
        <v>965</v>
      </c>
      <c r="AN386" t="s">
        <v>965</v>
      </c>
      <c r="AO386" t="s">
        <v>965</v>
      </c>
      <c r="AP386" t="s">
        <v>965</v>
      </c>
      <c r="AQ386" t="s">
        <v>965</v>
      </c>
      <c r="AR386" t="s">
        <v>965</v>
      </c>
      <c r="AS386" t="s">
        <v>965</v>
      </c>
      <c r="AT386" t="s">
        <v>965</v>
      </c>
      <c r="AU386" t="s">
        <v>965</v>
      </c>
      <c r="AV386" t="s">
        <v>965</v>
      </c>
      <c r="AW386" t="s">
        <v>965</v>
      </c>
      <c r="AX386" t="s">
        <v>965</v>
      </c>
      <c r="AY386" t="s">
        <v>833</v>
      </c>
      <c r="AZ386" t="s">
        <v>965</v>
      </c>
      <c r="BA386" t="s">
        <v>965</v>
      </c>
      <c r="BB386" t="s">
        <v>965</v>
      </c>
      <c r="BC386" t="s">
        <v>833</v>
      </c>
      <c r="BD386" t="s">
        <v>965</v>
      </c>
      <c r="BE386" t="s">
        <v>835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16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16</v>
      </c>
      <c r="BR386">
        <v>0</v>
      </c>
      <c r="BS386">
        <v>0</v>
      </c>
      <c r="BT386">
        <v>16</v>
      </c>
      <c r="BU386">
        <v>14</v>
      </c>
      <c r="BV386" s="36">
        <f t="shared" si="3"/>
        <v>0.875</v>
      </c>
      <c r="BW386" s="32">
        <v>0.2</v>
      </c>
    </row>
    <row r="387" spans="1:75" x14ac:dyDescent="0.2">
      <c r="A387">
        <v>2025</v>
      </c>
      <c r="B387" s="58" t="s">
        <v>25</v>
      </c>
      <c r="C387" s="58" t="s">
        <v>848</v>
      </c>
      <c r="D387" t="s">
        <v>1259</v>
      </c>
      <c r="E387" s="5" t="s">
        <v>845</v>
      </c>
      <c r="F387" s="5" t="s">
        <v>15</v>
      </c>
      <c r="H387" s="5"/>
      <c r="I387" s="5"/>
      <c r="J387" s="5"/>
      <c r="K387" t="s">
        <v>833</v>
      </c>
      <c r="L387" t="s">
        <v>963</v>
      </c>
      <c r="N387" t="s">
        <v>834</v>
      </c>
      <c r="O387" t="s">
        <v>965</v>
      </c>
      <c r="P387" t="s">
        <v>965</v>
      </c>
      <c r="Q387" t="s">
        <v>965</v>
      </c>
      <c r="R387" t="s">
        <v>965</v>
      </c>
      <c r="S387" t="s">
        <v>965</v>
      </c>
      <c r="T387" t="s">
        <v>965</v>
      </c>
      <c r="U387" t="s">
        <v>965</v>
      </c>
      <c r="V387" t="s">
        <v>965</v>
      </c>
      <c r="W387" t="s">
        <v>965</v>
      </c>
      <c r="X387" t="s">
        <v>965</v>
      </c>
      <c r="Y387" t="s">
        <v>965</v>
      </c>
      <c r="Z387" t="s">
        <v>965</v>
      </c>
      <c r="AA387" t="s">
        <v>965</v>
      </c>
      <c r="AB387" t="s">
        <v>965</v>
      </c>
      <c r="AC387" t="s">
        <v>965</v>
      </c>
      <c r="AD387" t="s">
        <v>965</v>
      </c>
      <c r="AE387" t="s">
        <v>965</v>
      </c>
      <c r="AF387" t="s">
        <v>965</v>
      </c>
      <c r="AG387" t="s">
        <v>965</v>
      </c>
      <c r="AH387" t="s">
        <v>965</v>
      </c>
      <c r="AI387" t="s">
        <v>965</v>
      </c>
      <c r="AJ387" t="s">
        <v>965</v>
      </c>
      <c r="AK387" t="s">
        <v>965</v>
      </c>
      <c r="AL387" t="s">
        <v>965</v>
      </c>
      <c r="AM387" t="s">
        <v>965</v>
      </c>
      <c r="AN387" t="s">
        <v>965</v>
      </c>
      <c r="AO387" t="s">
        <v>965</v>
      </c>
      <c r="AP387" t="s">
        <v>965</v>
      </c>
      <c r="AQ387" t="s">
        <v>965</v>
      </c>
      <c r="AR387" t="s">
        <v>965</v>
      </c>
      <c r="AS387" t="s">
        <v>965</v>
      </c>
      <c r="AT387" t="s">
        <v>965</v>
      </c>
      <c r="AU387" t="s">
        <v>965</v>
      </c>
      <c r="AV387" t="s">
        <v>965</v>
      </c>
      <c r="AW387" t="s">
        <v>965</v>
      </c>
      <c r="AX387" t="s">
        <v>965</v>
      </c>
      <c r="AY387" t="s">
        <v>965</v>
      </c>
      <c r="AZ387" t="s">
        <v>965</v>
      </c>
      <c r="BA387" t="s">
        <v>965</v>
      </c>
      <c r="BB387" t="s">
        <v>965</v>
      </c>
      <c r="BC387" t="s">
        <v>833</v>
      </c>
      <c r="BD387" t="s">
        <v>965</v>
      </c>
      <c r="BE387" t="s">
        <v>835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14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14</v>
      </c>
      <c r="BR387">
        <v>0</v>
      </c>
      <c r="BS387">
        <v>0</v>
      </c>
      <c r="BT387">
        <v>14</v>
      </c>
      <c r="BU387">
        <v>14</v>
      </c>
      <c r="BV387" s="36">
        <f t="shared" si="3"/>
        <v>1</v>
      </c>
      <c r="BW387" s="32">
        <v>0.89</v>
      </c>
    </row>
    <row r="388" spans="1:75" x14ac:dyDescent="0.2">
      <c r="A388">
        <v>2025</v>
      </c>
      <c r="B388" s="58" t="s">
        <v>25</v>
      </c>
      <c r="C388" s="58" t="s">
        <v>848</v>
      </c>
      <c r="D388" t="s">
        <v>455</v>
      </c>
      <c r="E388" s="5" t="s">
        <v>845</v>
      </c>
      <c r="F388" s="5" t="s">
        <v>15</v>
      </c>
      <c r="G388" s="6" t="s">
        <v>264</v>
      </c>
      <c r="H388" s="35">
        <v>0.16</v>
      </c>
      <c r="I388" s="35">
        <v>0.68</v>
      </c>
      <c r="J388" s="32">
        <v>0.76</v>
      </c>
      <c r="K388" t="s">
        <v>833</v>
      </c>
      <c r="L388" t="s">
        <v>963</v>
      </c>
      <c r="N388" t="s">
        <v>834</v>
      </c>
      <c r="O388" t="s">
        <v>965</v>
      </c>
      <c r="P388" t="s">
        <v>965</v>
      </c>
      <c r="Q388" t="s">
        <v>965</v>
      </c>
      <c r="R388" t="s">
        <v>965</v>
      </c>
      <c r="S388" t="s">
        <v>965</v>
      </c>
      <c r="T388" t="s">
        <v>965</v>
      </c>
      <c r="U388" t="s">
        <v>965</v>
      </c>
      <c r="V388" t="s">
        <v>965</v>
      </c>
      <c r="W388" t="s">
        <v>965</v>
      </c>
      <c r="X388" t="s">
        <v>965</v>
      </c>
      <c r="Y388" t="s">
        <v>965</v>
      </c>
      <c r="Z388" t="s">
        <v>965</v>
      </c>
      <c r="AA388" t="s">
        <v>965</v>
      </c>
      <c r="AB388" t="s">
        <v>965</v>
      </c>
      <c r="AC388" t="s">
        <v>965</v>
      </c>
      <c r="AD388" t="s">
        <v>965</v>
      </c>
      <c r="AE388" t="s">
        <v>965</v>
      </c>
      <c r="AF388" t="s">
        <v>965</v>
      </c>
      <c r="AG388" t="s">
        <v>965</v>
      </c>
      <c r="AH388" t="s">
        <v>965</v>
      </c>
      <c r="AI388" t="s">
        <v>965</v>
      </c>
      <c r="AJ388" t="s">
        <v>965</v>
      </c>
      <c r="AK388" t="s">
        <v>965</v>
      </c>
      <c r="AL388" t="s">
        <v>965</v>
      </c>
      <c r="AM388" t="s">
        <v>965</v>
      </c>
      <c r="AN388" t="s">
        <v>965</v>
      </c>
      <c r="AO388" t="s">
        <v>965</v>
      </c>
      <c r="AP388" t="s">
        <v>965</v>
      </c>
      <c r="AQ388" t="s">
        <v>965</v>
      </c>
      <c r="AR388" t="s">
        <v>965</v>
      </c>
      <c r="AS388" t="s">
        <v>965</v>
      </c>
      <c r="AT388" t="s">
        <v>965</v>
      </c>
      <c r="AU388" t="s">
        <v>965</v>
      </c>
      <c r="AV388" t="s">
        <v>965</v>
      </c>
      <c r="AW388" t="s">
        <v>965</v>
      </c>
      <c r="AX388" t="s">
        <v>965</v>
      </c>
      <c r="AY388" t="s">
        <v>965</v>
      </c>
      <c r="AZ388" t="s">
        <v>965</v>
      </c>
      <c r="BA388" t="s">
        <v>965</v>
      </c>
      <c r="BB388" t="s">
        <v>965</v>
      </c>
      <c r="BC388" t="s">
        <v>965</v>
      </c>
      <c r="BD388" t="s">
        <v>965</v>
      </c>
      <c r="BE388" t="s">
        <v>835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49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49</v>
      </c>
      <c r="BR388">
        <v>0</v>
      </c>
      <c r="BS388">
        <v>0</v>
      </c>
      <c r="BT388">
        <v>49</v>
      </c>
      <c r="BU388">
        <v>48</v>
      </c>
      <c r="BV388" s="36">
        <f t="shared" si="3"/>
        <v>0.97959183673469385</v>
      </c>
      <c r="BW388" s="32">
        <v>0.42</v>
      </c>
    </row>
    <row r="389" spans="1:75" x14ac:dyDescent="0.2">
      <c r="A389">
        <v>2025</v>
      </c>
      <c r="B389" s="58" t="s">
        <v>25</v>
      </c>
      <c r="C389" s="58" t="s">
        <v>898</v>
      </c>
      <c r="D389" t="s">
        <v>707</v>
      </c>
      <c r="E389" s="5" t="s">
        <v>845</v>
      </c>
      <c r="F389" s="5" t="s">
        <v>15</v>
      </c>
      <c r="G389" s="6" t="s">
        <v>72</v>
      </c>
      <c r="H389" s="35">
        <v>0.09</v>
      </c>
      <c r="I389" s="35">
        <v>0.34</v>
      </c>
      <c r="J389" s="32">
        <v>0.59</v>
      </c>
      <c r="K389" t="s">
        <v>833</v>
      </c>
      <c r="L389" t="s">
        <v>963</v>
      </c>
      <c r="N389" t="s">
        <v>834</v>
      </c>
      <c r="O389" t="s">
        <v>965</v>
      </c>
      <c r="P389" t="s">
        <v>965</v>
      </c>
      <c r="Q389" t="s">
        <v>965</v>
      </c>
      <c r="R389" t="s">
        <v>965</v>
      </c>
      <c r="S389" t="s">
        <v>965</v>
      </c>
      <c r="T389" t="s">
        <v>965</v>
      </c>
      <c r="U389" t="s">
        <v>833</v>
      </c>
      <c r="V389" t="s">
        <v>965</v>
      </c>
      <c r="W389" t="s">
        <v>965</v>
      </c>
      <c r="X389" t="s">
        <v>965</v>
      </c>
      <c r="Y389" t="s">
        <v>965</v>
      </c>
      <c r="Z389" t="s">
        <v>965</v>
      </c>
      <c r="AA389" t="s">
        <v>965</v>
      </c>
      <c r="AB389" t="s">
        <v>965</v>
      </c>
      <c r="AC389" t="s">
        <v>965</v>
      </c>
      <c r="AD389" t="s">
        <v>965</v>
      </c>
      <c r="AE389" t="s">
        <v>965</v>
      </c>
      <c r="AF389" t="s">
        <v>965</v>
      </c>
      <c r="AG389" t="s">
        <v>965</v>
      </c>
      <c r="AH389" t="s">
        <v>965</v>
      </c>
      <c r="AI389" t="s">
        <v>965</v>
      </c>
      <c r="AJ389" t="s">
        <v>965</v>
      </c>
      <c r="AK389" t="s">
        <v>965</v>
      </c>
      <c r="AL389" t="s">
        <v>965</v>
      </c>
      <c r="AM389" t="s">
        <v>965</v>
      </c>
      <c r="AN389" t="s">
        <v>965</v>
      </c>
      <c r="AO389" t="s">
        <v>965</v>
      </c>
      <c r="AP389" t="s">
        <v>965</v>
      </c>
      <c r="AQ389" t="s">
        <v>965</v>
      </c>
      <c r="AR389" t="s">
        <v>965</v>
      </c>
      <c r="AS389" t="s">
        <v>965</v>
      </c>
      <c r="AT389" t="s">
        <v>965</v>
      </c>
      <c r="AU389" t="s">
        <v>965</v>
      </c>
      <c r="AV389" t="s">
        <v>965</v>
      </c>
      <c r="AW389" t="s">
        <v>965</v>
      </c>
      <c r="AX389" t="s">
        <v>965</v>
      </c>
      <c r="AY389" t="s">
        <v>965</v>
      </c>
      <c r="AZ389" t="s">
        <v>965</v>
      </c>
      <c r="BA389" t="s">
        <v>965</v>
      </c>
      <c r="BB389" t="s">
        <v>965</v>
      </c>
      <c r="BC389" t="s">
        <v>965</v>
      </c>
      <c r="BD389" t="s">
        <v>965</v>
      </c>
      <c r="BE389" t="s">
        <v>835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14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14</v>
      </c>
      <c r="BR389">
        <v>0</v>
      </c>
      <c r="BS389">
        <v>0</v>
      </c>
      <c r="BT389">
        <v>59</v>
      </c>
      <c r="BU389">
        <v>13</v>
      </c>
      <c r="BV389" s="36">
        <f t="shared" si="3"/>
        <v>0.22033898305084745</v>
      </c>
      <c r="BW389" s="32">
        <v>0.23</v>
      </c>
    </row>
    <row r="390" spans="1:75" x14ac:dyDescent="0.2">
      <c r="A390">
        <v>2025</v>
      </c>
      <c r="B390" s="58" t="s">
        <v>25</v>
      </c>
      <c r="C390" s="58" t="s">
        <v>839</v>
      </c>
      <c r="D390" t="s">
        <v>1260</v>
      </c>
      <c r="E390" s="5" t="s">
        <v>845</v>
      </c>
      <c r="F390" s="5" t="s">
        <v>15</v>
      </c>
      <c r="H390" s="5"/>
      <c r="I390" s="5"/>
      <c r="J390" s="5"/>
      <c r="K390" t="s">
        <v>833</v>
      </c>
      <c r="L390" t="s">
        <v>963</v>
      </c>
      <c r="N390" t="s">
        <v>834</v>
      </c>
      <c r="O390" t="s">
        <v>965</v>
      </c>
      <c r="P390" t="s">
        <v>965</v>
      </c>
      <c r="Q390" t="s">
        <v>965</v>
      </c>
      <c r="R390" t="s">
        <v>965</v>
      </c>
      <c r="S390" t="s">
        <v>965</v>
      </c>
      <c r="T390" t="s">
        <v>965</v>
      </c>
      <c r="U390" t="s">
        <v>965</v>
      </c>
      <c r="V390" t="s">
        <v>965</v>
      </c>
      <c r="W390" t="s">
        <v>965</v>
      </c>
      <c r="X390" t="s">
        <v>965</v>
      </c>
      <c r="Y390" t="s">
        <v>965</v>
      </c>
      <c r="Z390" t="s">
        <v>965</v>
      </c>
      <c r="AA390" t="s">
        <v>965</v>
      </c>
      <c r="AB390" t="s">
        <v>965</v>
      </c>
      <c r="AC390" t="s">
        <v>965</v>
      </c>
      <c r="AD390" t="s">
        <v>965</v>
      </c>
      <c r="AE390" t="s">
        <v>965</v>
      </c>
      <c r="AF390" t="s">
        <v>965</v>
      </c>
      <c r="AG390" t="s">
        <v>965</v>
      </c>
      <c r="AH390" t="s">
        <v>965</v>
      </c>
      <c r="AI390" t="s">
        <v>965</v>
      </c>
      <c r="AJ390" t="s">
        <v>965</v>
      </c>
      <c r="AK390" t="s">
        <v>965</v>
      </c>
      <c r="AL390" t="s">
        <v>965</v>
      </c>
      <c r="AM390" t="s">
        <v>965</v>
      </c>
      <c r="AN390" t="s">
        <v>965</v>
      </c>
      <c r="AO390" t="s">
        <v>965</v>
      </c>
      <c r="AP390" t="s">
        <v>965</v>
      </c>
      <c r="AQ390" t="s">
        <v>965</v>
      </c>
      <c r="AR390" t="s">
        <v>965</v>
      </c>
      <c r="AS390" t="s">
        <v>965</v>
      </c>
      <c r="AT390" t="s">
        <v>965</v>
      </c>
      <c r="AU390" t="s">
        <v>965</v>
      </c>
      <c r="AV390" t="s">
        <v>965</v>
      </c>
      <c r="AW390" t="s">
        <v>965</v>
      </c>
      <c r="AX390" t="s">
        <v>965</v>
      </c>
      <c r="AY390" t="s">
        <v>965</v>
      </c>
      <c r="AZ390" t="s">
        <v>965</v>
      </c>
      <c r="BA390" t="s">
        <v>965</v>
      </c>
      <c r="BB390" t="s">
        <v>965</v>
      </c>
      <c r="BC390" t="s">
        <v>833</v>
      </c>
      <c r="BD390" t="s">
        <v>965</v>
      </c>
      <c r="BE390" t="s">
        <v>835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4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4</v>
      </c>
      <c r="BR390">
        <v>0</v>
      </c>
      <c r="BS390">
        <v>0</v>
      </c>
      <c r="BT390">
        <v>4</v>
      </c>
      <c r="BU390">
        <v>4</v>
      </c>
      <c r="BV390" s="36">
        <f t="shared" si="3"/>
        <v>1</v>
      </c>
      <c r="BW390" s="32">
        <v>0.23</v>
      </c>
    </row>
    <row r="391" spans="1:75" x14ac:dyDescent="0.2">
      <c r="A391">
        <v>2025</v>
      </c>
      <c r="B391" s="58" t="s">
        <v>25</v>
      </c>
      <c r="C391" s="58" t="s">
        <v>847</v>
      </c>
      <c r="D391" t="s">
        <v>101</v>
      </c>
      <c r="E391" s="5" t="s">
        <v>845</v>
      </c>
      <c r="F391" s="5" t="s">
        <v>15</v>
      </c>
      <c r="G391" s="6" t="s">
        <v>100</v>
      </c>
      <c r="H391" s="35">
        <v>0.53</v>
      </c>
      <c r="I391" s="35">
        <v>0.2</v>
      </c>
      <c r="J391" s="32">
        <v>0.89</v>
      </c>
      <c r="K391" t="s">
        <v>833</v>
      </c>
      <c r="L391" t="s">
        <v>963</v>
      </c>
      <c r="M391" t="s">
        <v>854</v>
      </c>
      <c r="N391" t="s">
        <v>834</v>
      </c>
      <c r="O391" t="s">
        <v>965</v>
      </c>
      <c r="P391" t="s">
        <v>965</v>
      </c>
      <c r="Q391" t="s">
        <v>965</v>
      </c>
      <c r="R391" t="s">
        <v>965</v>
      </c>
      <c r="S391" t="s">
        <v>965</v>
      </c>
      <c r="T391" t="s">
        <v>965</v>
      </c>
      <c r="U391" t="s">
        <v>965</v>
      </c>
      <c r="V391" t="s">
        <v>965</v>
      </c>
      <c r="W391" t="s">
        <v>965</v>
      </c>
      <c r="X391" t="s">
        <v>965</v>
      </c>
      <c r="Y391" t="s">
        <v>965</v>
      </c>
      <c r="Z391" t="s">
        <v>965</v>
      </c>
      <c r="AA391" t="s">
        <v>965</v>
      </c>
      <c r="AB391" t="s">
        <v>965</v>
      </c>
      <c r="AC391" t="s">
        <v>965</v>
      </c>
      <c r="AD391" t="s">
        <v>965</v>
      </c>
      <c r="AE391" t="s">
        <v>965</v>
      </c>
      <c r="AF391" t="s">
        <v>965</v>
      </c>
      <c r="AG391" t="s">
        <v>965</v>
      </c>
      <c r="AH391" t="s">
        <v>965</v>
      </c>
      <c r="AI391" t="s">
        <v>965</v>
      </c>
      <c r="AJ391" t="s">
        <v>965</v>
      </c>
      <c r="AK391" t="s">
        <v>965</v>
      </c>
      <c r="AL391" t="s">
        <v>965</v>
      </c>
      <c r="AM391" t="s">
        <v>965</v>
      </c>
      <c r="AN391" t="s">
        <v>965</v>
      </c>
      <c r="AO391" t="s">
        <v>965</v>
      </c>
      <c r="AP391" t="s">
        <v>965</v>
      </c>
      <c r="AQ391" t="s">
        <v>965</v>
      </c>
      <c r="AR391" t="s">
        <v>965</v>
      </c>
      <c r="AS391" t="s">
        <v>965</v>
      </c>
      <c r="AT391" t="s">
        <v>965</v>
      </c>
      <c r="AU391" t="s">
        <v>965</v>
      </c>
      <c r="AV391" t="s">
        <v>965</v>
      </c>
      <c r="AW391" t="s">
        <v>965</v>
      </c>
      <c r="AX391" t="s">
        <v>965</v>
      </c>
      <c r="AY391" t="s">
        <v>965</v>
      </c>
      <c r="AZ391" t="s">
        <v>965</v>
      </c>
      <c r="BA391" t="s">
        <v>965</v>
      </c>
      <c r="BB391" t="s">
        <v>965</v>
      </c>
      <c r="BC391" t="s">
        <v>833</v>
      </c>
      <c r="BD391" t="s">
        <v>965</v>
      </c>
      <c r="BE391" t="s">
        <v>855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50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50</v>
      </c>
      <c r="BR391">
        <v>0</v>
      </c>
      <c r="BS391">
        <v>0</v>
      </c>
      <c r="BT391">
        <v>50</v>
      </c>
      <c r="BU391">
        <v>46</v>
      </c>
      <c r="BV391" s="36">
        <f t="shared" si="3"/>
        <v>0.92</v>
      </c>
      <c r="BW391" s="32">
        <v>0.2</v>
      </c>
    </row>
    <row r="392" spans="1:75" x14ac:dyDescent="0.2">
      <c r="A392">
        <v>2025</v>
      </c>
      <c r="B392" s="58" t="s">
        <v>25</v>
      </c>
      <c r="C392" s="58" t="s">
        <v>842</v>
      </c>
      <c r="D392" t="s">
        <v>846</v>
      </c>
      <c r="E392" s="5" t="s">
        <v>845</v>
      </c>
      <c r="F392" s="5" t="s">
        <v>15</v>
      </c>
      <c r="G392" s="6" t="s">
        <v>76</v>
      </c>
      <c r="H392" s="35">
        <v>0.64</v>
      </c>
      <c r="I392" s="35">
        <v>0.42</v>
      </c>
      <c r="J392" s="32">
        <v>0.36</v>
      </c>
      <c r="K392" t="s">
        <v>833</v>
      </c>
      <c r="L392" t="s">
        <v>963</v>
      </c>
      <c r="N392" t="s">
        <v>834</v>
      </c>
      <c r="O392" t="s">
        <v>965</v>
      </c>
      <c r="P392" t="s">
        <v>965</v>
      </c>
      <c r="Q392" t="s">
        <v>965</v>
      </c>
      <c r="R392" t="s">
        <v>965</v>
      </c>
      <c r="S392" t="s">
        <v>965</v>
      </c>
      <c r="T392" t="s">
        <v>965</v>
      </c>
      <c r="U392" t="s">
        <v>965</v>
      </c>
      <c r="V392" t="s">
        <v>965</v>
      </c>
      <c r="W392" t="s">
        <v>965</v>
      </c>
      <c r="X392" t="s">
        <v>965</v>
      </c>
      <c r="Y392" t="s">
        <v>965</v>
      </c>
      <c r="Z392" t="s">
        <v>965</v>
      </c>
      <c r="AA392" t="s">
        <v>965</v>
      </c>
      <c r="AB392" t="s">
        <v>965</v>
      </c>
      <c r="AC392" t="s">
        <v>965</v>
      </c>
      <c r="AD392" t="s">
        <v>965</v>
      </c>
      <c r="AE392" t="s">
        <v>965</v>
      </c>
      <c r="AF392" t="s">
        <v>965</v>
      </c>
      <c r="AG392" t="s">
        <v>965</v>
      </c>
      <c r="AH392" t="s">
        <v>965</v>
      </c>
      <c r="AI392" t="s">
        <v>965</v>
      </c>
      <c r="AJ392" t="s">
        <v>965</v>
      </c>
      <c r="AK392" t="s">
        <v>965</v>
      </c>
      <c r="AL392" t="s">
        <v>965</v>
      </c>
      <c r="AM392" t="s">
        <v>965</v>
      </c>
      <c r="AN392" t="s">
        <v>965</v>
      </c>
      <c r="AO392" t="s">
        <v>965</v>
      </c>
      <c r="AP392" t="s">
        <v>965</v>
      </c>
      <c r="AQ392" t="s">
        <v>965</v>
      </c>
      <c r="AR392" t="s">
        <v>965</v>
      </c>
      <c r="AS392" t="s">
        <v>965</v>
      </c>
      <c r="AT392" t="s">
        <v>965</v>
      </c>
      <c r="AU392" t="s">
        <v>965</v>
      </c>
      <c r="AV392" t="s">
        <v>965</v>
      </c>
      <c r="AW392" t="s">
        <v>965</v>
      </c>
      <c r="AX392" t="s">
        <v>965</v>
      </c>
      <c r="AY392" t="s">
        <v>833</v>
      </c>
      <c r="AZ392" t="s">
        <v>965</v>
      </c>
      <c r="BA392" t="s">
        <v>965</v>
      </c>
      <c r="BB392" t="s">
        <v>965</v>
      </c>
      <c r="BC392" t="s">
        <v>965</v>
      </c>
      <c r="BD392" t="s">
        <v>965</v>
      </c>
      <c r="BE392" t="s">
        <v>835</v>
      </c>
      <c r="BF392">
        <v>12</v>
      </c>
      <c r="BG392">
        <v>4</v>
      </c>
      <c r="BH392">
        <v>0</v>
      </c>
      <c r="BI392">
        <v>0</v>
      </c>
      <c r="BJ392">
        <v>0</v>
      </c>
      <c r="BK392">
        <v>24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36</v>
      </c>
      <c r="BR392">
        <v>0</v>
      </c>
      <c r="BS392">
        <v>0</v>
      </c>
      <c r="BT392">
        <v>36</v>
      </c>
      <c r="BU392">
        <v>28</v>
      </c>
      <c r="BV392" s="36">
        <f t="shared" si="3"/>
        <v>0.77777777777777779</v>
      </c>
      <c r="BW392" s="32">
        <v>0.37</v>
      </c>
    </row>
    <row r="393" spans="1:75" x14ac:dyDescent="0.2">
      <c r="A393">
        <v>2025</v>
      </c>
      <c r="B393" s="58" t="s">
        <v>25</v>
      </c>
      <c r="C393" s="58" t="s">
        <v>842</v>
      </c>
      <c r="D393" t="s">
        <v>455</v>
      </c>
      <c r="E393" s="5" t="s">
        <v>845</v>
      </c>
      <c r="F393" s="5" t="s">
        <v>15</v>
      </c>
      <c r="G393" s="6" t="s">
        <v>264</v>
      </c>
      <c r="H393" s="35">
        <v>0.16</v>
      </c>
      <c r="I393" s="35">
        <v>0.68</v>
      </c>
      <c r="J393" s="32">
        <v>0.76</v>
      </c>
      <c r="K393" t="s">
        <v>833</v>
      </c>
      <c r="L393" t="s">
        <v>963</v>
      </c>
      <c r="N393" t="s">
        <v>834</v>
      </c>
      <c r="O393" t="s">
        <v>965</v>
      </c>
      <c r="P393" t="s">
        <v>965</v>
      </c>
      <c r="Q393" t="s">
        <v>965</v>
      </c>
      <c r="R393" t="s">
        <v>965</v>
      </c>
      <c r="S393" t="s">
        <v>965</v>
      </c>
      <c r="T393" t="s">
        <v>965</v>
      </c>
      <c r="U393" t="s">
        <v>965</v>
      </c>
      <c r="V393" t="s">
        <v>965</v>
      </c>
      <c r="W393" t="s">
        <v>965</v>
      </c>
      <c r="X393" t="s">
        <v>965</v>
      </c>
      <c r="Y393" t="s">
        <v>965</v>
      </c>
      <c r="Z393" t="s">
        <v>965</v>
      </c>
      <c r="AA393" t="s">
        <v>965</v>
      </c>
      <c r="AB393" t="s">
        <v>965</v>
      </c>
      <c r="AC393" t="s">
        <v>965</v>
      </c>
      <c r="AD393" t="s">
        <v>965</v>
      </c>
      <c r="AE393" t="s">
        <v>965</v>
      </c>
      <c r="AF393" t="s">
        <v>965</v>
      </c>
      <c r="AG393" t="s">
        <v>965</v>
      </c>
      <c r="AH393" t="s">
        <v>965</v>
      </c>
      <c r="AI393" t="s">
        <v>965</v>
      </c>
      <c r="AJ393" t="s">
        <v>965</v>
      </c>
      <c r="AK393" t="s">
        <v>965</v>
      </c>
      <c r="AL393" t="s">
        <v>965</v>
      </c>
      <c r="AM393" t="s">
        <v>965</v>
      </c>
      <c r="AN393" t="s">
        <v>965</v>
      </c>
      <c r="AO393" t="s">
        <v>965</v>
      </c>
      <c r="AP393" t="s">
        <v>965</v>
      </c>
      <c r="AQ393" t="s">
        <v>965</v>
      </c>
      <c r="AR393" t="s">
        <v>965</v>
      </c>
      <c r="AS393" t="s">
        <v>965</v>
      </c>
      <c r="AT393" t="s">
        <v>965</v>
      </c>
      <c r="AU393" t="s">
        <v>965</v>
      </c>
      <c r="AV393" t="s">
        <v>965</v>
      </c>
      <c r="AW393" t="s">
        <v>965</v>
      </c>
      <c r="AX393" t="s">
        <v>965</v>
      </c>
      <c r="AY393" t="s">
        <v>965</v>
      </c>
      <c r="AZ393" t="s">
        <v>965</v>
      </c>
      <c r="BA393" t="s">
        <v>965</v>
      </c>
      <c r="BB393" t="s">
        <v>965</v>
      </c>
      <c r="BC393" t="s">
        <v>965</v>
      </c>
      <c r="BD393" t="s">
        <v>965</v>
      </c>
      <c r="BE393" t="s">
        <v>835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49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49</v>
      </c>
      <c r="BR393">
        <v>0</v>
      </c>
      <c r="BS393">
        <v>0</v>
      </c>
      <c r="BT393">
        <v>49</v>
      </c>
      <c r="BU393">
        <v>48</v>
      </c>
      <c r="BV393" s="36">
        <f t="shared" si="3"/>
        <v>0.97959183673469385</v>
      </c>
      <c r="BW393" s="32">
        <v>0.71</v>
      </c>
    </row>
    <row r="394" spans="1:75" x14ac:dyDescent="0.2">
      <c r="A394">
        <v>2025</v>
      </c>
      <c r="B394" s="58" t="s">
        <v>25</v>
      </c>
      <c r="C394" s="58" t="s">
        <v>842</v>
      </c>
      <c r="D394" t="s">
        <v>467</v>
      </c>
      <c r="E394" s="5" t="s">
        <v>845</v>
      </c>
      <c r="F394" s="5" t="s">
        <v>15</v>
      </c>
      <c r="G394" s="6" t="s">
        <v>76</v>
      </c>
      <c r="H394" s="35">
        <v>0.64</v>
      </c>
      <c r="I394" s="35">
        <v>0.42</v>
      </c>
      <c r="J394" s="32">
        <v>0.36</v>
      </c>
      <c r="K394" s="13">
        <v>0.66</v>
      </c>
      <c r="L394" t="s">
        <v>963</v>
      </c>
      <c r="N394" t="s">
        <v>834</v>
      </c>
      <c r="O394" t="s">
        <v>965</v>
      </c>
      <c r="P394" t="s">
        <v>965</v>
      </c>
      <c r="Q394" t="s">
        <v>965</v>
      </c>
      <c r="R394" t="s">
        <v>965</v>
      </c>
      <c r="S394" t="s">
        <v>965</v>
      </c>
      <c r="T394" t="s">
        <v>965</v>
      </c>
      <c r="U394" t="s">
        <v>965</v>
      </c>
      <c r="V394" t="s">
        <v>965</v>
      </c>
      <c r="W394" t="s">
        <v>965</v>
      </c>
      <c r="X394" t="s">
        <v>965</v>
      </c>
      <c r="Y394" t="s">
        <v>965</v>
      </c>
      <c r="Z394" t="s">
        <v>965</v>
      </c>
      <c r="AA394" t="s">
        <v>965</v>
      </c>
      <c r="AB394" t="s">
        <v>965</v>
      </c>
      <c r="AC394" t="s">
        <v>965</v>
      </c>
      <c r="AD394" t="s">
        <v>965</v>
      </c>
      <c r="AE394" t="s">
        <v>965</v>
      </c>
      <c r="AF394" t="s">
        <v>965</v>
      </c>
      <c r="AG394" t="s">
        <v>965</v>
      </c>
      <c r="AH394" t="s">
        <v>965</v>
      </c>
      <c r="AI394" t="s">
        <v>965</v>
      </c>
      <c r="AJ394" t="s">
        <v>965</v>
      </c>
      <c r="AK394" t="s">
        <v>965</v>
      </c>
      <c r="AL394" t="s">
        <v>965</v>
      </c>
      <c r="AM394" t="s">
        <v>965</v>
      </c>
      <c r="AN394" t="s">
        <v>965</v>
      </c>
      <c r="AO394" t="s">
        <v>965</v>
      </c>
      <c r="AP394" t="s">
        <v>965</v>
      </c>
      <c r="AQ394" t="s">
        <v>965</v>
      </c>
      <c r="AR394" t="s">
        <v>965</v>
      </c>
      <c r="AS394" t="s">
        <v>965</v>
      </c>
      <c r="AT394" t="s">
        <v>965</v>
      </c>
      <c r="AU394" t="s">
        <v>965</v>
      </c>
      <c r="AV394" t="s">
        <v>965</v>
      </c>
      <c r="AW394" t="s">
        <v>965</v>
      </c>
      <c r="AX394" t="s">
        <v>965</v>
      </c>
      <c r="AY394" t="s">
        <v>833</v>
      </c>
      <c r="AZ394" t="s">
        <v>965</v>
      </c>
      <c r="BA394" t="s">
        <v>965</v>
      </c>
      <c r="BB394" t="s">
        <v>965</v>
      </c>
      <c r="BC394" t="s">
        <v>965</v>
      </c>
      <c r="BD394" t="s">
        <v>965</v>
      </c>
      <c r="BE394" t="s">
        <v>835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9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9</v>
      </c>
      <c r="BR394">
        <v>0</v>
      </c>
      <c r="BS394">
        <v>0</v>
      </c>
      <c r="BT394">
        <v>9</v>
      </c>
      <c r="BU394">
        <v>3</v>
      </c>
      <c r="BV394" s="36">
        <f t="shared" si="3"/>
        <v>0.33333333333333331</v>
      </c>
      <c r="BW394" s="32">
        <v>0.33</v>
      </c>
    </row>
    <row r="395" spans="1:75" x14ac:dyDescent="0.2">
      <c r="A395">
        <v>2025</v>
      </c>
      <c r="B395" s="58" t="s">
        <v>25</v>
      </c>
      <c r="C395" s="58" t="s">
        <v>842</v>
      </c>
      <c r="D395" t="s">
        <v>297</v>
      </c>
      <c r="E395" s="5" t="s">
        <v>845</v>
      </c>
      <c r="F395" s="5" t="s">
        <v>15</v>
      </c>
      <c r="G395" s="6" t="s">
        <v>558</v>
      </c>
      <c r="H395" s="35">
        <v>0.19</v>
      </c>
      <c r="I395" s="35">
        <v>0.05</v>
      </c>
      <c r="J395" s="32">
        <v>0.78</v>
      </c>
      <c r="K395" s="13">
        <v>0.81</v>
      </c>
      <c r="L395" t="s">
        <v>963</v>
      </c>
      <c r="N395" t="s">
        <v>834</v>
      </c>
      <c r="O395" t="s">
        <v>965</v>
      </c>
      <c r="P395" t="s">
        <v>965</v>
      </c>
      <c r="Q395" t="s">
        <v>965</v>
      </c>
      <c r="R395" t="s">
        <v>965</v>
      </c>
      <c r="S395" t="s">
        <v>965</v>
      </c>
      <c r="T395" t="s">
        <v>965</v>
      </c>
      <c r="U395" t="s">
        <v>965</v>
      </c>
      <c r="V395" t="s">
        <v>965</v>
      </c>
      <c r="W395" t="s">
        <v>965</v>
      </c>
      <c r="X395" t="s">
        <v>965</v>
      </c>
      <c r="Y395" t="s">
        <v>965</v>
      </c>
      <c r="Z395" t="s">
        <v>965</v>
      </c>
      <c r="AA395" t="s">
        <v>965</v>
      </c>
      <c r="AB395" t="s">
        <v>965</v>
      </c>
      <c r="AC395" t="s">
        <v>965</v>
      </c>
      <c r="AD395" t="s">
        <v>965</v>
      </c>
      <c r="AE395" t="s">
        <v>965</v>
      </c>
      <c r="AF395" t="s">
        <v>965</v>
      </c>
      <c r="AG395" t="s">
        <v>965</v>
      </c>
      <c r="AH395" t="s">
        <v>965</v>
      </c>
      <c r="AI395" t="s">
        <v>965</v>
      </c>
      <c r="AJ395" t="s">
        <v>965</v>
      </c>
      <c r="AK395" t="s">
        <v>965</v>
      </c>
      <c r="AL395" t="s">
        <v>965</v>
      </c>
      <c r="AM395" t="s">
        <v>965</v>
      </c>
      <c r="AN395" t="s">
        <v>965</v>
      </c>
      <c r="AO395" t="s">
        <v>965</v>
      </c>
      <c r="AP395" t="s">
        <v>965</v>
      </c>
      <c r="AQ395" t="s">
        <v>965</v>
      </c>
      <c r="AR395" t="s">
        <v>965</v>
      </c>
      <c r="AS395" t="s">
        <v>965</v>
      </c>
      <c r="AT395" t="s">
        <v>965</v>
      </c>
      <c r="AU395" t="s">
        <v>965</v>
      </c>
      <c r="AV395" t="s">
        <v>965</v>
      </c>
      <c r="AW395" t="s">
        <v>965</v>
      </c>
      <c r="AX395" t="s">
        <v>965</v>
      </c>
      <c r="AY395" t="s">
        <v>833</v>
      </c>
      <c r="AZ395" t="s">
        <v>965</v>
      </c>
      <c r="BA395" t="s">
        <v>965</v>
      </c>
      <c r="BB395" t="s">
        <v>965</v>
      </c>
      <c r="BC395" t="s">
        <v>965</v>
      </c>
      <c r="BD395" t="s">
        <v>965</v>
      </c>
      <c r="BE395" t="s">
        <v>835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8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8</v>
      </c>
      <c r="BR395">
        <v>0</v>
      </c>
      <c r="BS395">
        <v>0</v>
      </c>
      <c r="BT395">
        <v>8</v>
      </c>
      <c r="BU395">
        <v>8</v>
      </c>
      <c r="BV395" s="36">
        <f t="shared" si="3"/>
        <v>1</v>
      </c>
      <c r="BW395" s="13">
        <v>0.38</v>
      </c>
    </row>
    <row r="396" spans="1:75" x14ac:dyDescent="0.2">
      <c r="A396">
        <v>2025</v>
      </c>
      <c r="B396" s="58" t="s">
        <v>25</v>
      </c>
      <c r="C396" s="58" t="s">
        <v>989</v>
      </c>
      <c r="D396" t="s">
        <v>1261</v>
      </c>
      <c r="E396" s="5" t="s">
        <v>845</v>
      </c>
      <c r="F396" s="5" t="s">
        <v>15</v>
      </c>
      <c r="H396" s="5"/>
      <c r="I396" s="5"/>
      <c r="J396" s="5"/>
      <c r="K396" s="47" t="s">
        <v>833</v>
      </c>
      <c r="L396" s="47" t="s">
        <v>963</v>
      </c>
      <c r="M396" s="47"/>
      <c r="N396" s="47" t="s">
        <v>834</v>
      </c>
      <c r="O396" s="47" t="s">
        <v>965</v>
      </c>
      <c r="P396" s="47" t="s">
        <v>965</v>
      </c>
      <c r="Q396" s="47" t="s">
        <v>965</v>
      </c>
      <c r="R396" s="47" t="s">
        <v>965</v>
      </c>
      <c r="S396" s="47" t="s">
        <v>965</v>
      </c>
      <c r="T396" s="47" t="s">
        <v>965</v>
      </c>
      <c r="U396" s="47" t="s">
        <v>833</v>
      </c>
      <c r="V396" s="47" t="s">
        <v>965</v>
      </c>
      <c r="W396" s="47" t="s">
        <v>965</v>
      </c>
      <c r="X396" s="47" t="s">
        <v>965</v>
      </c>
      <c r="Y396" s="47" t="s">
        <v>965</v>
      </c>
      <c r="Z396" s="47" t="s">
        <v>965</v>
      </c>
      <c r="AA396" s="47" t="s">
        <v>965</v>
      </c>
      <c r="AB396" s="47" t="s">
        <v>965</v>
      </c>
      <c r="AC396" s="47" t="s">
        <v>965</v>
      </c>
      <c r="AD396" s="47" t="s">
        <v>965</v>
      </c>
      <c r="AE396" s="47" t="s">
        <v>965</v>
      </c>
      <c r="AF396" s="47" t="s">
        <v>965</v>
      </c>
      <c r="AG396" s="47" t="s">
        <v>965</v>
      </c>
      <c r="AH396" s="47" t="s">
        <v>965</v>
      </c>
      <c r="AI396" s="47" t="s">
        <v>965</v>
      </c>
      <c r="AJ396" s="47" t="s">
        <v>965</v>
      </c>
      <c r="AK396" s="47" t="s">
        <v>965</v>
      </c>
      <c r="AL396" s="47" t="s">
        <v>965</v>
      </c>
      <c r="AM396" s="47" t="s">
        <v>965</v>
      </c>
      <c r="AN396" s="47" t="s">
        <v>965</v>
      </c>
      <c r="AO396" s="47" t="s">
        <v>965</v>
      </c>
      <c r="AP396" s="47" t="s">
        <v>965</v>
      </c>
      <c r="AQ396" s="47" t="s">
        <v>965</v>
      </c>
      <c r="AR396" s="47" t="s">
        <v>965</v>
      </c>
      <c r="AS396" s="47" t="s">
        <v>965</v>
      </c>
      <c r="AT396" s="47" t="s">
        <v>965</v>
      </c>
      <c r="AU396" s="47" t="s">
        <v>965</v>
      </c>
      <c r="AV396" s="47" t="s">
        <v>965</v>
      </c>
      <c r="AW396" s="47" t="s">
        <v>965</v>
      </c>
      <c r="AX396" s="47" t="s">
        <v>965</v>
      </c>
      <c r="AY396" s="47" t="s">
        <v>965</v>
      </c>
      <c r="AZ396" s="47" t="s">
        <v>965</v>
      </c>
      <c r="BA396" s="47" t="s">
        <v>965</v>
      </c>
      <c r="BB396" s="47" t="s">
        <v>965</v>
      </c>
      <c r="BC396" s="47" t="s">
        <v>965</v>
      </c>
      <c r="BD396" s="47" t="s">
        <v>965</v>
      </c>
      <c r="BE396" s="47" t="s">
        <v>855</v>
      </c>
      <c r="BF396" s="47">
        <v>28</v>
      </c>
      <c r="BG396" s="47">
        <v>7</v>
      </c>
      <c r="BH396" s="47">
        <v>0</v>
      </c>
      <c r="BI396" s="47">
        <v>0</v>
      </c>
      <c r="BJ396" s="47">
        <v>0</v>
      </c>
      <c r="BK396" s="47">
        <v>0</v>
      </c>
      <c r="BL396" s="47">
        <v>0</v>
      </c>
      <c r="BM396" s="47">
        <v>0</v>
      </c>
      <c r="BN396" s="47">
        <v>0</v>
      </c>
      <c r="BO396" s="47">
        <v>0</v>
      </c>
      <c r="BP396" s="47">
        <v>0</v>
      </c>
      <c r="BQ396" s="47">
        <v>28</v>
      </c>
      <c r="BR396" s="47">
        <v>0</v>
      </c>
      <c r="BS396" s="47">
        <v>0</v>
      </c>
      <c r="BT396" s="47">
        <v>28</v>
      </c>
      <c r="BU396" s="47">
        <v>27</v>
      </c>
      <c r="BV396" s="52">
        <f t="shared" si="3"/>
        <v>0.9642857142857143</v>
      </c>
      <c r="BW396" s="49">
        <v>0.78</v>
      </c>
    </row>
    <row r="397" spans="1:75" x14ac:dyDescent="0.2">
      <c r="B397" s="58" t="s">
        <v>25</v>
      </c>
      <c r="C397" s="58" t="s">
        <v>837</v>
      </c>
      <c r="D397" t="s">
        <v>112</v>
      </c>
      <c r="E397" s="5" t="s">
        <v>845</v>
      </c>
      <c r="F397" s="5" t="s">
        <v>15</v>
      </c>
      <c r="G397" s="6" t="s">
        <v>113</v>
      </c>
      <c r="H397" s="35">
        <v>0.53</v>
      </c>
      <c r="I397" s="35">
        <v>0.05</v>
      </c>
      <c r="J397" s="32">
        <v>0.9</v>
      </c>
      <c r="BW397" s="32">
        <v>0.88</v>
      </c>
    </row>
    <row r="398" spans="1:75" x14ac:dyDescent="0.2">
      <c r="B398" s="58" t="s">
        <v>25</v>
      </c>
      <c r="C398" s="58" t="s">
        <v>847</v>
      </c>
      <c r="D398" t="s">
        <v>1262</v>
      </c>
      <c r="E398" s="5" t="s">
        <v>845</v>
      </c>
      <c r="F398" s="5" t="s">
        <v>15</v>
      </c>
      <c r="G398" s="6" t="s">
        <v>437</v>
      </c>
      <c r="H398" s="35">
        <v>0.31</v>
      </c>
      <c r="I398" s="35">
        <v>0.55000000000000004</v>
      </c>
      <c r="J398" s="32">
        <v>0.26</v>
      </c>
      <c r="BW398" s="32">
        <v>0.37</v>
      </c>
    </row>
    <row r="399" spans="1:75" x14ac:dyDescent="0.2">
      <c r="B399" s="58" t="s">
        <v>25</v>
      </c>
      <c r="C399" s="58" t="s">
        <v>837</v>
      </c>
      <c r="D399" t="s">
        <v>519</v>
      </c>
      <c r="E399" s="5" t="s">
        <v>841</v>
      </c>
      <c r="F399" s="5" t="s">
        <v>58</v>
      </c>
      <c r="G399" s="6" t="s">
        <v>520</v>
      </c>
      <c r="H399" s="35">
        <v>0.6</v>
      </c>
      <c r="I399" s="35">
        <v>0.63</v>
      </c>
      <c r="J399" s="32">
        <v>0</v>
      </c>
      <c r="BW399" s="32">
        <v>0.7</v>
      </c>
    </row>
    <row r="400" spans="1:75" x14ac:dyDescent="0.2">
      <c r="A400">
        <v>2025</v>
      </c>
      <c r="B400" s="58" t="s">
        <v>25</v>
      </c>
      <c r="C400" s="58" t="s">
        <v>842</v>
      </c>
      <c r="D400" t="s">
        <v>1263</v>
      </c>
      <c r="E400" s="5" t="s">
        <v>869</v>
      </c>
      <c r="F400" s="5" t="s">
        <v>20</v>
      </c>
      <c r="H400" s="35"/>
      <c r="I400" s="35"/>
      <c r="J400" s="32"/>
      <c r="BV400" s="36"/>
      <c r="BW400" s="32">
        <v>0.63</v>
      </c>
    </row>
    <row r="401" spans="1:75" x14ac:dyDescent="0.2">
      <c r="A401">
        <v>2025</v>
      </c>
      <c r="B401" s="58" t="s">
        <v>25</v>
      </c>
      <c r="C401" s="58" t="s">
        <v>842</v>
      </c>
      <c r="D401" t="s">
        <v>562</v>
      </c>
      <c r="E401" s="5" t="s">
        <v>877</v>
      </c>
      <c r="F401" s="5" t="s">
        <v>145</v>
      </c>
      <c r="G401" s="6" t="s">
        <v>563</v>
      </c>
      <c r="H401" s="35">
        <v>0.91</v>
      </c>
      <c r="I401" s="35">
        <v>0.38</v>
      </c>
      <c r="J401" s="32">
        <v>0.51</v>
      </c>
      <c r="K401" t="s">
        <v>833</v>
      </c>
      <c r="L401" t="s">
        <v>963</v>
      </c>
      <c r="N401" t="s">
        <v>834</v>
      </c>
      <c r="O401" t="s">
        <v>965</v>
      </c>
      <c r="P401" t="s">
        <v>965</v>
      </c>
      <c r="Q401" t="s">
        <v>965</v>
      </c>
      <c r="R401" t="s">
        <v>965</v>
      </c>
      <c r="S401" t="s">
        <v>965</v>
      </c>
      <c r="T401" t="s">
        <v>965</v>
      </c>
      <c r="U401" t="s">
        <v>965</v>
      </c>
      <c r="V401" t="s">
        <v>965</v>
      </c>
      <c r="W401" t="s">
        <v>965</v>
      </c>
      <c r="X401" t="s">
        <v>965</v>
      </c>
      <c r="Y401" t="s">
        <v>965</v>
      </c>
      <c r="Z401" t="s">
        <v>965</v>
      </c>
      <c r="AA401" t="s">
        <v>965</v>
      </c>
      <c r="AB401" t="s">
        <v>965</v>
      </c>
      <c r="AC401" t="s">
        <v>965</v>
      </c>
      <c r="AD401" t="s">
        <v>965</v>
      </c>
      <c r="AE401" t="s">
        <v>965</v>
      </c>
      <c r="AF401" t="s">
        <v>833</v>
      </c>
      <c r="AG401" t="s">
        <v>965</v>
      </c>
      <c r="AH401" t="s">
        <v>965</v>
      </c>
      <c r="AI401" t="s">
        <v>965</v>
      </c>
      <c r="AJ401" t="s">
        <v>965</v>
      </c>
      <c r="AK401" t="s">
        <v>965</v>
      </c>
      <c r="AL401" t="s">
        <v>965</v>
      </c>
      <c r="AM401" t="s">
        <v>965</v>
      </c>
      <c r="AN401" t="s">
        <v>965</v>
      </c>
      <c r="AO401" t="s">
        <v>965</v>
      </c>
      <c r="AP401" t="s">
        <v>965</v>
      </c>
      <c r="AQ401" t="s">
        <v>965</v>
      </c>
      <c r="AR401" t="s">
        <v>965</v>
      </c>
      <c r="AS401" t="s">
        <v>965</v>
      </c>
      <c r="AT401" t="s">
        <v>965</v>
      </c>
      <c r="AU401" t="s">
        <v>965</v>
      </c>
      <c r="AV401" t="s">
        <v>965</v>
      </c>
      <c r="AW401" t="s">
        <v>965</v>
      </c>
      <c r="AX401" t="s">
        <v>965</v>
      </c>
      <c r="AY401" t="s">
        <v>965</v>
      </c>
      <c r="AZ401" t="s">
        <v>965</v>
      </c>
      <c r="BA401" t="s">
        <v>965</v>
      </c>
      <c r="BB401" t="s">
        <v>965</v>
      </c>
      <c r="BC401" t="s">
        <v>965</v>
      </c>
      <c r="BD401" t="s">
        <v>965</v>
      </c>
      <c r="BE401" t="s">
        <v>835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8</v>
      </c>
      <c r="BL401">
        <v>8</v>
      </c>
      <c r="BM401">
        <v>0</v>
      </c>
      <c r="BN401">
        <v>0</v>
      </c>
      <c r="BO401">
        <v>0</v>
      </c>
      <c r="BP401">
        <v>0</v>
      </c>
      <c r="BQ401">
        <v>8</v>
      </c>
      <c r="BR401">
        <v>0</v>
      </c>
      <c r="BS401">
        <v>0</v>
      </c>
      <c r="BT401">
        <v>8</v>
      </c>
      <c r="BU401">
        <v>8</v>
      </c>
      <c r="BV401" s="36">
        <f t="shared" ref="BV401:BV427" si="4">BU401/BT401</f>
        <v>1</v>
      </c>
      <c r="BW401" s="32">
        <v>0.7</v>
      </c>
    </row>
    <row r="402" spans="1:75" x14ac:dyDescent="0.2">
      <c r="A402">
        <v>2025</v>
      </c>
      <c r="B402" s="58" t="s">
        <v>25</v>
      </c>
      <c r="C402" s="58" t="s">
        <v>866</v>
      </c>
      <c r="D402" t="s">
        <v>1264</v>
      </c>
      <c r="E402" s="5" t="s">
        <v>1004</v>
      </c>
      <c r="F402" s="5" t="s">
        <v>103</v>
      </c>
      <c r="H402" s="5"/>
      <c r="I402" s="5"/>
      <c r="J402" s="5"/>
      <c r="K402" t="s">
        <v>833</v>
      </c>
      <c r="L402" t="s">
        <v>963</v>
      </c>
      <c r="N402" t="s">
        <v>834</v>
      </c>
      <c r="O402" t="s">
        <v>965</v>
      </c>
      <c r="P402" t="s">
        <v>965</v>
      </c>
      <c r="Q402" t="s">
        <v>965</v>
      </c>
      <c r="R402" t="s">
        <v>965</v>
      </c>
      <c r="S402" t="s">
        <v>965</v>
      </c>
      <c r="T402" t="s">
        <v>965</v>
      </c>
      <c r="U402" t="s">
        <v>833</v>
      </c>
      <c r="V402" t="s">
        <v>965</v>
      </c>
      <c r="W402" t="s">
        <v>965</v>
      </c>
      <c r="X402" t="s">
        <v>965</v>
      </c>
      <c r="Y402" t="s">
        <v>965</v>
      </c>
      <c r="Z402" t="s">
        <v>965</v>
      </c>
      <c r="AA402" t="s">
        <v>965</v>
      </c>
      <c r="AB402" t="s">
        <v>965</v>
      </c>
      <c r="AC402" t="s">
        <v>965</v>
      </c>
      <c r="AD402" t="s">
        <v>965</v>
      </c>
      <c r="AE402" t="s">
        <v>965</v>
      </c>
      <c r="AF402" t="s">
        <v>965</v>
      </c>
      <c r="AG402" t="s">
        <v>965</v>
      </c>
      <c r="AH402" t="s">
        <v>965</v>
      </c>
      <c r="AI402" t="s">
        <v>965</v>
      </c>
      <c r="AJ402" t="s">
        <v>965</v>
      </c>
      <c r="AK402" t="s">
        <v>965</v>
      </c>
      <c r="AL402" t="s">
        <v>965</v>
      </c>
      <c r="AM402" t="s">
        <v>965</v>
      </c>
      <c r="AN402" t="s">
        <v>965</v>
      </c>
      <c r="AO402" t="s">
        <v>965</v>
      </c>
      <c r="AP402" t="s">
        <v>965</v>
      </c>
      <c r="AQ402" t="s">
        <v>965</v>
      </c>
      <c r="AR402" t="s">
        <v>965</v>
      </c>
      <c r="AS402" t="s">
        <v>965</v>
      </c>
      <c r="AT402" t="s">
        <v>965</v>
      </c>
      <c r="AU402" t="s">
        <v>965</v>
      </c>
      <c r="AV402" t="s">
        <v>965</v>
      </c>
      <c r="AW402" t="s">
        <v>965</v>
      </c>
      <c r="AX402" t="s">
        <v>965</v>
      </c>
      <c r="AY402" t="s">
        <v>965</v>
      </c>
      <c r="AZ402" t="s">
        <v>965</v>
      </c>
      <c r="BA402" t="s">
        <v>965</v>
      </c>
      <c r="BB402" t="s">
        <v>965</v>
      </c>
      <c r="BC402" t="s">
        <v>965</v>
      </c>
      <c r="BD402" t="s">
        <v>965</v>
      </c>
      <c r="BE402" t="s">
        <v>855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16</v>
      </c>
      <c r="BL402">
        <v>0</v>
      </c>
      <c r="BM402">
        <v>0</v>
      </c>
      <c r="BN402">
        <v>16</v>
      </c>
      <c r="BO402">
        <v>0</v>
      </c>
      <c r="BP402">
        <v>0</v>
      </c>
      <c r="BQ402">
        <v>16</v>
      </c>
      <c r="BR402">
        <v>0</v>
      </c>
      <c r="BS402">
        <v>0</v>
      </c>
      <c r="BT402">
        <v>16</v>
      </c>
      <c r="BU402">
        <v>14</v>
      </c>
      <c r="BV402" s="36">
        <f t="shared" si="4"/>
        <v>0.875</v>
      </c>
      <c r="BW402" s="32">
        <v>0.7</v>
      </c>
    </row>
    <row r="403" spans="1:75" x14ac:dyDescent="0.2">
      <c r="A403">
        <v>2025</v>
      </c>
      <c r="B403" s="58" t="s">
        <v>25</v>
      </c>
      <c r="C403" s="58" t="s">
        <v>966</v>
      </c>
      <c r="D403" t="s">
        <v>1265</v>
      </c>
      <c r="E403" s="5" t="s">
        <v>1010</v>
      </c>
      <c r="F403" s="5" t="s">
        <v>23</v>
      </c>
      <c r="G403" s="6" t="s">
        <v>451</v>
      </c>
      <c r="H403" s="35">
        <v>0.25</v>
      </c>
      <c r="I403" s="35">
        <v>0.35</v>
      </c>
      <c r="J403" s="32">
        <v>0.71</v>
      </c>
      <c r="K403" t="s">
        <v>833</v>
      </c>
      <c r="L403" t="s">
        <v>963</v>
      </c>
      <c r="N403" t="s">
        <v>834</v>
      </c>
      <c r="O403" t="s">
        <v>965</v>
      </c>
      <c r="P403" t="s">
        <v>965</v>
      </c>
      <c r="Q403" t="s">
        <v>965</v>
      </c>
      <c r="R403" t="s">
        <v>965</v>
      </c>
      <c r="S403" t="s">
        <v>965</v>
      </c>
      <c r="T403" t="s">
        <v>965</v>
      </c>
      <c r="U403" t="s">
        <v>965</v>
      </c>
      <c r="V403" t="s">
        <v>965</v>
      </c>
      <c r="W403" t="s">
        <v>965</v>
      </c>
      <c r="X403" t="s">
        <v>965</v>
      </c>
      <c r="Y403" t="s">
        <v>965</v>
      </c>
      <c r="Z403" t="s">
        <v>965</v>
      </c>
      <c r="AA403" t="s">
        <v>965</v>
      </c>
      <c r="AB403" t="s">
        <v>965</v>
      </c>
      <c r="AC403" t="s">
        <v>965</v>
      </c>
      <c r="AD403" t="s">
        <v>965</v>
      </c>
      <c r="AE403" t="s">
        <v>965</v>
      </c>
      <c r="AF403" t="s">
        <v>965</v>
      </c>
      <c r="AG403" t="s">
        <v>965</v>
      </c>
      <c r="AH403" t="s">
        <v>965</v>
      </c>
      <c r="AI403" t="s">
        <v>965</v>
      </c>
      <c r="AJ403" t="s">
        <v>965</v>
      </c>
      <c r="AK403" t="s">
        <v>965</v>
      </c>
      <c r="AL403" t="s">
        <v>965</v>
      </c>
      <c r="AM403" t="s">
        <v>965</v>
      </c>
      <c r="AN403" t="s">
        <v>965</v>
      </c>
      <c r="AO403" t="s">
        <v>965</v>
      </c>
      <c r="AP403" t="s">
        <v>965</v>
      </c>
      <c r="AQ403" t="s">
        <v>965</v>
      </c>
      <c r="AR403" t="s">
        <v>965</v>
      </c>
      <c r="AS403" t="s">
        <v>965</v>
      </c>
      <c r="AT403" t="s">
        <v>965</v>
      </c>
      <c r="AU403" t="s">
        <v>965</v>
      </c>
      <c r="AV403" t="s">
        <v>965</v>
      </c>
      <c r="AW403" t="s">
        <v>965</v>
      </c>
      <c r="AX403" t="s">
        <v>965</v>
      </c>
      <c r="AY403" t="s">
        <v>965</v>
      </c>
      <c r="AZ403" t="s">
        <v>965</v>
      </c>
      <c r="BA403" t="s">
        <v>833</v>
      </c>
      <c r="BB403" t="s">
        <v>965</v>
      </c>
      <c r="BC403" t="s">
        <v>965</v>
      </c>
      <c r="BD403" t="s">
        <v>965</v>
      </c>
      <c r="BE403" t="s">
        <v>835</v>
      </c>
      <c r="BF403">
        <v>21</v>
      </c>
      <c r="BG403">
        <v>7</v>
      </c>
      <c r="BH403">
        <v>0</v>
      </c>
      <c r="BI403">
        <v>0</v>
      </c>
      <c r="BJ403">
        <v>21</v>
      </c>
      <c r="BK403">
        <v>3</v>
      </c>
      <c r="BL403">
        <v>0</v>
      </c>
      <c r="BM403">
        <v>0</v>
      </c>
      <c r="BN403">
        <v>3</v>
      </c>
      <c r="BO403">
        <v>0</v>
      </c>
      <c r="BP403">
        <v>0</v>
      </c>
      <c r="BQ403">
        <v>24</v>
      </c>
      <c r="BR403">
        <v>0</v>
      </c>
      <c r="BS403">
        <v>0</v>
      </c>
      <c r="BT403">
        <v>24</v>
      </c>
      <c r="BU403">
        <v>12</v>
      </c>
      <c r="BV403" s="36">
        <f t="shared" si="4"/>
        <v>0.5</v>
      </c>
      <c r="BW403" s="32">
        <v>0.81</v>
      </c>
    </row>
    <row r="404" spans="1:75" x14ac:dyDescent="0.2">
      <c r="A404">
        <v>2025</v>
      </c>
      <c r="B404" s="58" t="s">
        <v>25</v>
      </c>
      <c r="C404" s="58" t="s">
        <v>966</v>
      </c>
      <c r="D404" t="s">
        <v>1266</v>
      </c>
      <c r="E404" s="5" t="s">
        <v>1018</v>
      </c>
      <c r="F404" s="5" t="s">
        <v>45</v>
      </c>
      <c r="I404" s="5"/>
      <c r="J404" s="5"/>
      <c r="K404" t="s">
        <v>833</v>
      </c>
      <c r="L404" t="s">
        <v>963</v>
      </c>
      <c r="N404" t="s">
        <v>834</v>
      </c>
      <c r="O404" t="s">
        <v>965</v>
      </c>
      <c r="P404" t="s">
        <v>965</v>
      </c>
      <c r="Q404" t="s">
        <v>965</v>
      </c>
      <c r="R404" t="s">
        <v>965</v>
      </c>
      <c r="S404" t="s">
        <v>965</v>
      </c>
      <c r="T404" t="s">
        <v>965</v>
      </c>
      <c r="U404" t="s">
        <v>833</v>
      </c>
      <c r="V404" t="s">
        <v>965</v>
      </c>
      <c r="W404" t="s">
        <v>965</v>
      </c>
      <c r="X404" t="s">
        <v>965</v>
      </c>
      <c r="Y404" t="s">
        <v>965</v>
      </c>
      <c r="Z404" t="s">
        <v>965</v>
      </c>
      <c r="AA404" t="s">
        <v>965</v>
      </c>
      <c r="AB404" t="s">
        <v>965</v>
      </c>
      <c r="AC404" t="s">
        <v>965</v>
      </c>
      <c r="AD404" t="s">
        <v>965</v>
      </c>
      <c r="AE404" t="s">
        <v>965</v>
      </c>
      <c r="AF404" t="s">
        <v>965</v>
      </c>
      <c r="AG404" t="s">
        <v>965</v>
      </c>
      <c r="AH404" t="s">
        <v>965</v>
      </c>
      <c r="AI404" t="s">
        <v>965</v>
      </c>
      <c r="AJ404" t="s">
        <v>965</v>
      </c>
      <c r="AK404" t="s">
        <v>965</v>
      </c>
      <c r="AL404" t="s">
        <v>965</v>
      </c>
      <c r="AM404" t="s">
        <v>965</v>
      </c>
      <c r="AN404" t="s">
        <v>965</v>
      </c>
      <c r="AO404" t="s">
        <v>965</v>
      </c>
      <c r="AP404" t="s">
        <v>965</v>
      </c>
      <c r="AQ404" t="s">
        <v>965</v>
      </c>
      <c r="AR404" t="s">
        <v>965</v>
      </c>
      <c r="AS404" t="s">
        <v>965</v>
      </c>
      <c r="AT404" t="s">
        <v>965</v>
      </c>
      <c r="AU404" t="s">
        <v>965</v>
      </c>
      <c r="AV404" t="s">
        <v>965</v>
      </c>
      <c r="AW404" t="s">
        <v>965</v>
      </c>
      <c r="AX404" t="s">
        <v>965</v>
      </c>
      <c r="AY404" t="s">
        <v>965</v>
      </c>
      <c r="AZ404" t="s">
        <v>965</v>
      </c>
      <c r="BA404" t="s">
        <v>965</v>
      </c>
      <c r="BB404" t="s">
        <v>965</v>
      </c>
      <c r="BC404" t="s">
        <v>965</v>
      </c>
      <c r="BD404" t="s">
        <v>965</v>
      </c>
      <c r="BE404" t="s">
        <v>887</v>
      </c>
      <c r="BF404">
        <v>33</v>
      </c>
      <c r="BG404">
        <v>8</v>
      </c>
      <c r="BH404">
        <v>0</v>
      </c>
      <c r="BI404">
        <v>0</v>
      </c>
      <c r="BJ404">
        <v>0</v>
      </c>
      <c r="BK404">
        <v>10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43</v>
      </c>
      <c r="BR404">
        <v>0</v>
      </c>
      <c r="BS404">
        <v>0</v>
      </c>
      <c r="BT404">
        <v>43</v>
      </c>
      <c r="BU404">
        <v>43</v>
      </c>
      <c r="BV404" s="36">
        <f t="shared" si="4"/>
        <v>1</v>
      </c>
      <c r="BW404" s="32">
        <v>0.86</v>
      </c>
    </row>
    <row r="405" spans="1:75" x14ac:dyDescent="0.2">
      <c r="A405">
        <v>2025</v>
      </c>
      <c r="B405" s="58" t="s">
        <v>25</v>
      </c>
      <c r="C405" s="58" t="s">
        <v>847</v>
      </c>
      <c r="D405" t="s">
        <v>37</v>
      </c>
      <c r="E405" s="5" t="s">
        <v>882</v>
      </c>
      <c r="F405" s="5" t="s">
        <v>30</v>
      </c>
      <c r="G405" s="6" t="s">
        <v>38</v>
      </c>
      <c r="H405" s="35">
        <v>0.04</v>
      </c>
      <c r="I405" s="35">
        <v>0.85</v>
      </c>
      <c r="J405" s="32">
        <v>0.56000000000000005</v>
      </c>
      <c r="K405" t="s">
        <v>833</v>
      </c>
      <c r="L405" t="s">
        <v>963</v>
      </c>
      <c r="N405" t="s">
        <v>834</v>
      </c>
      <c r="O405" t="s">
        <v>965</v>
      </c>
      <c r="P405" t="s">
        <v>965</v>
      </c>
      <c r="Q405" t="s">
        <v>965</v>
      </c>
      <c r="R405" t="s">
        <v>965</v>
      </c>
      <c r="S405" t="s">
        <v>965</v>
      </c>
      <c r="T405" t="s">
        <v>965</v>
      </c>
      <c r="U405" t="s">
        <v>965</v>
      </c>
      <c r="V405" t="s">
        <v>965</v>
      </c>
      <c r="W405" t="s">
        <v>965</v>
      </c>
      <c r="X405" t="s">
        <v>965</v>
      </c>
      <c r="Y405" t="s">
        <v>965</v>
      </c>
      <c r="Z405" t="s">
        <v>965</v>
      </c>
      <c r="AA405" t="s">
        <v>965</v>
      </c>
      <c r="AB405" t="s">
        <v>965</v>
      </c>
      <c r="AC405" t="s">
        <v>965</v>
      </c>
      <c r="AD405" t="s">
        <v>965</v>
      </c>
      <c r="AE405" t="s">
        <v>965</v>
      </c>
      <c r="AF405" t="s">
        <v>965</v>
      </c>
      <c r="AG405" t="s">
        <v>965</v>
      </c>
      <c r="AH405" t="s">
        <v>965</v>
      </c>
      <c r="AI405" t="s">
        <v>965</v>
      </c>
      <c r="AJ405" t="s">
        <v>965</v>
      </c>
      <c r="AK405" t="s">
        <v>965</v>
      </c>
      <c r="AL405" t="s">
        <v>965</v>
      </c>
      <c r="AM405" t="s">
        <v>965</v>
      </c>
      <c r="AN405" t="s">
        <v>965</v>
      </c>
      <c r="AO405" t="s">
        <v>965</v>
      </c>
      <c r="AP405" t="s">
        <v>965</v>
      </c>
      <c r="AQ405" t="s">
        <v>965</v>
      </c>
      <c r="AR405" t="s">
        <v>965</v>
      </c>
      <c r="AS405" t="s">
        <v>965</v>
      </c>
      <c r="AT405" t="s">
        <v>965</v>
      </c>
      <c r="AU405" t="s">
        <v>965</v>
      </c>
      <c r="AV405" t="s">
        <v>965</v>
      </c>
      <c r="AW405" t="s">
        <v>965</v>
      </c>
      <c r="AX405" t="s">
        <v>965</v>
      </c>
      <c r="AY405" t="s">
        <v>965</v>
      </c>
      <c r="AZ405" t="s">
        <v>965</v>
      </c>
      <c r="BA405" t="s">
        <v>965</v>
      </c>
      <c r="BB405" t="s">
        <v>965</v>
      </c>
      <c r="BC405" t="s">
        <v>965</v>
      </c>
      <c r="BD405" t="s">
        <v>965</v>
      </c>
      <c r="BE405" t="s">
        <v>835</v>
      </c>
      <c r="BF405">
        <v>6</v>
      </c>
      <c r="BG405">
        <v>2</v>
      </c>
      <c r="BH405">
        <v>0</v>
      </c>
      <c r="BI405">
        <v>0</v>
      </c>
      <c r="BJ405">
        <v>6</v>
      </c>
      <c r="BK405">
        <v>18</v>
      </c>
      <c r="BL405">
        <v>0</v>
      </c>
      <c r="BM405">
        <v>0</v>
      </c>
      <c r="BN405">
        <v>18</v>
      </c>
      <c r="BO405">
        <v>0</v>
      </c>
      <c r="BP405">
        <v>0</v>
      </c>
      <c r="BQ405">
        <v>24</v>
      </c>
      <c r="BR405">
        <v>0</v>
      </c>
      <c r="BS405">
        <v>0</v>
      </c>
      <c r="BT405">
        <v>59</v>
      </c>
      <c r="BU405">
        <v>20</v>
      </c>
      <c r="BV405" s="36">
        <f t="shared" si="4"/>
        <v>0.33898305084745761</v>
      </c>
      <c r="BW405" s="32">
        <v>0.81</v>
      </c>
    </row>
    <row r="406" spans="1:75" x14ac:dyDescent="0.2">
      <c r="A406">
        <v>2025</v>
      </c>
      <c r="B406" s="58" t="s">
        <v>25</v>
      </c>
      <c r="C406" s="58" t="s">
        <v>842</v>
      </c>
      <c r="D406" t="s">
        <v>883</v>
      </c>
      <c r="E406" s="5" t="s">
        <v>882</v>
      </c>
      <c r="F406" s="5" t="s">
        <v>30</v>
      </c>
      <c r="G406" s="6" t="s">
        <v>395</v>
      </c>
      <c r="H406" s="35">
        <v>0.55000000000000004</v>
      </c>
      <c r="I406" s="35">
        <v>0.63</v>
      </c>
      <c r="J406" s="32">
        <v>0.5</v>
      </c>
      <c r="K406" t="s">
        <v>833</v>
      </c>
      <c r="L406" t="s">
        <v>963</v>
      </c>
      <c r="N406" t="s">
        <v>834</v>
      </c>
      <c r="O406" t="s">
        <v>965</v>
      </c>
      <c r="P406" t="s">
        <v>965</v>
      </c>
      <c r="Q406" t="s">
        <v>965</v>
      </c>
      <c r="R406" t="s">
        <v>965</v>
      </c>
      <c r="S406" t="s">
        <v>965</v>
      </c>
      <c r="T406" t="s">
        <v>965</v>
      </c>
      <c r="U406" t="s">
        <v>965</v>
      </c>
      <c r="V406" t="s">
        <v>965</v>
      </c>
      <c r="W406" t="s">
        <v>965</v>
      </c>
      <c r="X406" t="s">
        <v>965</v>
      </c>
      <c r="Y406" t="s">
        <v>965</v>
      </c>
      <c r="Z406" t="s">
        <v>965</v>
      </c>
      <c r="AA406" t="s">
        <v>965</v>
      </c>
      <c r="AB406" t="s">
        <v>965</v>
      </c>
      <c r="AC406" t="s">
        <v>965</v>
      </c>
      <c r="AD406" t="s">
        <v>965</v>
      </c>
      <c r="AE406" t="s">
        <v>965</v>
      </c>
      <c r="AF406" t="s">
        <v>833</v>
      </c>
      <c r="AG406" t="s">
        <v>965</v>
      </c>
      <c r="AH406" t="s">
        <v>965</v>
      </c>
      <c r="AI406" t="s">
        <v>965</v>
      </c>
      <c r="AJ406" t="s">
        <v>965</v>
      </c>
      <c r="AK406" t="s">
        <v>965</v>
      </c>
      <c r="AL406" t="s">
        <v>965</v>
      </c>
      <c r="AM406" t="s">
        <v>965</v>
      </c>
      <c r="AN406" t="s">
        <v>965</v>
      </c>
      <c r="AO406" t="s">
        <v>965</v>
      </c>
      <c r="AP406" t="s">
        <v>965</v>
      </c>
      <c r="AQ406" t="s">
        <v>965</v>
      </c>
      <c r="AR406" t="s">
        <v>965</v>
      </c>
      <c r="AS406" t="s">
        <v>965</v>
      </c>
      <c r="AT406" t="s">
        <v>965</v>
      </c>
      <c r="AU406" t="s">
        <v>965</v>
      </c>
      <c r="AV406" t="s">
        <v>965</v>
      </c>
      <c r="AW406" t="s">
        <v>965</v>
      </c>
      <c r="AX406" t="s">
        <v>965</v>
      </c>
      <c r="AY406" t="s">
        <v>965</v>
      </c>
      <c r="AZ406" t="s">
        <v>965</v>
      </c>
      <c r="BA406" t="s">
        <v>965</v>
      </c>
      <c r="BB406" t="s">
        <v>965</v>
      </c>
      <c r="BC406" t="s">
        <v>965</v>
      </c>
      <c r="BD406" t="s">
        <v>965</v>
      </c>
      <c r="BE406" t="s">
        <v>835</v>
      </c>
      <c r="BF406">
        <v>20</v>
      </c>
      <c r="BG406">
        <v>4</v>
      </c>
      <c r="BH406">
        <v>20</v>
      </c>
      <c r="BI406">
        <v>0</v>
      </c>
      <c r="BJ406">
        <v>0</v>
      </c>
      <c r="BK406">
        <v>11</v>
      </c>
      <c r="BL406">
        <v>11</v>
      </c>
      <c r="BM406">
        <v>0</v>
      </c>
      <c r="BN406">
        <v>0</v>
      </c>
      <c r="BO406">
        <v>0</v>
      </c>
      <c r="BP406">
        <v>0</v>
      </c>
      <c r="BQ406">
        <v>31</v>
      </c>
      <c r="BR406">
        <v>0</v>
      </c>
      <c r="BS406">
        <v>0</v>
      </c>
      <c r="BT406">
        <v>31</v>
      </c>
      <c r="BU406">
        <v>19</v>
      </c>
      <c r="BV406" s="36">
        <f t="shared" si="4"/>
        <v>0.61290322580645162</v>
      </c>
      <c r="BW406" s="13">
        <v>0.79</v>
      </c>
    </row>
    <row r="407" spans="1:75" x14ac:dyDescent="0.2">
      <c r="A407">
        <v>2025</v>
      </c>
      <c r="B407" s="58" t="s">
        <v>25</v>
      </c>
      <c r="C407" s="58" t="s">
        <v>839</v>
      </c>
      <c r="D407" t="s">
        <v>689</v>
      </c>
      <c r="E407" s="5" t="s">
        <v>871</v>
      </c>
      <c r="F407" s="5" t="s">
        <v>335</v>
      </c>
      <c r="G407" s="6" t="s">
        <v>432</v>
      </c>
      <c r="H407" s="35">
        <v>0.34</v>
      </c>
      <c r="I407" s="35">
        <v>0.85</v>
      </c>
      <c r="J407" s="32">
        <v>7.0000000000000007E-2</v>
      </c>
      <c r="K407" s="47" t="s">
        <v>833</v>
      </c>
      <c r="L407" s="47" t="s">
        <v>963</v>
      </c>
      <c r="M407" s="47"/>
      <c r="N407" s="47" t="s">
        <v>834</v>
      </c>
      <c r="O407" s="47" t="s">
        <v>965</v>
      </c>
      <c r="P407" s="47" t="s">
        <v>965</v>
      </c>
      <c r="Q407" s="47" t="s">
        <v>965</v>
      </c>
      <c r="R407" s="47" t="s">
        <v>965</v>
      </c>
      <c r="S407" s="47" t="s">
        <v>965</v>
      </c>
      <c r="T407" s="47" t="s">
        <v>965</v>
      </c>
      <c r="U407" s="47" t="s">
        <v>965</v>
      </c>
      <c r="V407" s="47" t="s">
        <v>965</v>
      </c>
      <c r="W407" s="47" t="s">
        <v>965</v>
      </c>
      <c r="X407" s="47" t="s">
        <v>965</v>
      </c>
      <c r="Y407" s="47" t="s">
        <v>965</v>
      </c>
      <c r="Z407" s="47" t="s">
        <v>965</v>
      </c>
      <c r="AA407" s="47" t="s">
        <v>965</v>
      </c>
      <c r="AB407" s="47" t="s">
        <v>965</v>
      </c>
      <c r="AC407" s="47" t="s">
        <v>965</v>
      </c>
      <c r="AD407" s="47" t="s">
        <v>965</v>
      </c>
      <c r="AE407" s="47" t="s">
        <v>965</v>
      </c>
      <c r="AF407" s="47" t="s">
        <v>965</v>
      </c>
      <c r="AG407" s="47" t="s">
        <v>965</v>
      </c>
      <c r="AH407" s="47" t="s">
        <v>965</v>
      </c>
      <c r="AI407" s="47" t="s">
        <v>965</v>
      </c>
      <c r="AJ407" s="47" t="s">
        <v>965</v>
      </c>
      <c r="AK407" s="47" t="s">
        <v>965</v>
      </c>
      <c r="AL407" s="47" t="s">
        <v>965</v>
      </c>
      <c r="AM407" s="47" t="s">
        <v>965</v>
      </c>
      <c r="AN407" s="47" t="s">
        <v>965</v>
      </c>
      <c r="AO407" s="47" t="s">
        <v>965</v>
      </c>
      <c r="AP407" s="47" t="s">
        <v>965</v>
      </c>
      <c r="AQ407" s="47" t="s">
        <v>965</v>
      </c>
      <c r="AR407" s="47" t="s">
        <v>965</v>
      </c>
      <c r="AS407" s="47" t="s">
        <v>965</v>
      </c>
      <c r="AT407" s="47" t="s">
        <v>965</v>
      </c>
      <c r="AU407" s="47" t="s">
        <v>965</v>
      </c>
      <c r="AV407" s="47" t="s">
        <v>965</v>
      </c>
      <c r="AW407" s="47" t="s">
        <v>965</v>
      </c>
      <c r="AX407" s="47" t="s">
        <v>965</v>
      </c>
      <c r="AY407" s="47" t="s">
        <v>965</v>
      </c>
      <c r="AZ407" s="47" t="s">
        <v>965</v>
      </c>
      <c r="BA407" s="47" t="s">
        <v>965</v>
      </c>
      <c r="BB407" s="47" t="s">
        <v>965</v>
      </c>
      <c r="BC407" s="47" t="s">
        <v>833</v>
      </c>
      <c r="BD407" s="47" t="s">
        <v>965</v>
      </c>
      <c r="BE407" s="47" t="s">
        <v>835</v>
      </c>
      <c r="BF407" s="47">
        <v>0</v>
      </c>
      <c r="BG407" s="47">
        <v>0</v>
      </c>
      <c r="BH407" s="47">
        <v>0</v>
      </c>
      <c r="BI407" s="47">
        <v>0</v>
      </c>
      <c r="BJ407" s="47">
        <v>0</v>
      </c>
      <c r="BK407" s="47">
        <v>7</v>
      </c>
      <c r="BL407" s="47">
        <v>0</v>
      </c>
      <c r="BM407" s="47">
        <v>0</v>
      </c>
      <c r="BN407" s="47">
        <v>0</v>
      </c>
      <c r="BO407" s="47">
        <v>0</v>
      </c>
      <c r="BP407" s="47">
        <v>0</v>
      </c>
      <c r="BQ407" s="47">
        <v>7</v>
      </c>
      <c r="BR407" s="47">
        <v>0</v>
      </c>
      <c r="BS407" s="47">
        <v>0</v>
      </c>
      <c r="BT407" s="47">
        <v>7</v>
      </c>
      <c r="BU407" s="47">
        <v>6</v>
      </c>
      <c r="BV407" s="52">
        <f t="shared" si="4"/>
        <v>0.8571428571428571</v>
      </c>
      <c r="BW407" s="49">
        <v>0.76</v>
      </c>
    </row>
    <row r="408" spans="1:75" x14ac:dyDescent="0.2">
      <c r="A408">
        <v>2025</v>
      </c>
      <c r="B408" s="58" t="s">
        <v>25</v>
      </c>
      <c r="C408" s="58" t="s">
        <v>842</v>
      </c>
      <c r="D408" t="s">
        <v>1267</v>
      </c>
      <c r="E408" s="5" t="s">
        <v>1268</v>
      </c>
      <c r="F408" s="5" t="s">
        <v>273</v>
      </c>
      <c r="H408" s="5"/>
      <c r="I408" s="5"/>
      <c r="J408" s="5"/>
      <c r="K408" t="s">
        <v>833</v>
      </c>
      <c r="L408" t="s">
        <v>963</v>
      </c>
      <c r="N408" t="s">
        <v>834</v>
      </c>
      <c r="O408" t="s">
        <v>965</v>
      </c>
      <c r="P408" t="s">
        <v>965</v>
      </c>
      <c r="Q408" t="s">
        <v>965</v>
      </c>
      <c r="R408" t="s">
        <v>965</v>
      </c>
      <c r="S408" t="s">
        <v>965</v>
      </c>
      <c r="T408" t="s">
        <v>965</v>
      </c>
      <c r="U408" t="s">
        <v>965</v>
      </c>
      <c r="V408" t="s">
        <v>965</v>
      </c>
      <c r="W408" t="s">
        <v>965</v>
      </c>
      <c r="X408" t="s">
        <v>965</v>
      </c>
      <c r="Y408" t="s">
        <v>965</v>
      </c>
      <c r="Z408" t="s">
        <v>965</v>
      </c>
      <c r="AA408" t="s">
        <v>965</v>
      </c>
      <c r="AB408" t="s">
        <v>965</v>
      </c>
      <c r="AC408" t="s">
        <v>965</v>
      </c>
      <c r="AD408" t="s">
        <v>965</v>
      </c>
      <c r="AE408" t="s">
        <v>965</v>
      </c>
      <c r="AF408" t="s">
        <v>833</v>
      </c>
      <c r="AG408" t="s">
        <v>965</v>
      </c>
      <c r="AH408" t="s">
        <v>965</v>
      </c>
      <c r="AI408" t="s">
        <v>965</v>
      </c>
      <c r="AJ408" t="s">
        <v>965</v>
      </c>
      <c r="AK408" t="s">
        <v>965</v>
      </c>
      <c r="AL408" t="s">
        <v>965</v>
      </c>
      <c r="AM408" t="s">
        <v>965</v>
      </c>
      <c r="AN408" t="s">
        <v>965</v>
      </c>
      <c r="AO408" t="s">
        <v>965</v>
      </c>
      <c r="AP408" t="s">
        <v>965</v>
      </c>
      <c r="AQ408" t="s">
        <v>965</v>
      </c>
      <c r="AR408" t="s">
        <v>965</v>
      </c>
      <c r="AS408" t="s">
        <v>965</v>
      </c>
      <c r="AT408" t="s">
        <v>965</v>
      </c>
      <c r="AU408" t="s">
        <v>965</v>
      </c>
      <c r="AV408" t="s">
        <v>965</v>
      </c>
      <c r="AW408" t="s">
        <v>965</v>
      </c>
      <c r="AX408" t="s">
        <v>965</v>
      </c>
      <c r="AY408" t="s">
        <v>965</v>
      </c>
      <c r="AZ408" t="s">
        <v>965</v>
      </c>
      <c r="BA408" t="s">
        <v>965</v>
      </c>
      <c r="BB408" t="s">
        <v>965</v>
      </c>
      <c r="BC408" t="s">
        <v>965</v>
      </c>
      <c r="BD408" t="s">
        <v>965</v>
      </c>
      <c r="BE408" t="s">
        <v>835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6</v>
      </c>
      <c r="BL408">
        <v>6</v>
      </c>
      <c r="BM408">
        <v>0</v>
      </c>
      <c r="BN408">
        <v>0</v>
      </c>
      <c r="BO408">
        <v>0</v>
      </c>
      <c r="BP408">
        <v>0</v>
      </c>
      <c r="BQ408">
        <v>6</v>
      </c>
      <c r="BR408">
        <v>0</v>
      </c>
      <c r="BS408">
        <v>0</v>
      </c>
      <c r="BT408">
        <v>6</v>
      </c>
      <c r="BU408">
        <v>6</v>
      </c>
      <c r="BV408" s="36">
        <f t="shared" si="4"/>
        <v>1</v>
      </c>
      <c r="BW408" s="32">
        <v>0.86</v>
      </c>
    </row>
    <row r="409" spans="1:75" x14ac:dyDescent="0.2">
      <c r="B409" s="58" t="s">
        <v>25</v>
      </c>
      <c r="C409" s="58" t="s">
        <v>894</v>
      </c>
      <c r="D409" t="s">
        <v>692</v>
      </c>
      <c r="E409" s="5" t="s">
        <v>893</v>
      </c>
      <c r="F409" s="5" t="s">
        <v>95</v>
      </c>
      <c r="G409" s="6" t="s">
        <v>549</v>
      </c>
      <c r="H409" s="35">
        <v>0.38</v>
      </c>
      <c r="I409" s="35">
        <v>0.26</v>
      </c>
      <c r="J409" s="32">
        <v>0.69</v>
      </c>
      <c r="K409" t="s">
        <v>833</v>
      </c>
      <c r="L409" t="s">
        <v>963</v>
      </c>
      <c r="N409" t="s">
        <v>834</v>
      </c>
      <c r="O409" t="s">
        <v>965</v>
      </c>
      <c r="P409" t="s">
        <v>965</v>
      </c>
      <c r="Q409" t="s">
        <v>965</v>
      </c>
      <c r="R409" t="s">
        <v>965</v>
      </c>
      <c r="S409" t="s">
        <v>965</v>
      </c>
      <c r="T409" t="s">
        <v>965</v>
      </c>
      <c r="U409" t="s">
        <v>965</v>
      </c>
      <c r="V409" t="s">
        <v>965</v>
      </c>
      <c r="W409" t="s">
        <v>965</v>
      </c>
      <c r="X409" t="s">
        <v>965</v>
      </c>
      <c r="Y409" t="s">
        <v>965</v>
      </c>
      <c r="Z409" t="s">
        <v>965</v>
      </c>
      <c r="AA409" t="s">
        <v>965</v>
      </c>
      <c r="AB409" t="s">
        <v>965</v>
      </c>
      <c r="AC409" t="s">
        <v>965</v>
      </c>
      <c r="AD409" t="s">
        <v>965</v>
      </c>
      <c r="AE409" t="s">
        <v>965</v>
      </c>
      <c r="AF409" t="s">
        <v>965</v>
      </c>
      <c r="AG409" t="s">
        <v>965</v>
      </c>
      <c r="AH409" t="s">
        <v>965</v>
      </c>
      <c r="AI409" t="s">
        <v>965</v>
      </c>
      <c r="AJ409" t="s">
        <v>965</v>
      </c>
      <c r="AK409" t="s">
        <v>965</v>
      </c>
      <c r="AL409" t="s">
        <v>965</v>
      </c>
      <c r="AM409" t="s">
        <v>965</v>
      </c>
      <c r="AN409" t="s">
        <v>965</v>
      </c>
      <c r="AO409" t="s">
        <v>965</v>
      </c>
      <c r="AP409" t="s">
        <v>965</v>
      </c>
      <c r="AQ409" t="s">
        <v>965</v>
      </c>
      <c r="AR409" t="s">
        <v>965</v>
      </c>
      <c r="AS409" t="s">
        <v>965</v>
      </c>
      <c r="AT409" t="s">
        <v>965</v>
      </c>
      <c r="AU409" t="s">
        <v>965</v>
      </c>
      <c r="AV409" t="s">
        <v>965</v>
      </c>
      <c r="AW409" t="s">
        <v>965</v>
      </c>
      <c r="AX409" t="s">
        <v>965</v>
      </c>
      <c r="AY409" t="s">
        <v>833</v>
      </c>
      <c r="AZ409" t="s">
        <v>965</v>
      </c>
      <c r="BA409" t="s">
        <v>965</v>
      </c>
      <c r="BB409" t="s">
        <v>965</v>
      </c>
      <c r="BC409" t="s">
        <v>833</v>
      </c>
      <c r="BD409" t="s">
        <v>965</v>
      </c>
      <c r="BE409" t="s">
        <v>835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19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19</v>
      </c>
      <c r="BR409">
        <v>0</v>
      </c>
      <c r="BS409">
        <v>0</v>
      </c>
      <c r="BU409">
        <v>19</v>
      </c>
      <c r="BV409" s="36" t="e">
        <f t="shared" si="4"/>
        <v>#DIV/0!</v>
      </c>
      <c r="BW409" s="32">
        <v>0.44</v>
      </c>
    </row>
    <row r="410" spans="1:75" x14ac:dyDescent="0.2">
      <c r="A410">
        <v>2025</v>
      </c>
      <c r="B410" s="58" t="s">
        <v>25</v>
      </c>
      <c r="C410" s="58" t="s">
        <v>861</v>
      </c>
      <c r="D410" t="s">
        <v>370</v>
      </c>
      <c r="E410" s="5" t="s">
        <v>860</v>
      </c>
      <c r="F410" s="5" t="s">
        <v>90</v>
      </c>
      <c r="H410" s="5"/>
      <c r="I410" s="5"/>
      <c r="J410" s="5"/>
      <c r="K410" t="s">
        <v>833</v>
      </c>
      <c r="L410" t="s">
        <v>963</v>
      </c>
      <c r="N410" t="s">
        <v>834</v>
      </c>
      <c r="O410" t="s">
        <v>965</v>
      </c>
      <c r="P410" t="s">
        <v>965</v>
      </c>
      <c r="Q410" t="s">
        <v>965</v>
      </c>
      <c r="R410" t="s">
        <v>965</v>
      </c>
      <c r="S410" t="s">
        <v>965</v>
      </c>
      <c r="T410" t="s">
        <v>965</v>
      </c>
      <c r="U410" t="s">
        <v>833</v>
      </c>
      <c r="V410" t="s">
        <v>965</v>
      </c>
      <c r="W410" t="s">
        <v>965</v>
      </c>
      <c r="X410" t="s">
        <v>965</v>
      </c>
      <c r="Y410" t="s">
        <v>965</v>
      </c>
      <c r="Z410" t="s">
        <v>965</v>
      </c>
      <c r="AA410" t="s">
        <v>965</v>
      </c>
      <c r="AB410" t="s">
        <v>965</v>
      </c>
      <c r="AC410" t="s">
        <v>965</v>
      </c>
      <c r="AD410" t="s">
        <v>965</v>
      </c>
      <c r="AE410" t="s">
        <v>965</v>
      </c>
      <c r="AF410" t="s">
        <v>965</v>
      </c>
      <c r="AG410" t="s">
        <v>965</v>
      </c>
      <c r="AH410" t="s">
        <v>965</v>
      </c>
      <c r="AI410" t="s">
        <v>965</v>
      </c>
      <c r="AJ410" t="s">
        <v>965</v>
      </c>
      <c r="AK410" t="s">
        <v>965</v>
      </c>
      <c r="AL410" t="s">
        <v>965</v>
      </c>
      <c r="AM410" t="s">
        <v>965</v>
      </c>
      <c r="AN410" t="s">
        <v>965</v>
      </c>
      <c r="AO410" t="s">
        <v>965</v>
      </c>
      <c r="AP410" t="s">
        <v>965</v>
      </c>
      <c r="AQ410" t="s">
        <v>965</v>
      </c>
      <c r="AR410" t="s">
        <v>965</v>
      </c>
      <c r="AS410" t="s">
        <v>965</v>
      </c>
      <c r="AT410" t="s">
        <v>965</v>
      </c>
      <c r="AU410" t="s">
        <v>965</v>
      </c>
      <c r="AV410" t="s">
        <v>965</v>
      </c>
      <c r="AW410" t="s">
        <v>965</v>
      </c>
      <c r="AX410" t="s">
        <v>965</v>
      </c>
      <c r="AY410" t="s">
        <v>965</v>
      </c>
      <c r="AZ410" t="s">
        <v>965</v>
      </c>
      <c r="BA410" t="s">
        <v>965</v>
      </c>
      <c r="BB410" t="s">
        <v>965</v>
      </c>
      <c r="BC410" t="s">
        <v>965</v>
      </c>
      <c r="BD410" t="s">
        <v>965</v>
      </c>
      <c r="BE410" t="s">
        <v>855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35</v>
      </c>
      <c r="BL410">
        <v>0</v>
      </c>
      <c r="BM410">
        <v>14</v>
      </c>
      <c r="BN410">
        <v>35</v>
      </c>
      <c r="BO410">
        <v>0</v>
      </c>
      <c r="BP410">
        <v>0</v>
      </c>
      <c r="BQ410">
        <v>35</v>
      </c>
      <c r="BR410">
        <v>0</v>
      </c>
      <c r="BS410">
        <v>0</v>
      </c>
      <c r="BT410">
        <v>35</v>
      </c>
      <c r="BU410">
        <v>33</v>
      </c>
      <c r="BV410" s="36">
        <f t="shared" si="4"/>
        <v>0.94285714285714284</v>
      </c>
      <c r="BW410" s="32">
        <v>0.77</v>
      </c>
    </row>
    <row r="411" spans="1:75" x14ac:dyDescent="0.2">
      <c r="A411">
        <v>2025</v>
      </c>
      <c r="B411" s="58" t="s">
        <v>25</v>
      </c>
      <c r="C411" s="58" t="s">
        <v>839</v>
      </c>
      <c r="D411" t="s">
        <v>840</v>
      </c>
      <c r="E411" s="5" t="s">
        <v>838</v>
      </c>
      <c r="F411" s="5" t="s">
        <v>42</v>
      </c>
      <c r="G411" s="6" t="s">
        <v>153</v>
      </c>
      <c r="H411" s="35">
        <v>0.6</v>
      </c>
      <c r="I411" s="35">
        <v>0.03</v>
      </c>
      <c r="J411" s="32">
        <v>0.95</v>
      </c>
      <c r="K411" t="s">
        <v>833</v>
      </c>
      <c r="L411" t="s">
        <v>963</v>
      </c>
      <c r="N411" t="s">
        <v>834</v>
      </c>
      <c r="O411" t="s">
        <v>965</v>
      </c>
      <c r="P411" t="s">
        <v>965</v>
      </c>
      <c r="Q411" t="s">
        <v>965</v>
      </c>
      <c r="R411" t="s">
        <v>965</v>
      </c>
      <c r="S411" t="s">
        <v>965</v>
      </c>
      <c r="T411" t="s">
        <v>965</v>
      </c>
      <c r="U411" t="s">
        <v>965</v>
      </c>
      <c r="V411" t="s">
        <v>965</v>
      </c>
      <c r="W411" t="s">
        <v>965</v>
      </c>
      <c r="X411" t="s">
        <v>965</v>
      </c>
      <c r="Y411" t="s">
        <v>965</v>
      </c>
      <c r="Z411" t="s">
        <v>965</v>
      </c>
      <c r="AA411" t="s">
        <v>965</v>
      </c>
      <c r="AB411" t="s">
        <v>965</v>
      </c>
      <c r="AC411" t="s">
        <v>965</v>
      </c>
      <c r="AD411" t="s">
        <v>965</v>
      </c>
      <c r="AE411" t="s">
        <v>965</v>
      </c>
      <c r="AF411" t="s">
        <v>965</v>
      </c>
      <c r="AG411" t="s">
        <v>965</v>
      </c>
      <c r="AH411" t="s">
        <v>965</v>
      </c>
      <c r="AI411" t="s">
        <v>965</v>
      </c>
      <c r="AJ411" t="s">
        <v>965</v>
      </c>
      <c r="AK411" t="s">
        <v>965</v>
      </c>
      <c r="AL411" t="s">
        <v>965</v>
      </c>
      <c r="AM411" t="s">
        <v>965</v>
      </c>
      <c r="AN411" t="s">
        <v>965</v>
      </c>
      <c r="AO411" t="s">
        <v>965</v>
      </c>
      <c r="AP411" t="s">
        <v>965</v>
      </c>
      <c r="AQ411" t="s">
        <v>965</v>
      </c>
      <c r="AR411" t="s">
        <v>965</v>
      </c>
      <c r="AS411" t="s">
        <v>965</v>
      </c>
      <c r="AT411" t="s">
        <v>965</v>
      </c>
      <c r="AU411" t="s">
        <v>965</v>
      </c>
      <c r="AV411" t="s">
        <v>965</v>
      </c>
      <c r="AW411" t="s">
        <v>965</v>
      </c>
      <c r="AX411" t="s">
        <v>965</v>
      </c>
      <c r="AY411" t="s">
        <v>965</v>
      </c>
      <c r="AZ411" t="s">
        <v>965</v>
      </c>
      <c r="BA411" t="s">
        <v>965</v>
      </c>
      <c r="BB411" t="s">
        <v>965</v>
      </c>
      <c r="BC411" t="s">
        <v>833</v>
      </c>
      <c r="BD411" t="s">
        <v>965</v>
      </c>
      <c r="BE411" t="s">
        <v>835</v>
      </c>
      <c r="BF411">
        <v>16</v>
      </c>
      <c r="BG411">
        <v>5</v>
      </c>
      <c r="BH411">
        <v>0</v>
      </c>
      <c r="BI411">
        <v>0</v>
      </c>
      <c r="BJ411">
        <v>16</v>
      </c>
      <c r="BK411">
        <v>22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38</v>
      </c>
      <c r="BR411">
        <v>0</v>
      </c>
      <c r="BS411">
        <v>0</v>
      </c>
      <c r="BT411">
        <v>38</v>
      </c>
      <c r="BU411">
        <v>38</v>
      </c>
      <c r="BV411" s="36">
        <f t="shared" si="4"/>
        <v>1</v>
      </c>
      <c r="BW411" s="32">
        <v>0.55000000000000004</v>
      </c>
    </row>
    <row r="412" spans="1:75" x14ac:dyDescent="0.2">
      <c r="A412">
        <v>2025</v>
      </c>
      <c r="B412" s="58" t="s">
        <v>25</v>
      </c>
      <c r="C412" s="58" t="s">
        <v>839</v>
      </c>
      <c r="D412" t="s">
        <v>886</v>
      </c>
      <c r="E412" s="5" t="s">
        <v>838</v>
      </c>
      <c r="F412" s="5" t="s">
        <v>42</v>
      </c>
      <c r="G412" s="6" t="s">
        <v>246</v>
      </c>
      <c r="H412" s="35">
        <v>0.51</v>
      </c>
      <c r="I412" s="35">
        <v>0.28999999999999998</v>
      </c>
      <c r="J412" s="32">
        <v>0.22</v>
      </c>
      <c r="K412" t="s">
        <v>833</v>
      </c>
      <c r="L412" t="s">
        <v>963</v>
      </c>
      <c r="N412" t="s">
        <v>834</v>
      </c>
      <c r="O412" t="s">
        <v>965</v>
      </c>
      <c r="P412" t="s">
        <v>965</v>
      </c>
      <c r="Q412" t="s">
        <v>965</v>
      </c>
      <c r="R412" t="s">
        <v>965</v>
      </c>
      <c r="S412" t="s">
        <v>965</v>
      </c>
      <c r="T412" t="s">
        <v>965</v>
      </c>
      <c r="U412" t="s">
        <v>965</v>
      </c>
      <c r="V412" t="s">
        <v>965</v>
      </c>
      <c r="W412" t="s">
        <v>965</v>
      </c>
      <c r="X412" t="s">
        <v>965</v>
      </c>
      <c r="Y412" t="s">
        <v>965</v>
      </c>
      <c r="Z412" t="s">
        <v>965</v>
      </c>
      <c r="AA412" t="s">
        <v>965</v>
      </c>
      <c r="AB412" t="s">
        <v>965</v>
      </c>
      <c r="AC412" t="s">
        <v>965</v>
      </c>
      <c r="AD412" t="s">
        <v>965</v>
      </c>
      <c r="AE412" t="s">
        <v>965</v>
      </c>
      <c r="AF412" t="s">
        <v>965</v>
      </c>
      <c r="AG412" t="s">
        <v>965</v>
      </c>
      <c r="AH412" t="s">
        <v>965</v>
      </c>
      <c r="AI412" t="s">
        <v>965</v>
      </c>
      <c r="AJ412" t="s">
        <v>965</v>
      </c>
      <c r="AK412" t="s">
        <v>965</v>
      </c>
      <c r="AL412" t="s">
        <v>965</v>
      </c>
      <c r="AM412" t="s">
        <v>965</v>
      </c>
      <c r="AN412" t="s">
        <v>965</v>
      </c>
      <c r="AO412" t="s">
        <v>965</v>
      </c>
      <c r="AP412" t="s">
        <v>965</v>
      </c>
      <c r="AQ412" t="s">
        <v>965</v>
      </c>
      <c r="AR412" t="s">
        <v>965</v>
      </c>
      <c r="AS412" t="s">
        <v>965</v>
      </c>
      <c r="AT412" t="s">
        <v>965</v>
      </c>
      <c r="AU412" t="s">
        <v>965</v>
      </c>
      <c r="AV412" t="s">
        <v>965</v>
      </c>
      <c r="AW412" t="s">
        <v>965</v>
      </c>
      <c r="AX412" t="s">
        <v>965</v>
      </c>
      <c r="AY412" t="s">
        <v>833</v>
      </c>
      <c r="AZ412" t="s">
        <v>965</v>
      </c>
      <c r="BA412" t="s">
        <v>965</v>
      </c>
      <c r="BB412" t="s">
        <v>965</v>
      </c>
      <c r="BC412" t="s">
        <v>965</v>
      </c>
      <c r="BD412" t="s">
        <v>965</v>
      </c>
      <c r="BE412" t="s">
        <v>835</v>
      </c>
      <c r="BF412">
        <v>26</v>
      </c>
      <c r="BG412">
        <v>8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26</v>
      </c>
      <c r="BR412">
        <v>0</v>
      </c>
      <c r="BS412">
        <v>0</v>
      </c>
      <c r="BT412">
        <v>57</v>
      </c>
      <c r="BU412">
        <v>28</v>
      </c>
      <c r="BV412" s="36">
        <f t="shared" si="4"/>
        <v>0.49122807017543857</v>
      </c>
      <c r="BW412" s="13">
        <v>0.72</v>
      </c>
    </row>
    <row r="413" spans="1:75" x14ac:dyDescent="0.2">
      <c r="A413">
        <v>2025</v>
      </c>
      <c r="B413" s="58" t="s">
        <v>25</v>
      </c>
      <c r="C413" s="58" t="s">
        <v>847</v>
      </c>
      <c r="D413" t="s">
        <v>857</v>
      </c>
      <c r="E413" s="5" t="s">
        <v>838</v>
      </c>
      <c r="F413" s="5" t="s">
        <v>42</v>
      </c>
      <c r="G413" s="6" t="s">
        <v>86</v>
      </c>
      <c r="H413" s="35">
        <v>0.43</v>
      </c>
      <c r="I413" s="35">
        <v>0.09</v>
      </c>
      <c r="J413" s="32">
        <v>0.74</v>
      </c>
      <c r="K413" s="47" t="s">
        <v>833</v>
      </c>
      <c r="L413" s="47" t="s">
        <v>963</v>
      </c>
      <c r="M413" s="47"/>
      <c r="N413" s="47" t="s">
        <v>834</v>
      </c>
      <c r="O413" s="47" t="s">
        <v>965</v>
      </c>
      <c r="P413" s="47" t="s">
        <v>965</v>
      </c>
      <c r="Q413" s="47" t="s">
        <v>965</v>
      </c>
      <c r="R413" s="47" t="s">
        <v>965</v>
      </c>
      <c r="S413" s="47" t="s">
        <v>965</v>
      </c>
      <c r="T413" s="47" t="s">
        <v>965</v>
      </c>
      <c r="U413" s="47" t="s">
        <v>965</v>
      </c>
      <c r="V413" s="47" t="s">
        <v>965</v>
      </c>
      <c r="W413" s="47" t="s">
        <v>965</v>
      </c>
      <c r="X413" s="47" t="s">
        <v>965</v>
      </c>
      <c r="Y413" s="47" t="s">
        <v>965</v>
      </c>
      <c r="Z413" s="47" t="s">
        <v>965</v>
      </c>
      <c r="AA413" s="47" t="s">
        <v>965</v>
      </c>
      <c r="AB413" s="47" t="s">
        <v>965</v>
      </c>
      <c r="AC413" s="47" t="s">
        <v>965</v>
      </c>
      <c r="AD413" s="47" t="s">
        <v>965</v>
      </c>
      <c r="AE413" s="47" t="s">
        <v>965</v>
      </c>
      <c r="AF413" s="47" t="s">
        <v>965</v>
      </c>
      <c r="AG413" s="47" t="s">
        <v>965</v>
      </c>
      <c r="AH413" s="47" t="s">
        <v>965</v>
      </c>
      <c r="AI413" s="47" t="s">
        <v>965</v>
      </c>
      <c r="AJ413" s="47" t="s">
        <v>965</v>
      </c>
      <c r="AK413" s="47" t="s">
        <v>965</v>
      </c>
      <c r="AL413" s="47" t="s">
        <v>965</v>
      </c>
      <c r="AM413" s="47" t="s">
        <v>965</v>
      </c>
      <c r="AN413" s="47" t="s">
        <v>965</v>
      </c>
      <c r="AO413" s="47" t="s">
        <v>965</v>
      </c>
      <c r="AP413" s="47" t="s">
        <v>965</v>
      </c>
      <c r="AQ413" s="47" t="s">
        <v>965</v>
      </c>
      <c r="AR413" s="47" t="s">
        <v>965</v>
      </c>
      <c r="AS413" s="47" t="s">
        <v>965</v>
      </c>
      <c r="AT413" s="47" t="s">
        <v>965</v>
      </c>
      <c r="AU413" s="47" t="s">
        <v>965</v>
      </c>
      <c r="AV413" s="47" t="s">
        <v>965</v>
      </c>
      <c r="AW413" s="47" t="s">
        <v>965</v>
      </c>
      <c r="AX413" s="47" t="s">
        <v>965</v>
      </c>
      <c r="AY413" s="47" t="s">
        <v>965</v>
      </c>
      <c r="AZ413" s="47" t="s">
        <v>965</v>
      </c>
      <c r="BA413" s="47" t="s">
        <v>965</v>
      </c>
      <c r="BB413" s="47" t="s">
        <v>965</v>
      </c>
      <c r="BC413" s="47" t="s">
        <v>833</v>
      </c>
      <c r="BD413" s="47" t="s">
        <v>965</v>
      </c>
      <c r="BE413" s="47" t="s">
        <v>835</v>
      </c>
      <c r="BF413" s="47">
        <v>0</v>
      </c>
      <c r="BG413" s="47">
        <v>0</v>
      </c>
      <c r="BH413" s="47">
        <v>0</v>
      </c>
      <c r="BI413" s="47">
        <v>0</v>
      </c>
      <c r="BJ413" s="47">
        <v>0</v>
      </c>
      <c r="BK413" s="47">
        <v>37</v>
      </c>
      <c r="BL413" s="47">
        <v>0</v>
      </c>
      <c r="BM413" s="47">
        <v>0</v>
      </c>
      <c r="BN413" s="47">
        <v>0</v>
      </c>
      <c r="BO413" s="47">
        <v>0</v>
      </c>
      <c r="BP413" s="47">
        <v>0</v>
      </c>
      <c r="BQ413" s="47">
        <v>37</v>
      </c>
      <c r="BR413" s="47">
        <v>0</v>
      </c>
      <c r="BS413" s="47">
        <v>0</v>
      </c>
      <c r="BT413" s="47">
        <v>37</v>
      </c>
      <c r="BU413" s="47">
        <v>41</v>
      </c>
      <c r="BV413" s="52">
        <f t="shared" si="4"/>
        <v>1.1081081081081081</v>
      </c>
      <c r="BW413" s="49">
        <v>0.63</v>
      </c>
    </row>
    <row r="414" spans="1:75" x14ac:dyDescent="0.2">
      <c r="A414">
        <v>2025</v>
      </c>
      <c r="B414" s="58" t="s">
        <v>25</v>
      </c>
      <c r="C414" s="58" t="s">
        <v>847</v>
      </c>
      <c r="D414" t="s">
        <v>1269</v>
      </c>
      <c r="E414" s="5" t="s">
        <v>838</v>
      </c>
      <c r="F414" s="5" t="s">
        <v>42</v>
      </c>
      <c r="H414" s="35"/>
      <c r="I414" s="35"/>
      <c r="J414" s="32"/>
      <c r="K414" t="s">
        <v>833</v>
      </c>
      <c r="L414" t="s">
        <v>963</v>
      </c>
      <c r="N414" t="s">
        <v>834</v>
      </c>
      <c r="O414" t="s">
        <v>965</v>
      </c>
      <c r="P414" t="s">
        <v>965</v>
      </c>
      <c r="Q414" t="s">
        <v>965</v>
      </c>
      <c r="R414" t="s">
        <v>965</v>
      </c>
      <c r="S414" t="s">
        <v>965</v>
      </c>
      <c r="T414" t="s">
        <v>965</v>
      </c>
      <c r="U414" t="s">
        <v>965</v>
      </c>
      <c r="V414" t="s">
        <v>965</v>
      </c>
      <c r="W414" t="s">
        <v>965</v>
      </c>
      <c r="X414" t="s">
        <v>965</v>
      </c>
      <c r="Y414" t="s">
        <v>965</v>
      </c>
      <c r="Z414" t="s">
        <v>965</v>
      </c>
      <c r="AA414" t="s">
        <v>965</v>
      </c>
      <c r="AB414" t="s">
        <v>965</v>
      </c>
      <c r="AC414" t="s">
        <v>965</v>
      </c>
      <c r="AD414" t="s">
        <v>965</v>
      </c>
      <c r="AE414" t="s">
        <v>965</v>
      </c>
      <c r="AF414" t="s">
        <v>965</v>
      </c>
      <c r="AG414" t="s">
        <v>965</v>
      </c>
      <c r="AH414" t="s">
        <v>965</v>
      </c>
      <c r="AI414" t="s">
        <v>965</v>
      </c>
      <c r="AJ414" t="s">
        <v>965</v>
      </c>
      <c r="AK414" t="s">
        <v>965</v>
      </c>
      <c r="AL414" t="s">
        <v>965</v>
      </c>
      <c r="AM414" t="s">
        <v>965</v>
      </c>
      <c r="AN414" t="s">
        <v>965</v>
      </c>
      <c r="AO414" t="s">
        <v>965</v>
      </c>
      <c r="AP414" t="s">
        <v>965</v>
      </c>
      <c r="AQ414" t="s">
        <v>965</v>
      </c>
      <c r="AR414" t="s">
        <v>965</v>
      </c>
      <c r="AS414" t="s">
        <v>965</v>
      </c>
      <c r="AT414" t="s">
        <v>965</v>
      </c>
      <c r="AU414" t="s">
        <v>965</v>
      </c>
      <c r="AV414" t="s">
        <v>965</v>
      </c>
      <c r="AW414" t="s">
        <v>965</v>
      </c>
      <c r="AX414" t="s">
        <v>965</v>
      </c>
      <c r="AY414" t="s">
        <v>965</v>
      </c>
      <c r="AZ414" t="s">
        <v>965</v>
      </c>
      <c r="BA414" t="s">
        <v>965</v>
      </c>
      <c r="BB414" t="s">
        <v>965</v>
      </c>
      <c r="BC414" t="s">
        <v>833</v>
      </c>
      <c r="BD414" t="s">
        <v>965</v>
      </c>
      <c r="BE414" t="s">
        <v>835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37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37</v>
      </c>
      <c r="BR414">
        <v>0</v>
      </c>
      <c r="BS414">
        <v>0</v>
      </c>
      <c r="BT414">
        <v>37</v>
      </c>
      <c r="BU414">
        <v>41</v>
      </c>
      <c r="BV414" s="36">
        <f t="shared" si="4"/>
        <v>1.1081081081081081</v>
      </c>
      <c r="BW414" s="32">
        <v>0.86</v>
      </c>
    </row>
    <row r="415" spans="1:75" x14ac:dyDescent="0.2">
      <c r="A415">
        <v>2025</v>
      </c>
      <c r="B415" s="58" t="s">
        <v>25</v>
      </c>
      <c r="C415" s="58" t="s">
        <v>847</v>
      </c>
      <c r="D415" t="s">
        <v>1270</v>
      </c>
      <c r="E415" s="5" t="s">
        <v>838</v>
      </c>
      <c r="F415" s="5" t="s">
        <v>42</v>
      </c>
      <c r="H415" s="35"/>
      <c r="I415" s="35"/>
      <c r="J415" s="32"/>
      <c r="K415" t="s">
        <v>833</v>
      </c>
      <c r="L415" t="s">
        <v>963</v>
      </c>
      <c r="N415" t="s">
        <v>834</v>
      </c>
      <c r="O415" t="s">
        <v>965</v>
      </c>
      <c r="P415" t="s">
        <v>965</v>
      </c>
      <c r="Q415" t="s">
        <v>965</v>
      </c>
      <c r="R415" t="s">
        <v>965</v>
      </c>
      <c r="S415" t="s">
        <v>965</v>
      </c>
      <c r="T415" t="s">
        <v>965</v>
      </c>
      <c r="U415" t="s">
        <v>965</v>
      </c>
      <c r="V415" t="s">
        <v>965</v>
      </c>
      <c r="W415" t="s">
        <v>965</v>
      </c>
      <c r="X415" t="s">
        <v>965</v>
      </c>
      <c r="Y415" t="s">
        <v>965</v>
      </c>
      <c r="Z415" t="s">
        <v>965</v>
      </c>
      <c r="AA415" t="s">
        <v>965</v>
      </c>
      <c r="AB415" t="s">
        <v>965</v>
      </c>
      <c r="AC415" t="s">
        <v>965</v>
      </c>
      <c r="AD415" t="s">
        <v>965</v>
      </c>
      <c r="AE415" t="s">
        <v>965</v>
      </c>
      <c r="AF415" t="s">
        <v>965</v>
      </c>
      <c r="AG415" t="s">
        <v>965</v>
      </c>
      <c r="AH415" t="s">
        <v>965</v>
      </c>
      <c r="AI415" t="s">
        <v>965</v>
      </c>
      <c r="AJ415" t="s">
        <v>965</v>
      </c>
      <c r="AK415" t="s">
        <v>965</v>
      </c>
      <c r="AL415" t="s">
        <v>965</v>
      </c>
      <c r="AM415" t="s">
        <v>965</v>
      </c>
      <c r="AN415" t="s">
        <v>965</v>
      </c>
      <c r="AO415" t="s">
        <v>965</v>
      </c>
      <c r="AP415" t="s">
        <v>965</v>
      </c>
      <c r="AQ415" t="s">
        <v>965</v>
      </c>
      <c r="AR415" t="s">
        <v>965</v>
      </c>
      <c r="AS415" t="s">
        <v>965</v>
      </c>
      <c r="AT415" t="s">
        <v>965</v>
      </c>
      <c r="AU415" t="s">
        <v>965</v>
      </c>
      <c r="AV415" t="s">
        <v>965</v>
      </c>
      <c r="AW415" t="s">
        <v>965</v>
      </c>
      <c r="AX415" t="s">
        <v>965</v>
      </c>
      <c r="AY415" t="s">
        <v>965</v>
      </c>
      <c r="AZ415" t="s">
        <v>965</v>
      </c>
      <c r="BA415" t="s">
        <v>965</v>
      </c>
      <c r="BB415" t="s">
        <v>965</v>
      </c>
      <c r="BC415" t="s">
        <v>833</v>
      </c>
      <c r="BD415" t="s">
        <v>965</v>
      </c>
      <c r="BE415" t="s">
        <v>835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37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37</v>
      </c>
      <c r="BR415">
        <v>0</v>
      </c>
      <c r="BS415">
        <v>0</v>
      </c>
      <c r="BT415">
        <v>37</v>
      </c>
      <c r="BU415">
        <v>41</v>
      </c>
      <c r="BV415" s="36">
        <f t="shared" si="4"/>
        <v>1.1081081081081081</v>
      </c>
      <c r="BW415" s="32">
        <v>0.69</v>
      </c>
    </row>
    <row r="416" spans="1:75" x14ac:dyDescent="0.2">
      <c r="A416">
        <v>2025</v>
      </c>
      <c r="B416" s="58" t="s">
        <v>25</v>
      </c>
      <c r="C416" s="58" t="s">
        <v>847</v>
      </c>
      <c r="D416" t="s">
        <v>234</v>
      </c>
      <c r="E416" s="5" t="s">
        <v>838</v>
      </c>
      <c r="F416" s="5" t="s">
        <v>42</v>
      </c>
      <c r="G416" s="6" t="s">
        <v>235</v>
      </c>
      <c r="H416" s="35">
        <v>0.14000000000000001</v>
      </c>
      <c r="I416" s="35">
        <v>0.15</v>
      </c>
      <c r="J416" s="32">
        <v>0.78</v>
      </c>
      <c r="K416" t="s">
        <v>833</v>
      </c>
      <c r="L416" t="s">
        <v>963</v>
      </c>
      <c r="N416" t="s">
        <v>834</v>
      </c>
      <c r="O416" t="s">
        <v>965</v>
      </c>
      <c r="P416" t="s">
        <v>965</v>
      </c>
      <c r="Q416" t="s">
        <v>965</v>
      </c>
      <c r="R416" t="s">
        <v>965</v>
      </c>
      <c r="S416" t="s">
        <v>965</v>
      </c>
      <c r="T416" t="s">
        <v>965</v>
      </c>
      <c r="U416" t="s">
        <v>965</v>
      </c>
      <c r="V416" t="s">
        <v>965</v>
      </c>
      <c r="W416" t="s">
        <v>965</v>
      </c>
      <c r="X416" t="s">
        <v>965</v>
      </c>
      <c r="Y416" t="s">
        <v>965</v>
      </c>
      <c r="Z416" t="s">
        <v>965</v>
      </c>
      <c r="AA416" t="s">
        <v>965</v>
      </c>
      <c r="AB416" t="s">
        <v>965</v>
      </c>
      <c r="AC416" t="s">
        <v>965</v>
      </c>
      <c r="AD416" t="s">
        <v>965</v>
      </c>
      <c r="AE416" t="s">
        <v>965</v>
      </c>
      <c r="AF416" t="s">
        <v>833</v>
      </c>
      <c r="AG416" t="s">
        <v>965</v>
      </c>
      <c r="AH416" t="s">
        <v>965</v>
      </c>
      <c r="AI416" t="s">
        <v>965</v>
      </c>
      <c r="AJ416" t="s">
        <v>965</v>
      </c>
      <c r="AK416" t="s">
        <v>965</v>
      </c>
      <c r="AL416" t="s">
        <v>965</v>
      </c>
      <c r="AM416" t="s">
        <v>965</v>
      </c>
      <c r="AN416" t="s">
        <v>965</v>
      </c>
      <c r="AO416" t="s">
        <v>965</v>
      </c>
      <c r="AP416" t="s">
        <v>965</v>
      </c>
      <c r="AQ416" t="s">
        <v>965</v>
      </c>
      <c r="AR416" t="s">
        <v>965</v>
      </c>
      <c r="AS416" t="s">
        <v>965</v>
      </c>
      <c r="AT416" t="s">
        <v>965</v>
      </c>
      <c r="AU416" t="s">
        <v>965</v>
      </c>
      <c r="AV416" t="s">
        <v>965</v>
      </c>
      <c r="AW416" t="s">
        <v>965</v>
      </c>
      <c r="AX416" t="s">
        <v>965</v>
      </c>
      <c r="AY416" t="s">
        <v>965</v>
      </c>
      <c r="AZ416" t="s">
        <v>965</v>
      </c>
      <c r="BA416" t="s">
        <v>965</v>
      </c>
      <c r="BB416" t="s">
        <v>965</v>
      </c>
      <c r="BC416" t="s">
        <v>965</v>
      </c>
      <c r="BD416" t="s">
        <v>965</v>
      </c>
      <c r="BE416" t="s">
        <v>835</v>
      </c>
      <c r="BF416">
        <v>15</v>
      </c>
      <c r="BG416">
        <v>5</v>
      </c>
      <c r="BH416">
        <v>15</v>
      </c>
      <c r="BI416">
        <v>0</v>
      </c>
      <c r="BJ416">
        <v>0</v>
      </c>
      <c r="BK416">
        <v>70</v>
      </c>
      <c r="BL416">
        <v>70</v>
      </c>
      <c r="BM416">
        <v>0</v>
      </c>
      <c r="BN416">
        <v>0</v>
      </c>
      <c r="BO416">
        <v>0</v>
      </c>
      <c r="BP416">
        <v>0</v>
      </c>
      <c r="BQ416">
        <v>85</v>
      </c>
      <c r="BR416">
        <v>0</v>
      </c>
      <c r="BS416">
        <v>0</v>
      </c>
      <c r="BT416">
        <v>75</v>
      </c>
      <c r="BU416">
        <v>77</v>
      </c>
      <c r="BV416" s="36">
        <f t="shared" si="4"/>
        <v>1.0266666666666666</v>
      </c>
      <c r="BW416" s="32">
        <v>0.91</v>
      </c>
    </row>
    <row r="417" spans="1:75" x14ac:dyDescent="0.2">
      <c r="A417">
        <v>2025</v>
      </c>
      <c r="B417" s="58" t="s">
        <v>25</v>
      </c>
      <c r="C417" s="58" t="s">
        <v>866</v>
      </c>
      <c r="D417" t="s">
        <v>1271</v>
      </c>
      <c r="E417" s="5" t="s">
        <v>838</v>
      </c>
      <c r="F417" s="5" t="s">
        <v>42</v>
      </c>
      <c r="H417" s="5"/>
      <c r="I417" s="5"/>
      <c r="J417" s="5"/>
      <c r="K417" t="s">
        <v>833</v>
      </c>
      <c r="L417" t="s">
        <v>963</v>
      </c>
      <c r="N417" t="s">
        <v>834</v>
      </c>
      <c r="O417" t="s">
        <v>965</v>
      </c>
      <c r="P417" t="s">
        <v>965</v>
      </c>
      <c r="Q417" t="s">
        <v>965</v>
      </c>
      <c r="R417" t="s">
        <v>965</v>
      </c>
      <c r="S417" t="s">
        <v>965</v>
      </c>
      <c r="T417" t="s">
        <v>965</v>
      </c>
      <c r="U417" t="s">
        <v>833</v>
      </c>
      <c r="V417" t="s">
        <v>965</v>
      </c>
      <c r="W417" t="s">
        <v>965</v>
      </c>
      <c r="X417" t="s">
        <v>965</v>
      </c>
      <c r="Y417" t="s">
        <v>965</v>
      </c>
      <c r="Z417" t="s">
        <v>965</v>
      </c>
      <c r="AA417" t="s">
        <v>965</v>
      </c>
      <c r="AB417" t="s">
        <v>965</v>
      </c>
      <c r="AC417" t="s">
        <v>965</v>
      </c>
      <c r="AD417" t="s">
        <v>965</v>
      </c>
      <c r="AE417" t="s">
        <v>965</v>
      </c>
      <c r="AF417" t="s">
        <v>965</v>
      </c>
      <c r="AG417" t="s">
        <v>965</v>
      </c>
      <c r="AH417" t="s">
        <v>965</v>
      </c>
      <c r="AI417" t="s">
        <v>965</v>
      </c>
      <c r="AJ417" t="s">
        <v>965</v>
      </c>
      <c r="AK417" t="s">
        <v>965</v>
      </c>
      <c r="AL417" t="s">
        <v>965</v>
      </c>
      <c r="AM417" t="s">
        <v>965</v>
      </c>
      <c r="AN417" t="s">
        <v>965</v>
      </c>
      <c r="AO417" t="s">
        <v>965</v>
      </c>
      <c r="AP417" t="s">
        <v>965</v>
      </c>
      <c r="AQ417" t="s">
        <v>965</v>
      </c>
      <c r="AR417" t="s">
        <v>965</v>
      </c>
      <c r="AS417" t="s">
        <v>965</v>
      </c>
      <c r="AT417" t="s">
        <v>965</v>
      </c>
      <c r="AU417" t="s">
        <v>965</v>
      </c>
      <c r="AV417" t="s">
        <v>965</v>
      </c>
      <c r="AW417" t="s">
        <v>965</v>
      </c>
      <c r="AX417" t="s">
        <v>965</v>
      </c>
      <c r="AY417" t="s">
        <v>965</v>
      </c>
      <c r="AZ417" t="s">
        <v>965</v>
      </c>
      <c r="BA417" t="s">
        <v>965</v>
      </c>
      <c r="BB417" t="s">
        <v>965</v>
      </c>
      <c r="BC417" t="s">
        <v>965</v>
      </c>
      <c r="BD417" t="s">
        <v>965</v>
      </c>
      <c r="BE417" t="s">
        <v>855</v>
      </c>
      <c r="BF417">
        <v>5</v>
      </c>
      <c r="BG417">
        <v>2</v>
      </c>
      <c r="BH417">
        <v>0</v>
      </c>
      <c r="BI417">
        <v>0</v>
      </c>
      <c r="BJ417">
        <v>5</v>
      </c>
      <c r="BK417">
        <v>26</v>
      </c>
      <c r="BL417">
        <v>0</v>
      </c>
      <c r="BM417">
        <v>0</v>
      </c>
      <c r="BN417">
        <v>26</v>
      </c>
      <c r="BO417">
        <v>0</v>
      </c>
      <c r="BP417">
        <v>0</v>
      </c>
      <c r="BQ417">
        <v>31</v>
      </c>
      <c r="BR417">
        <v>0</v>
      </c>
      <c r="BS417">
        <v>0</v>
      </c>
      <c r="BT417">
        <v>31</v>
      </c>
      <c r="BU417">
        <v>25</v>
      </c>
      <c r="BV417" s="36">
        <f t="shared" si="4"/>
        <v>0.80645161290322576</v>
      </c>
      <c r="BW417" s="32">
        <v>0.71</v>
      </c>
    </row>
    <row r="418" spans="1:75" x14ac:dyDescent="0.2">
      <c r="A418">
        <v>2025</v>
      </c>
      <c r="B418" s="58" t="s">
        <v>25</v>
      </c>
      <c r="C418" s="58" t="s">
        <v>866</v>
      </c>
      <c r="D418" t="s">
        <v>237</v>
      </c>
      <c r="E418" s="5" t="s">
        <v>838</v>
      </c>
      <c r="F418" s="5" t="s">
        <v>42</v>
      </c>
      <c r="G418" s="6" t="s">
        <v>238</v>
      </c>
      <c r="H418" s="35">
        <v>0.3</v>
      </c>
      <c r="I418" s="35">
        <v>0.02</v>
      </c>
      <c r="J418" s="32">
        <v>0.94</v>
      </c>
      <c r="K418" t="s">
        <v>833</v>
      </c>
      <c r="L418" t="s">
        <v>963</v>
      </c>
      <c r="N418" t="s">
        <v>834</v>
      </c>
      <c r="O418" t="s">
        <v>965</v>
      </c>
      <c r="P418" t="s">
        <v>965</v>
      </c>
      <c r="Q418" t="s">
        <v>965</v>
      </c>
      <c r="R418" t="s">
        <v>965</v>
      </c>
      <c r="S418" t="s">
        <v>965</v>
      </c>
      <c r="T418" t="s">
        <v>965</v>
      </c>
      <c r="U418" t="s">
        <v>833</v>
      </c>
      <c r="V418" t="s">
        <v>965</v>
      </c>
      <c r="W418" t="s">
        <v>965</v>
      </c>
      <c r="X418" t="s">
        <v>965</v>
      </c>
      <c r="Y418" t="s">
        <v>965</v>
      </c>
      <c r="Z418" t="s">
        <v>965</v>
      </c>
      <c r="AA418" t="s">
        <v>965</v>
      </c>
      <c r="AB418" t="s">
        <v>965</v>
      </c>
      <c r="AC418" t="s">
        <v>965</v>
      </c>
      <c r="AD418" t="s">
        <v>965</v>
      </c>
      <c r="AE418" t="s">
        <v>965</v>
      </c>
      <c r="AF418" t="s">
        <v>965</v>
      </c>
      <c r="AG418" t="s">
        <v>965</v>
      </c>
      <c r="AH418" t="s">
        <v>965</v>
      </c>
      <c r="AI418" t="s">
        <v>965</v>
      </c>
      <c r="AJ418" t="s">
        <v>965</v>
      </c>
      <c r="AK418" t="s">
        <v>965</v>
      </c>
      <c r="AL418" t="s">
        <v>965</v>
      </c>
      <c r="AM418" t="s">
        <v>965</v>
      </c>
      <c r="AN418" t="s">
        <v>965</v>
      </c>
      <c r="AO418" t="s">
        <v>965</v>
      </c>
      <c r="AP418" t="s">
        <v>965</v>
      </c>
      <c r="AQ418" t="s">
        <v>965</v>
      </c>
      <c r="AR418" t="s">
        <v>965</v>
      </c>
      <c r="AS418" t="s">
        <v>965</v>
      </c>
      <c r="AT418" t="s">
        <v>965</v>
      </c>
      <c r="AU418" t="s">
        <v>965</v>
      </c>
      <c r="AV418" t="s">
        <v>965</v>
      </c>
      <c r="AW418" t="s">
        <v>965</v>
      </c>
      <c r="AX418" t="s">
        <v>965</v>
      </c>
      <c r="AY418" t="s">
        <v>965</v>
      </c>
      <c r="AZ418" t="s">
        <v>965</v>
      </c>
      <c r="BA418" t="s">
        <v>965</v>
      </c>
      <c r="BB418" t="s">
        <v>965</v>
      </c>
      <c r="BC418" t="s">
        <v>965</v>
      </c>
      <c r="BD418" t="s">
        <v>965</v>
      </c>
      <c r="BE418" t="s">
        <v>835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17</v>
      </c>
      <c r="BL418">
        <v>0</v>
      </c>
      <c r="BM418">
        <v>0</v>
      </c>
      <c r="BN418">
        <v>17</v>
      </c>
      <c r="BO418">
        <v>0</v>
      </c>
      <c r="BP418">
        <v>0</v>
      </c>
      <c r="BQ418">
        <v>17</v>
      </c>
      <c r="BR418">
        <v>0</v>
      </c>
      <c r="BS418">
        <v>0</v>
      </c>
      <c r="BT418">
        <v>92</v>
      </c>
      <c r="BU418">
        <v>18</v>
      </c>
      <c r="BV418" s="36">
        <f t="shared" si="4"/>
        <v>0.19565217391304349</v>
      </c>
      <c r="BW418" s="32">
        <v>0.71</v>
      </c>
    </row>
    <row r="419" spans="1:75" x14ac:dyDescent="0.2">
      <c r="A419">
        <v>2025</v>
      </c>
      <c r="B419" s="58" t="s">
        <v>25</v>
      </c>
      <c r="C419" s="58" t="s">
        <v>866</v>
      </c>
      <c r="D419" t="s">
        <v>1272</v>
      </c>
      <c r="E419" s="5" t="s">
        <v>838</v>
      </c>
      <c r="F419" s="5" t="s">
        <v>42</v>
      </c>
      <c r="K419" t="s">
        <v>833</v>
      </c>
      <c r="L419" t="s">
        <v>963</v>
      </c>
      <c r="N419" t="s">
        <v>834</v>
      </c>
      <c r="O419" t="s">
        <v>965</v>
      </c>
      <c r="P419" t="s">
        <v>965</v>
      </c>
      <c r="Q419" t="s">
        <v>965</v>
      </c>
      <c r="R419" t="s">
        <v>965</v>
      </c>
      <c r="S419" t="s">
        <v>965</v>
      </c>
      <c r="T419" t="s">
        <v>965</v>
      </c>
      <c r="U419" t="s">
        <v>833</v>
      </c>
      <c r="V419" t="s">
        <v>965</v>
      </c>
      <c r="W419" t="s">
        <v>965</v>
      </c>
      <c r="X419" t="s">
        <v>965</v>
      </c>
      <c r="Y419" t="s">
        <v>965</v>
      </c>
      <c r="Z419" t="s">
        <v>965</v>
      </c>
      <c r="AA419" t="s">
        <v>965</v>
      </c>
      <c r="AB419" t="s">
        <v>965</v>
      </c>
      <c r="AC419" t="s">
        <v>965</v>
      </c>
      <c r="AD419" t="s">
        <v>965</v>
      </c>
      <c r="AE419" t="s">
        <v>965</v>
      </c>
      <c r="AF419" t="s">
        <v>965</v>
      </c>
      <c r="AG419" t="s">
        <v>965</v>
      </c>
      <c r="AH419" t="s">
        <v>965</v>
      </c>
      <c r="AI419" t="s">
        <v>965</v>
      </c>
      <c r="AJ419" t="s">
        <v>965</v>
      </c>
      <c r="AK419" t="s">
        <v>965</v>
      </c>
      <c r="AL419" t="s">
        <v>965</v>
      </c>
      <c r="AM419" t="s">
        <v>965</v>
      </c>
      <c r="AN419" t="s">
        <v>965</v>
      </c>
      <c r="AO419" t="s">
        <v>965</v>
      </c>
      <c r="AP419" t="s">
        <v>965</v>
      </c>
      <c r="AQ419" t="s">
        <v>965</v>
      </c>
      <c r="AR419" t="s">
        <v>965</v>
      </c>
      <c r="AS419" t="s">
        <v>965</v>
      </c>
      <c r="AT419" t="s">
        <v>965</v>
      </c>
      <c r="AU419" t="s">
        <v>965</v>
      </c>
      <c r="AV419" t="s">
        <v>965</v>
      </c>
      <c r="AW419" t="s">
        <v>965</v>
      </c>
      <c r="AX419" t="s">
        <v>965</v>
      </c>
      <c r="AY419" t="s">
        <v>965</v>
      </c>
      <c r="AZ419" t="s">
        <v>965</v>
      </c>
      <c r="BA419" t="s">
        <v>965</v>
      </c>
      <c r="BB419" t="s">
        <v>965</v>
      </c>
      <c r="BC419" t="s">
        <v>833</v>
      </c>
      <c r="BD419" t="s">
        <v>965</v>
      </c>
      <c r="BE419" t="s">
        <v>835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16</v>
      </c>
      <c r="BL419">
        <v>0</v>
      </c>
      <c r="BM419">
        <v>0</v>
      </c>
      <c r="BN419">
        <v>16</v>
      </c>
      <c r="BO419">
        <v>0</v>
      </c>
      <c r="BP419">
        <v>0</v>
      </c>
      <c r="BQ419">
        <v>16</v>
      </c>
      <c r="BR419">
        <v>0</v>
      </c>
      <c r="BS419">
        <v>0</v>
      </c>
      <c r="BT419">
        <v>16</v>
      </c>
      <c r="BU419">
        <v>14</v>
      </c>
      <c r="BV419" s="36">
        <f t="shared" si="4"/>
        <v>0.875</v>
      </c>
      <c r="BW419" s="32">
        <v>0.37</v>
      </c>
    </row>
    <row r="420" spans="1:75" x14ac:dyDescent="0.2">
      <c r="A420">
        <v>2025</v>
      </c>
      <c r="B420" s="58" t="s">
        <v>25</v>
      </c>
      <c r="C420" s="58" t="s">
        <v>866</v>
      </c>
      <c r="D420" t="s">
        <v>1273</v>
      </c>
      <c r="E420" s="5" t="s">
        <v>838</v>
      </c>
      <c r="F420" s="5" t="s">
        <v>42</v>
      </c>
      <c r="K420" t="s">
        <v>833</v>
      </c>
      <c r="L420" t="s">
        <v>963</v>
      </c>
      <c r="N420" t="s">
        <v>834</v>
      </c>
      <c r="O420" t="s">
        <v>965</v>
      </c>
      <c r="P420" t="s">
        <v>965</v>
      </c>
      <c r="Q420" t="s">
        <v>965</v>
      </c>
      <c r="R420" t="s">
        <v>965</v>
      </c>
      <c r="S420" t="s">
        <v>965</v>
      </c>
      <c r="T420" t="s">
        <v>965</v>
      </c>
      <c r="U420" t="s">
        <v>965</v>
      </c>
      <c r="V420" t="s">
        <v>965</v>
      </c>
      <c r="W420" t="s">
        <v>965</v>
      </c>
      <c r="X420" t="s">
        <v>965</v>
      </c>
      <c r="Y420" t="s">
        <v>965</v>
      </c>
      <c r="Z420" t="s">
        <v>965</v>
      </c>
      <c r="AA420" t="s">
        <v>965</v>
      </c>
      <c r="AB420" t="s">
        <v>965</v>
      </c>
      <c r="AC420" t="s">
        <v>965</v>
      </c>
      <c r="AD420" t="s">
        <v>965</v>
      </c>
      <c r="AE420" t="s">
        <v>965</v>
      </c>
      <c r="AF420" t="s">
        <v>965</v>
      </c>
      <c r="AG420" t="s">
        <v>965</v>
      </c>
      <c r="AH420" t="s">
        <v>965</v>
      </c>
      <c r="AI420" t="s">
        <v>965</v>
      </c>
      <c r="AJ420" t="s">
        <v>965</v>
      </c>
      <c r="AK420" t="s">
        <v>965</v>
      </c>
      <c r="AL420" t="s">
        <v>965</v>
      </c>
      <c r="AM420" t="s">
        <v>965</v>
      </c>
      <c r="AN420" t="s">
        <v>965</v>
      </c>
      <c r="AO420" t="s">
        <v>965</v>
      </c>
      <c r="AP420" t="s">
        <v>965</v>
      </c>
      <c r="AQ420" t="s">
        <v>965</v>
      </c>
      <c r="AR420" t="s">
        <v>965</v>
      </c>
      <c r="AS420" t="s">
        <v>965</v>
      </c>
      <c r="AT420" t="s">
        <v>965</v>
      </c>
      <c r="AU420" t="s">
        <v>965</v>
      </c>
      <c r="AV420" t="s">
        <v>965</v>
      </c>
      <c r="AW420" t="s">
        <v>965</v>
      </c>
      <c r="AX420" t="s">
        <v>965</v>
      </c>
      <c r="AY420" t="s">
        <v>965</v>
      </c>
      <c r="AZ420" t="s">
        <v>965</v>
      </c>
      <c r="BA420" t="s">
        <v>965</v>
      </c>
      <c r="BB420" t="s">
        <v>965</v>
      </c>
      <c r="BC420" t="s">
        <v>965</v>
      </c>
      <c r="BD420" t="s">
        <v>965</v>
      </c>
      <c r="BE420" t="s">
        <v>855</v>
      </c>
      <c r="BF420">
        <v>20</v>
      </c>
      <c r="BG420">
        <v>7</v>
      </c>
      <c r="BH420">
        <v>0</v>
      </c>
      <c r="BI420">
        <v>0</v>
      </c>
      <c r="BJ420">
        <v>20</v>
      </c>
      <c r="BK420">
        <v>122</v>
      </c>
      <c r="BL420">
        <v>0</v>
      </c>
      <c r="BM420">
        <v>0</v>
      </c>
      <c r="BN420">
        <v>122</v>
      </c>
      <c r="BO420">
        <v>0</v>
      </c>
      <c r="BP420">
        <v>0</v>
      </c>
      <c r="BQ420">
        <v>142</v>
      </c>
      <c r="BR420">
        <v>0</v>
      </c>
      <c r="BS420">
        <v>0</v>
      </c>
      <c r="BT420">
        <v>142</v>
      </c>
      <c r="BU420">
        <v>137</v>
      </c>
      <c r="BV420" s="36">
        <f t="shared" si="4"/>
        <v>0.96478873239436624</v>
      </c>
      <c r="BW420" s="13">
        <v>0.73</v>
      </c>
    </row>
    <row r="421" spans="1:75" x14ac:dyDescent="0.2">
      <c r="A421">
        <v>2025</v>
      </c>
      <c r="B421" s="58" t="s">
        <v>25</v>
      </c>
      <c r="C421" s="58" t="s">
        <v>866</v>
      </c>
      <c r="D421" t="s">
        <v>1274</v>
      </c>
      <c r="E421" s="5" t="s">
        <v>838</v>
      </c>
      <c r="F421" s="5" t="s">
        <v>42</v>
      </c>
      <c r="K421" s="47" t="s">
        <v>833</v>
      </c>
      <c r="L421" s="47" t="s">
        <v>963</v>
      </c>
      <c r="M421" s="47"/>
      <c r="N421" s="47" t="s">
        <v>834</v>
      </c>
      <c r="O421" s="47" t="s">
        <v>965</v>
      </c>
      <c r="P421" s="47" t="s">
        <v>965</v>
      </c>
      <c r="Q421" s="47" t="s">
        <v>965</v>
      </c>
      <c r="R421" s="47" t="s">
        <v>965</v>
      </c>
      <c r="S421" s="47" t="s">
        <v>965</v>
      </c>
      <c r="T421" s="47" t="s">
        <v>965</v>
      </c>
      <c r="U421" s="47" t="s">
        <v>833</v>
      </c>
      <c r="V421" s="47" t="s">
        <v>965</v>
      </c>
      <c r="W421" s="47" t="s">
        <v>965</v>
      </c>
      <c r="X421" s="47" t="s">
        <v>965</v>
      </c>
      <c r="Y421" s="47" t="s">
        <v>965</v>
      </c>
      <c r="Z421" s="47" t="s">
        <v>965</v>
      </c>
      <c r="AA421" s="47" t="s">
        <v>965</v>
      </c>
      <c r="AB421" s="47" t="s">
        <v>965</v>
      </c>
      <c r="AC421" s="47" t="s">
        <v>965</v>
      </c>
      <c r="AD421" s="47" t="s">
        <v>965</v>
      </c>
      <c r="AE421" s="47" t="s">
        <v>965</v>
      </c>
      <c r="AF421" s="47" t="s">
        <v>965</v>
      </c>
      <c r="AG421" s="47" t="s">
        <v>965</v>
      </c>
      <c r="AH421" s="47" t="s">
        <v>965</v>
      </c>
      <c r="AI421" s="47" t="s">
        <v>965</v>
      </c>
      <c r="AJ421" s="47" t="s">
        <v>965</v>
      </c>
      <c r="AK421" s="47" t="s">
        <v>965</v>
      </c>
      <c r="AL421" s="47" t="s">
        <v>965</v>
      </c>
      <c r="AM421" s="47" t="s">
        <v>965</v>
      </c>
      <c r="AN421" s="47" t="s">
        <v>965</v>
      </c>
      <c r="AO421" s="47" t="s">
        <v>965</v>
      </c>
      <c r="AP421" s="47" t="s">
        <v>965</v>
      </c>
      <c r="AQ421" s="47" t="s">
        <v>965</v>
      </c>
      <c r="AR421" s="47" t="s">
        <v>965</v>
      </c>
      <c r="AS421" s="47" t="s">
        <v>965</v>
      </c>
      <c r="AT421" s="47" t="s">
        <v>965</v>
      </c>
      <c r="AU421" s="47" t="s">
        <v>965</v>
      </c>
      <c r="AV421" s="47" t="s">
        <v>965</v>
      </c>
      <c r="AW421" s="47" t="s">
        <v>965</v>
      </c>
      <c r="AX421" s="47" t="s">
        <v>965</v>
      </c>
      <c r="AY421" s="47" t="s">
        <v>965</v>
      </c>
      <c r="AZ421" s="47" t="s">
        <v>965</v>
      </c>
      <c r="BA421" s="47" t="s">
        <v>965</v>
      </c>
      <c r="BB421" s="47" t="s">
        <v>965</v>
      </c>
      <c r="BC421" s="47" t="s">
        <v>965</v>
      </c>
      <c r="BD421" s="47" t="s">
        <v>965</v>
      </c>
      <c r="BE421" s="47" t="s">
        <v>855</v>
      </c>
      <c r="BF421" s="47">
        <v>11</v>
      </c>
      <c r="BG421" s="47">
        <v>3</v>
      </c>
      <c r="BH421" s="47">
        <v>0</v>
      </c>
      <c r="BI421" s="47">
        <v>0</v>
      </c>
      <c r="BJ421" s="47">
        <v>11</v>
      </c>
      <c r="BK421" s="47">
        <v>22</v>
      </c>
      <c r="BL421" s="47">
        <v>0</v>
      </c>
      <c r="BM421" s="47">
        <v>0</v>
      </c>
      <c r="BN421" s="47">
        <v>22</v>
      </c>
      <c r="BO421" s="47">
        <v>0</v>
      </c>
      <c r="BP421" s="47">
        <v>0</v>
      </c>
      <c r="BQ421" s="47">
        <v>33</v>
      </c>
      <c r="BR421" s="47">
        <v>0</v>
      </c>
      <c r="BS421" s="47">
        <v>0</v>
      </c>
      <c r="BT421" s="47">
        <v>33</v>
      </c>
      <c r="BU421" s="47">
        <v>32</v>
      </c>
      <c r="BV421" s="52">
        <f t="shared" si="4"/>
        <v>0.96969696969696972</v>
      </c>
      <c r="BW421" s="49">
        <v>0.75</v>
      </c>
    </row>
    <row r="422" spans="1:75" x14ac:dyDescent="0.2">
      <c r="A422">
        <v>2025</v>
      </c>
      <c r="B422" s="58" t="s">
        <v>25</v>
      </c>
      <c r="C422" s="58" t="s">
        <v>866</v>
      </c>
      <c r="D422" t="s">
        <v>1275</v>
      </c>
      <c r="E422" s="5" t="s">
        <v>838</v>
      </c>
      <c r="F422" s="5" t="s">
        <v>42</v>
      </c>
      <c r="K422" t="s">
        <v>833</v>
      </c>
      <c r="L422" t="s">
        <v>963</v>
      </c>
      <c r="N422" t="s">
        <v>834</v>
      </c>
      <c r="O422" t="s">
        <v>965</v>
      </c>
      <c r="P422" t="s">
        <v>965</v>
      </c>
      <c r="Q422" t="s">
        <v>965</v>
      </c>
      <c r="R422" t="s">
        <v>965</v>
      </c>
      <c r="S422" t="s">
        <v>965</v>
      </c>
      <c r="T422" t="s">
        <v>965</v>
      </c>
      <c r="U422" t="s">
        <v>833</v>
      </c>
      <c r="V422" t="s">
        <v>965</v>
      </c>
      <c r="W422" t="s">
        <v>965</v>
      </c>
      <c r="X422" t="s">
        <v>965</v>
      </c>
      <c r="Y422" t="s">
        <v>965</v>
      </c>
      <c r="Z422" t="s">
        <v>965</v>
      </c>
      <c r="AA422" t="s">
        <v>965</v>
      </c>
      <c r="AB422" t="s">
        <v>965</v>
      </c>
      <c r="AC422" t="s">
        <v>965</v>
      </c>
      <c r="AD422" t="s">
        <v>965</v>
      </c>
      <c r="AE422" t="s">
        <v>965</v>
      </c>
      <c r="AF422" t="s">
        <v>965</v>
      </c>
      <c r="AG422" t="s">
        <v>965</v>
      </c>
      <c r="AH422" t="s">
        <v>965</v>
      </c>
      <c r="AI422" t="s">
        <v>965</v>
      </c>
      <c r="AJ422" t="s">
        <v>965</v>
      </c>
      <c r="AK422" t="s">
        <v>965</v>
      </c>
      <c r="AL422" t="s">
        <v>965</v>
      </c>
      <c r="AM422" t="s">
        <v>965</v>
      </c>
      <c r="AN422" t="s">
        <v>965</v>
      </c>
      <c r="AO422" t="s">
        <v>965</v>
      </c>
      <c r="AP422" t="s">
        <v>965</v>
      </c>
      <c r="AQ422" t="s">
        <v>965</v>
      </c>
      <c r="AR422" t="s">
        <v>965</v>
      </c>
      <c r="AS422" t="s">
        <v>965</v>
      </c>
      <c r="AT422" t="s">
        <v>965</v>
      </c>
      <c r="AU422" t="s">
        <v>965</v>
      </c>
      <c r="AV422" t="s">
        <v>965</v>
      </c>
      <c r="AW422" t="s">
        <v>965</v>
      </c>
      <c r="AX422" t="s">
        <v>965</v>
      </c>
      <c r="AY422" t="s">
        <v>965</v>
      </c>
      <c r="AZ422" t="s">
        <v>965</v>
      </c>
      <c r="BA422" t="s">
        <v>965</v>
      </c>
      <c r="BB422" t="s">
        <v>965</v>
      </c>
      <c r="BC422" t="s">
        <v>965</v>
      </c>
      <c r="BD422" t="s">
        <v>965</v>
      </c>
      <c r="BE422" t="s">
        <v>855</v>
      </c>
      <c r="BF422">
        <v>4</v>
      </c>
      <c r="BG422">
        <v>2</v>
      </c>
      <c r="BH422">
        <v>0</v>
      </c>
      <c r="BI422">
        <v>0</v>
      </c>
      <c r="BJ422">
        <v>0</v>
      </c>
      <c r="BK422">
        <v>20</v>
      </c>
      <c r="BL422">
        <v>0</v>
      </c>
      <c r="BM422">
        <v>0</v>
      </c>
      <c r="BN422">
        <v>19</v>
      </c>
      <c r="BO422">
        <v>0</v>
      </c>
      <c r="BP422">
        <v>0</v>
      </c>
      <c r="BQ422">
        <v>24</v>
      </c>
      <c r="BR422">
        <v>0</v>
      </c>
      <c r="BS422">
        <v>0</v>
      </c>
      <c r="BT422">
        <v>24</v>
      </c>
      <c r="BU422">
        <v>22</v>
      </c>
      <c r="BV422" s="36">
        <f t="shared" si="4"/>
        <v>0.91666666666666663</v>
      </c>
      <c r="BW422" s="32">
        <v>0.5</v>
      </c>
    </row>
    <row r="423" spans="1:75" x14ac:dyDescent="0.2">
      <c r="A423">
        <v>2025</v>
      </c>
      <c r="B423" s="58" t="s">
        <v>25</v>
      </c>
      <c r="C423" s="58" t="s">
        <v>866</v>
      </c>
      <c r="D423" t="s">
        <v>1276</v>
      </c>
      <c r="E423" s="5" t="s">
        <v>838</v>
      </c>
      <c r="F423" s="5" t="s">
        <v>42</v>
      </c>
      <c r="G423" s="6" t="s">
        <v>290</v>
      </c>
      <c r="H423" s="35">
        <v>0.66</v>
      </c>
      <c r="I423" s="35">
        <v>0.03</v>
      </c>
      <c r="J423" s="32">
        <v>0.36</v>
      </c>
      <c r="K423" t="s">
        <v>833</v>
      </c>
      <c r="L423" t="s">
        <v>963</v>
      </c>
      <c r="N423" t="s">
        <v>834</v>
      </c>
      <c r="O423" t="s">
        <v>965</v>
      </c>
      <c r="P423" t="s">
        <v>965</v>
      </c>
      <c r="Q423" t="s">
        <v>965</v>
      </c>
      <c r="R423" t="s">
        <v>965</v>
      </c>
      <c r="S423" t="s">
        <v>965</v>
      </c>
      <c r="T423" t="s">
        <v>965</v>
      </c>
      <c r="U423" t="s">
        <v>965</v>
      </c>
      <c r="V423" t="s">
        <v>965</v>
      </c>
      <c r="W423" t="s">
        <v>965</v>
      </c>
      <c r="X423" t="s">
        <v>965</v>
      </c>
      <c r="Y423" t="s">
        <v>965</v>
      </c>
      <c r="Z423" t="s">
        <v>965</v>
      </c>
      <c r="AA423" t="s">
        <v>965</v>
      </c>
      <c r="AB423" t="s">
        <v>965</v>
      </c>
      <c r="AC423" t="s">
        <v>965</v>
      </c>
      <c r="AD423" t="s">
        <v>965</v>
      </c>
      <c r="AE423" t="s">
        <v>965</v>
      </c>
      <c r="AF423" t="s">
        <v>965</v>
      </c>
      <c r="AG423" t="s">
        <v>965</v>
      </c>
      <c r="AH423" t="s">
        <v>965</v>
      </c>
      <c r="AI423" t="s">
        <v>965</v>
      </c>
      <c r="AJ423" t="s">
        <v>965</v>
      </c>
      <c r="AK423" t="s">
        <v>965</v>
      </c>
      <c r="AL423" t="s">
        <v>965</v>
      </c>
      <c r="AM423" t="s">
        <v>965</v>
      </c>
      <c r="AN423" t="s">
        <v>965</v>
      </c>
      <c r="AO423" t="s">
        <v>965</v>
      </c>
      <c r="AP423" t="s">
        <v>965</v>
      </c>
      <c r="AQ423" t="s">
        <v>965</v>
      </c>
      <c r="AR423" t="s">
        <v>965</v>
      </c>
      <c r="AS423" t="s">
        <v>965</v>
      </c>
      <c r="AT423" t="s">
        <v>965</v>
      </c>
      <c r="AU423" t="s">
        <v>965</v>
      </c>
      <c r="AV423" t="s">
        <v>965</v>
      </c>
      <c r="AW423" t="s">
        <v>965</v>
      </c>
      <c r="AX423" t="s">
        <v>965</v>
      </c>
      <c r="AY423" t="s">
        <v>965</v>
      </c>
      <c r="AZ423" t="s">
        <v>965</v>
      </c>
      <c r="BA423" t="s">
        <v>965</v>
      </c>
      <c r="BB423" t="s">
        <v>965</v>
      </c>
      <c r="BC423" t="s">
        <v>965</v>
      </c>
      <c r="BD423" t="s">
        <v>965</v>
      </c>
      <c r="BE423" t="s">
        <v>835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8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8</v>
      </c>
      <c r="BR423">
        <v>0</v>
      </c>
      <c r="BS423">
        <v>0</v>
      </c>
      <c r="BT423">
        <v>8</v>
      </c>
      <c r="BU423">
        <v>7</v>
      </c>
      <c r="BV423" s="36">
        <f t="shared" si="4"/>
        <v>0.875</v>
      </c>
      <c r="BW423" s="32">
        <v>0.64</v>
      </c>
    </row>
    <row r="424" spans="1:75" x14ac:dyDescent="0.2">
      <c r="A424">
        <v>2025</v>
      </c>
      <c r="B424" s="58" t="s">
        <v>25</v>
      </c>
      <c r="C424" s="58" t="s">
        <v>842</v>
      </c>
      <c r="D424" t="s">
        <v>1277</v>
      </c>
      <c r="E424" s="5" t="s">
        <v>838</v>
      </c>
      <c r="F424" s="5" t="s">
        <v>42</v>
      </c>
      <c r="K424" t="s">
        <v>833</v>
      </c>
      <c r="L424" t="s">
        <v>963</v>
      </c>
      <c r="N424" t="s">
        <v>834</v>
      </c>
      <c r="O424" t="s">
        <v>965</v>
      </c>
      <c r="P424" t="s">
        <v>965</v>
      </c>
      <c r="Q424" t="s">
        <v>965</v>
      </c>
      <c r="R424" t="s">
        <v>965</v>
      </c>
      <c r="S424" t="s">
        <v>965</v>
      </c>
      <c r="T424" t="s">
        <v>965</v>
      </c>
      <c r="U424" t="s">
        <v>833</v>
      </c>
      <c r="V424" t="s">
        <v>965</v>
      </c>
      <c r="W424" t="s">
        <v>965</v>
      </c>
      <c r="X424" t="s">
        <v>965</v>
      </c>
      <c r="Y424" t="s">
        <v>965</v>
      </c>
      <c r="Z424" t="s">
        <v>965</v>
      </c>
      <c r="AA424" t="s">
        <v>965</v>
      </c>
      <c r="AB424" t="s">
        <v>965</v>
      </c>
      <c r="AC424" t="s">
        <v>965</v>
      </c>
      <c r="AD424" t="s">
        <v>965</v>
      </c>
      <c r="AE424" t="s">
        <v>965</v>
      </c>
      <c r="AF424" t="s">
        <v>965</v>
      </c>
      <c r="AG424" t="s">
        <v>965</v>
      </c>
      <c r="AH424" t="s">
        <v>965</v>
      </c>
      <c r="AI424" t="s">
        <v>965</v>
      </c>
      <c r="AJ424" t="s">
        <v>965</v>
      </c>
      <c r="AK424" t="s">
        <v>965</v>
      </c>
      <c r="AL424" t="s">
        <v>965</v>
      </c>
      <c r="AM424" t="s">
        <v>965</v>
      </c>
      <c r="AN424" t="s">
        <v>965</v>
      </c>
      <c r="AO424" t="s">
        <v>965</v>
      </c>
      <c r="AP424" t="s">
        <v>965</v>
      </c>
      <c r="AQ424" t="s">
        <v>965</v>
      </c>
      <c r="AR424" t="s">
        <v>965</v>
      </c>
      <c r="AS424" t="s">
        <v>965</v>
      </c>
      <c r="AT424" t="s">
        <v>965</v>
      </c>
      <c r="AU424" t="s">
        <v>965</v>
      </c>
      <c r="AV424" t="s">
        <v>965</v>
      </c>
      <c r="AW424" t="s">
        <v>965</v>
      </c>
      <c r="AX424" t="s">
        <v>965</v>
      </c>
      <c r="AY424" t="s">
        <v>965</v>
      </c>
      <c r="AZ424" t="s">
        <v>965</v>
      </c>
      <c r="BA424" t="s">
        <v>965</v>
      </c>
      <c r="BB424" t="s">
        <v>965</v>
      </c>
      <c r="BC424" t="s">
        <v>965</v>
      </c>
      <c r="BD424" t="s">
        <v>965</v>
      </c>
      <c r="BE424" t="s">
        <v>855</v>
      </c>
      <c r="BF424">
        <v>153</v>
      </c>
      <c r="BG424">
        <v>51</v>
      </c>
      <c r="BH424">
        <v>0</v>
      </c>
      <c r="BI424">
        <v>0</v>
      </c>
      <c r="BJ424">
        <v>0</v>
      </c>
      <c r="BK424">
        <v>123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276</v>
      </c>
      <c r="BR424">
        <v>0</v>
      </c>
      <c r="BS424">
        <v>0</v>
      </c>
      <c r="BT424">
        <v>276</v>
      </c>
      <c r="BU424">
        <v>248</v>
      </c>
      <c r="BV424" s="36">
        <f t="shared" si="4"/>
        <v>0.89855072463768115</v>
      </c>
      <c r="BW424" s="32">
        <v>0.91</v>
      </c>
    </row>
    <row r="425" spans="1:75" x14ac:dyDescent="0.2">
      <c r="A425">
        <v>2025</v>
      </c>
      <c r="B425" s="58" t="s">
        <v>25</v>
      </c>
      <c r="C425" s="58" t="s">
        <v>842</v>
      </c>
      <c r="D425" t="s">
        <v>1278</v>
      </c>
      <c r="E425" s="5" t="s">
        <v>838</v>
      </c>
      <c r="F425" s="5" t="s">
        <v>42</v>
      </c>
      <c r="K425" t="s">
        <v>833</v>
      </c>
      <c r="L425" t="s">
        <v>963</v>
      </c>
      <c r="N425" t="s">
        <v>834</v>
      </c>
      <c r="O425" t="s">
        <v>965</v>
      </c>
      <c r="P425" t="s">
        <v>965</v>
      </c>
      <c r="Q425" t="s">
        <v>965</v>
      </c>
      <c r="R425" t="s">
        <v>965</v>
      </c>
      <c r="S425" t="s">
        <v>965</v>
      </c>
      <c r="T425" t="s">
        <v>965</v>
      </c>
      <c r="U425" t="s">
        <v>833</v>
      </c>
      <c r="V425" t="s">
        <v>965</v>
      </c>
      <c r="W425" t="s">
        <v>965</v>
      </c>
      <c r="X425" t="s">
        <v>965</v>
      </c>
      <c r="Y425" t="s">
        <v>965</v>
      </c>
      <c r="Z425" t="s">
        <v>965</v>
      </c>
      <c r="AA425" t="s">
        <v>965</v>
      </c>
      <c r="AB425" t="s">
        <v>965</v>
      </c>
      <c r="AC425" t="s">
        <v>965</v>
      </c>
      <c r="AD425" t="s">
        <v>965</v>
      </c>
      <c r="AE425" t="s">
        <v>965</v>
      </c>
      <c r="AF425" t="s">
        <v>965</v>
      </c>
      <c r="AG425" t="s">
        <v>965</v>
      </c>
      <c r="AH425" t="s">
        <v>965</v>
      </c>
      <c r="AI425" t="s">
        <v>965</v>
      </c>
      <c r="AJ425" t="s">
        <v>965</v>
      </c>
      <c r="AK425" t="s">
        <v>965</v>
      </c>
      <c r="AL425" t="s">
        <v>965</v>
      </c>
      <c r="AM425" t="s">
        <v>965</v>
      </c>
      <c r="AN425" t="s">
        <v>965</v>
      </c>
      <c r="AO425" t="s">
        <v>965</v>
      </c>
      <c r="AP425" t="s">
        <v>965</v>
      </c>
      <c r="AQ425" t="s">
        <v>965</v>
      </c>
      <c r="AR425" t="s">
        <v>965</v>
      </c>
      <c r="AS425" t="s">
        <v>965</v>
      </c>
      <c r="AT425" t="s">
        <v>965</v>
      </c>
      <c r="AU425" t="s">
        <v>965</v>
      </c>
      <c r="AV425" t="s">
        <v>965</v>
      </c>
      <c r="AW425" t="s">
        <v>965</v>
      </c>
      <c r="AX425" t="s">
        <v>965</v>
      </c>
      <c r="AY425" t="s">
        <v>965</v>
      </c>
      <c r="AZ425" t="s">
        <v>965</v>
      </c>
      <c r="BA425" t="s">
        <v>965</v>
      </c>
      <c r="BB425" t="s">
        <v>965</v>
      </c>
      <c r="BC425" t="s">
        <v>965</v>
      </c>
      <c r="BD425" t="s">
        <v>965</v>
      </c>
      <c r="BE425" t="s">
        <v>855</v>
      </c>
      <c r="BF425">
        <v>69</v>
      </c>
      <c r="BG425">
        <v>21</v>
      </c>
      <c r="BH425">
        <v>0</v>
      </c>
      <c r="BI425">
        <v>0</v>
      </c>
      <c r="BJ425">
        <v>0</v>
      </c>
      <c r="BK425">
        <v>54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123</v>
      </c>
      <c r="BR425">
        <v>0</v>
      </c>
      <c r="BS425">
        <v>0</v>
      </c>
      <c r="BT425">
        <v>123</v>
      </c>
      <c r="BU425">
        <v>108</v>
      </c>
      <c r="BV425" s="36">
        <f t="shared" si="4"/>
        <v>0.87804878048780488</v>
      </c>
      <c r="BW425" s="32">
        <v>0.91</v>
      </c>
    </row>
    <row r="426" spans="1:75" x14ac:dyDescent="0.2">
      <c r="A426">
        <v>2025</v>
      </c>
      <c r="B426" s="58" t="s">
        <v>25</v>
      </c>
      <c r="C426" s="58" t="s">
        <v>842</v>
      </c>
      <c r="D426" t="s">
        <v>1279</v>
      </c>
      <c r="E426" s="5" t="s">
        <v>838</v>
      </c>
      <c r="F426" s="5" t="s">
        <v>42</v>
      </c>
      <c r="K426" t="s">
        <v>833</v>
      </c>
      <c r="L426" t="s">
        <v>963</v>
      </c>
      <c r="N426" t="s">
        <v>834</v>
      </c>
      <c r="O426" t="s">
        <v>965</v>
      </c>
      <c r="P426" t="s">
        <v>965</v>
      </c>
      <c r="Q426" t="s">
        <v>965</v>
      </c>
      <c r="R426" t="s">
        <v>965</v>
      </c>
      <c r="S426" t="s">
        <v>965</v>
      </c>
      <c r="T426" t="s">
        <v>965</v>
      </c>
      <c r="U426" t="s">
        <v>833</v>
      </c>
      <c r="V426" t="s">
        <v>965</v>
      </c>
      <c r="W426" t="s">
        <v>965</v>
      </c>
      <c r="X426" t="s">
        <v>965</v>
      </c>
      <c r="Y426" t="s">
        <v>965</v>
      </c>
      <c r="Z426" t="s">
        <v>965</v>
      </c>
      <c r="AA426" t="s">
        <v>965</v>
      </c>
      <c r="AB426" t="s">
        <v>965</v>
      </c>
      <c r="AC426" t="s">
        <v>965</v>
      </c>
      <c r="AD426" t="s">
        <v>965</v>
      </c>
      <c r="AE426" t="s">
        <v>965</v>
      </c>
      <c r="AF426" t="s">
        <v>965</v>
      </c>
      <c r="AG426" t="s">
        <v>965</v>
      </c>
      <c r="AH426" t="s">
        <v>965</v>
      </c>
      <c r="AI426" t="s">
        <v>965</v>
      </c>
      <c r="AJ426" t="s">
        <v>965</v>
      </c>
      <c r="AK426" t="s">
        <v>965</v>
      </c>
      <c r="AL426" t="s">
        <v>965</v>
      </c>
      <c r="AM426" t="s">
        <v>965</v>
      </c>
      <c r="AN426" t="s">
        <v>965</v>
      </c>
      <c r="AO426" t="s">
        <v>965</v>
      </c>
      <c r="AP426" t="s">
        <v>965</v>
      </c>
      <c r="AQ426" t="s">
        <v>965</v>
      </c>
      <c r="AR426" t="s">
        <v>965</v>
      </c>
      <c r="AS426" t="s">
        <v>965</v>
      </c>
      <c r="AT426" t="s">
        <v>965</v>
      </c>
      <c r="AU426" t="s">
        <v>965</v>
      </c>
      <c r="AV426" t="s">
        <v>965</v>
      </c>
      <c r="AW426" t="s">
        <v>965</v>
      </c>
      <c r="AX426" t="s">
        <v>965</v>
      </c>
      <c r="AY426" t="s">
        <v>965</v>
      </c>
      <c r="AZ426" t="s">
        <v>965</v>
      </c>
      <c r="BA426" t="s">
        <v>965</v>
      </c>
      <c r="BB426" t="s">
        <v>965</v>
      </c>
      <c r="BC426" t="s">
        <v>965</v>
      </c>
      <c r="BD426" t="s">
        <v>965</v>
      </c>
      <c r="BE426" t="s">
        <v>855</v>
      </c>
      <c r="BF426">
        <v>99</v>
      </c>
      <c r="BG426">
        <v>31</v>
      </c>
      <c r="BH426">
        <v>0</v>
      </c>
      <c r="BI426">
        <v>0</v>
      </c>
      <c r="BJ426">
        <v>0</v>
      </c>
      <c r="BK426">
        <v>84</v>
      </c>
      <c r="BL426">
        <v>0</v>
      </c>
      <c r="BM426">
        <v>0</v>
      </c>
      <c r="BN426">
        <v>29</v>
      </c>
      <c r="BO426">
        <v>0</v>
      </c>
      <c r="BP426">
        <v>0</v>
      </c>
      <c r="BQ426">
        <v>183</v>
      </c>
      <c r="BR426">
        <v>0</v>
      </c>
      <c r="BS426">
        <v>0</v>
      </c>
      <c r="BT426">
        <v>183</v>
      </c>
      <c r="BU426">
        <v>163</v>
      </c>
      <c r="BV426" s="36">
        <f t="shared" si="4"/>
        <v>0.89071038251366119</v>
      </c>
      <c r="BW426" s="32">
        <v>0.66</v>
      </c>
    </row>
    <row r="427" spans="1:75" x14ac:dyDescent="0.2">
      <c r="A427">
        <v>2025</v>
      </c>
      <c r="B427" s="58" t="s">
        <v>25</v>
      </c>
      <c r="C427" s="58" t="s">
        <v>842</v>
      </c>
      <c r="D427" t="s">
        <v>1280</v>
      </c>
      <c r="E427" s="5" t="s">
        <v>838</v>
      </c>
      <c r="F427" s="5" t="s">
        <v>42</v>
      </c>
      <c r="K427" t="s">
        <v>833</v>
      </c>
      <c r="L427" t="s">
        <v>963</v>
      </c>
      <c r="N427" t="s">
        <v>834</v>
      </c>
      <c r="O427" t="s">
        <v>965</v>
      </c>
      <c r="P427" t="s">
        <v>965</v>
      </c>
      <c r="Q427" t="s">
        <v>965</v>
      </c>
      <c r="R427" t="s">
        <v>965</v>
      </c>
      <c r="S427" t="s">
        <v>965</v>
      </c>
      <c r="T427" t="s">
        <v>965</v>
      </c>
      <c r="U427" t="s">
        <v>833</v>
      </c>
      <c r="V427" t="s">
        <v>965</v>
      </c>
      <c r="W427" t="s">
        <v>965</v>
      </c>
      <c r="X427" t="s">
        <v>965</v>
      </c>
      <c r="Y427" t="s">
        <v>965</v>
      </c>
      <c r="Z427" t="s">
        <v>965</v>
      </c>
      <c r="AA427" t="s">
        <v>965</v>
      </c>
      <c r="AB427" t="s">
        <v>965</v>
      </c>
      <c r="AC427" t="s">
        <v>965</v>
      </c>
      <c r="AD427" t="s">
        <v>965</v>
      </c>
      <c r="AE427" t="s">
        <v>965</v>
      </c>
      <c r="AF427" t="s">
        <v>965</v>
      </c>
      <c r="AG427" t="s">
        <v>965</v>
      </c>
      <c r="AH427" t="s">
        <v>965</v>
      </c>
      <c r="AI427" t="s">
        <v>965</v>
      </c>
      <c r="AJ427" t="s">
        <v>965</v>
      </c>
      <c r="AK427" t="s">
        <v>965</v>
      </c>
      <c r="AL427" t="s">
        <v>965</v>
      </c>
      <c r="AM427" t="s">
        <v>965</v>
      </c>
      <c r="AN427" t="s">
        <v>965</v>
      </c>
      <c r="AO427" t="s">
        <v>965</v>
      </c>
      <c r="AP427" t="s">
        <v>965</v>
      </c>
      <c r="AQ427" t="s">
        <v>965</v>
      </c>
      <c r="AR427" t="s">
        <v>965</v>
      </c>
      <c r="AS427" t="s">
        <v>965</v>
      </c>
      <c r="AT427" t="s">
        <v>965</v>
      </c>
      <c r="AU427" t="s">
        <v>965</v>
      </c>
      <c r="AV427" t="s">
        <v>965</v>
      </c>
      <c r="AW427" t="s">
        <v>965</v>
      </c>
      <c r="AX427" t="s">
        <v>965</v>
      </c>
      <c r="AY427" t="s">
        <v>965</v>
      </c>
      <c r="AZ427" t="s">
        <v>965</v>
      </c>
      <c r="BA427" t="s">
        <v>965</v>
      </c>
      <c r="BB427" t="s">
        <v>965</v>
      </c>
      <c r="BC427" t="s">
        <v>965</v>
      </c>
      <c r="BD427" t="s">
        <v>965</v>
      </c>
      <c r="BE427" t="s">
        <v>855</v>
      </c>
      <c r="BF427">
        <v>91</v>
      </c>
      <c r="BG427">
        <v>27</v>
      </c>
      <c r="BH427">
        <v>0</v>
      </c>
      <c r="BI427">
        <v>0</v>
      </c>
      <c r="BJ427">
        <v>0</v>
      </c>
      <c r="BK427">
        <v>61</v>
      </c>
      <c r="BL427">
        <v>0</v>
      </c>
      <c r="BM427">
        <v>0</v>
      </c>
      <c r="BN427">
        <v>25</v>
      </c>
      <c r="BO427">
        <v>0</v>
      </c>
      <c r="BP427">
        <v>0</v>
      </c>
      <c r="BQ427">
        <v>152</v>
      </c>
      <c r="BR427">
        <v>0</v>
      </c>
      <c r="BS427">
        <v>0</v>
      </c>
      <c r="BT427">
        <v>152</v>
      </c>
      <c r="BU427">
        <v>117</v>
      </c>
      <c r="BV427" s="36">
        <f t="shared" si="4"/>
        <v>0.76973684210526316</v>
      </c>
      <c r="BW427" s="32">
        <v>0.85</v>
      </c>
    </row>
    <row r="428" spans="1:75" x14ac:dyDescent="0.2">
      <c r="B428" s="58" t="s">
        <v>25</v>
      </c>
      <c r="C428" s="58" t="s">
        <v>859</v>
      </c>
      <c r="D428" t="s">
        <v>269</v>
      </c>
      <c r="E428" s="5" t="s">
        <v>838</v>
      </c>
      <c r="F428" s="5" t="s">
        <v>42</v>
      </c>
      <c r="G428" s="6" t="s">
        <v>98</v>
      </c>
      <c r="H428" s="35">
        <v>0.39</v>
      </c>
      <c r="I428" s="35">
        <v>7.0000000000000007E-2</v>
      </c>
      <c r="J428" s="32">
        <v>0.89</v>
      </c>
      <c r="BW428" s="13">
        <v>0.9</v>
      </c>
    </row>
    <row r="429" spans="1:75" x14ac:dyDescent="0.2">
      <c r="A429">
        <v>2025</v>
      </c>
      <c r="B429" s="58" t="s">
        <v>25</v>
      </c>
      <c r="C429" s="58" t="s">
        <v>966</v>
      </c>
      <c r="D429" t="s">
        <v>1281</v>
      </c>
      <c r="E429" s="5" t="s">
        <v>1249</v>
      </c>
      <c r="F429" s="5" t="s">
        <v>183</v>
      </c>
      <c r="K429" s="47" t="s">
        <v>833</v>
      </c>
      <c r="L429" s="47" t="s">
        <v>963</v>
      </c>
      <c r="M429" s="47"/>
      <c r="N429" s="47" t="s">
        <v>834</v>
      </c>
      <c r="O429" s="47" t="s">
        <v>965</v>
      </c>
      <c r="P429" s="47" t="s">
        <v>965</v>
      </c>
      <c r="Q429" s="47" t="s">
        <v>965</v>
      </c>
      <c r="R429" s="47" t="s">
        <v>965</v>
      </c>
      <c r="S429" s="47" t="s">
        <v>965</v>
      </c>
      <c r="T429" s="47" t="s">
        <v>965</v>
      </c>
      <c r="U429" s="47" t="s">
        <v>833</v>
      </c>
      <c r="V429" s="47" t="s">
        <v>965</v>
      </c>
      <c r="W429" s="47" t="s">
        <v>965</v>
      </c>
      <c r="X429" s="47" t="s">
        <v>965</v>
      </c>
      <c r="Y429" s="47" t="s">
        <v>965</v>
      </c>
      <c r="Z429" s="47" t="s">
        <v>965</v>
      </c>
      <c r="AA429" s="47" t="s">
        <v>965</v>
      </c>
      <c r="AB429" s="47" t="s">
        <v>965</v>
      </c>
      <c r="AC429" s="47" t="s">
        <v>965</v>
      </c>
      <c r="AD429" s="47" t="s">
        <v>965</v>
      </c>
      <c r="AE429" s="47" t="s">
        <v>965</v>
      </c>
      <c r="AF429" s="47" t="s">
        <v>965</v>
      </c>
      <c r="AG429" s="47" t="s">
        <v>965</v>
      </c>
      <c r="AH429" s="47" t="s">
        <v>965</v>
      </c>
      <c r="AI429" s="47" t="s">
        <v>965</v>
      </c>
      <c r="AJ429" s="47" t="s">
        <v>965</v>
      </c>
      <c r="AK429" s="47" t="s">
        <v>965</v>
      </c>
      <c r="AL429" s="47" t="s">
        <v>965</v>
      </c>
      <c r="AM429" s="47" t="s">
        <v>965</v>
      </c>
      <c r="AN429" s="47" t="s">
        <v>965</v>
      </c>
      <c r="AO429" s="47" t="s">
        <v>965</v>
      </c>
      <c r="AP429" s="47" t="s">
        <v>965</v>
      </c>
      <c r="AQ429" s="47" t="s">
        <v>965</v>
      </c>
      <c r="AR429" s="47" t="s">
        <v>965</v>
      </c>
      <c r="AS429" s="47" t="s">
        <v>965</v>
      </c>
      <c r="AT429" s="47" t="s">
        <v>965</v>
      </c>
      <c r="AU429" s="47" t="s">
        <v>965</v>
      </c>
      <c r="AV429" s="47" t="s">
        <v>965</v>
      </c>
      <c r="AW429" s="47" t="s">
        <v>965</v>
      </c>
      <c r="AX429" s="47" t="s">
        <v>965</v>
      </c>
      <c r="AY429" s="47" t="s">
        <v>965</v>
      </c>
      <c r="AZ429" s="47" t="s">
        <v>965</v>
      </c>
      <c r="BA429" s="47" t="s">
        <v>965</v>
      </c>
      <c r="BB429" s="47" t="s">
        <v>965</v>
      </c>
      <c r="BC429" s="47" t="s">
        <v>965</v>
      </c>
      <c r="BD429" s="47" t="s">
        <v>965</v>
      </c>
      <c r="BE429" s="47" t="s">
        <v>887</v>
      </c>
      <c r="BF429" s="47">
        <v>23</v>
      </c>
      <c r="BG429" s="47">
        <v>6</v>
      </c>
      <c r="BH429" s="47">
        <v>0</v>
      </c>
      <c r="BI429" s="47">
        <v>0</v>
      </c>
      <c r="BJ429" s="47">
        <v>0</v>
      </c>
      <c r="BK429" s="47">
        <v>14</v>
      </c>
      <c r="BL429" s="47">
        <v>0</v>
      </c>
      <c r="BM429" s="47">
        <v>0</v>
      </c>
      <c r="BN429" s="47">
        <v>0</v>
      </c>
      <c r="BO429" s="47">
        <v>0</v>
      </c>
      <c r="BP429" s="47">
        <v>0</v>
      </c>
      <c r="BQ429" s="47">
        <v>37</v>
      </c>
      <c r="BR429" s="47">
        <v>0</v>
      </c>
      <c r="BS429" s="47">
        <v>0</v>
      </c>
      <c r="BT429" s="47">
        <v>37</v>
      </c>
      <c r="BU429" s="47">
        <v>37</v>
      </c>
      <c r="BV429" s="52">
        <f t="shared" ref="BV429:BV438" si="5">BU429/BT429</f>
        <v>1</v>
      </c>
      <c r="BW429" s="49">
        <v>0.91</v>
      </c>
    </row>
    <row r="430" spans="1:75" x14ac:dyDescent="0.2">
      <c r="A430">
        <v>2025</v>
      </c>
      <c r="B430" s="58" t="s">
        <v>25</v>
      </c>
      <c r="C430" s="58" t="s">
        <v>839</v>
      </c>
      <c r="D430" t="s">
        <v>1282</v>
      </c>
      <c r="E430" s="5" t="s">
        <v>843</v>
      </c>
      <c r="F430" s="5" t="s">
        <v>225</v>
      </c>
      <c r="G430" s="6" t="s">
        <v>226</v>
      </c>
      <c r="H430" s="35">
        <v>0.44</v>
      </c>
      <c r="I430" s="35">
        <v>0.8</v>
      </c>
      <c r="J430" s="32">
        <v>0.31</v>
      </c>
      <c r="K430" t="s">
        <v>833</v>
      </c>
      <c r="L430" t="s">
        <v>963</v>
      </c>
      <c r="N430" t="s">
        <v>834</v>
      </c>
      <c r="O430" t="s">
        <v>965</v>
      </c>
      <c r="P430" t="s">
        <v>965</v>
      </c>
      <c r="Q430" t="s">
        <v>965</v>
      </c>
      <c r="R430" t="s">
        <v>965</v>
      </c>
      <c r="S430" t="s">
        <v>965</v>
      </c>
      <c r="T430" t="s">
        <v>965</v>
      </c>
      <c r="U430" t="s">
        <v>965</v>
      </c>
      <c r="V430" t="s">
        <v>965</v>
      </c>
      <c r="W430" t="s">
        <v>965</v>
      </c>
      <c r="X430" t="s">
        <v>965</v>
      </c>
      <c r="Y430" t="s">
        <v>965</v>
      </c>
      <c r="Z430" t="s">
        <v>965</v>
      </c>
      <c r="AA430" t="s">
        <v>965</v>
      </c>
      <c r="AB430" t="s">
        <v>965</v>
      </c>
      <c r="AC430" t="s">
        <v>965</v>
      </c>
      <c r="AD430" t="s">
        <v>965</v>
      </c>
      <c r="AE430" t="s">
        <v>965</v>
      </c>
      <c r="AF430" t="s">
        <v>965</v>
      </c>
      <c r="AG430" t="s">
        <v>965</v>
      </c>
      <c r="AH430" t="s">
        <v>965</v>
      </c>
      <c r="AI430" t="s">
        <v>965</v>
      </c>
      <c r="AJ430" t="s">
        <v>965</v>
      </c>
      <c r="AK430" t="s">
        <v>965</v>
      </c>
      <c r="AL430" t="s">
        <v>965</v>
      </c>
      <c r="AM430" t="s">
        <v>965</v>
      </c>
      <c r="AN430" t="s">
        <v>965</v>
      </c>
      <c r="AO430" t="s">
        <v>965</v>
      </c>
      <c r="AP430" t="s">
        <v>965</v>
      </c>
      <c r="AQ430" t="s">
        <v>965</v>
      </c>
      <c r="AR430" t="s">
        <v>965</v>
      </c>
      <c r="AS430" t="s">
        <v>965</v>
      </c>
      <c r="AT430" t="s">
        <v>965</v>
      </c>
      <c r="AU430" t="s">
        <v>965</v>
      </c>
      <c r="AV430" t="s">
        <v>965</v>
      </c>
      <c r="AW430" t="s">
        <v>965</v>
      </c>
      <c r="AX430" t="s">
        <v>965</v>
      </c>
      <c r="AY430" t="s">
        <v>965</v>
      </c>
      <c r="AZ430" t="s">
        <v>965</v>
      </c>
      <c r="BA430" t="s">
        <v>965</v>
      </c>
      <c r="BB430" t="s">
        <v>965</v>
      </c>
      <c r="BC430" t="s">
        <v>833</v>
      </c>
      <c r="BD430" t="s">
        <v>965</v>
      </c>
      <c r="BE430" t="s">
        <v>835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2</v>
      </c>
      <c r="BR430">
        <v>0</v>
      </c>
      <c r="BS430">
        <v>0</v>
      </c>
      <c r="BT430">
        <v>47</v>
      </c>
      <c r="BU430">
        <v>2</v>
      </c>
      <c r="BV430" s="36">
        <f t="shared" si="5"/>
        <v>4.2553191489361701E-2</v>
      </c>
      <c r="BW430" s="32">
        <v>0.63</v>
      </c>
    </row>
    <row r="431" spans="1:75" x14ac:dyDescent="0.2">
      <c r="A431">
        <v>2025</v>
      </c>
      <c r="B431" s="58" t="s">
        <v>25</v>
      </c>
      <c r="C431" s="58" t="s">
        <v>839</v>
      </c>
      <c r="D431" t="s">
        <v>1283</v>
      </c>
      <c r="E431" s="5" t="s">
        <v>843</v>
      </c>
      <c r="F431" s="5" t="s">
        <v>610</v>
      </c>
      <c r="G431" s="6" t="s">
        <v>611</v>
      </c>
      <c r="H431" s="35">
        <v>0.25</v>
      </c>
      <c r="I431" s="35">
        <v>0.66</v>
      </c>
      <c r="J431" s="32" t="s">
        <v>1284</v>
      </c>
      <c r="K431" t="s">
        <v>833</v>
      </c>
      <c r="L431" t="s">
        <v>963</v>
      </c>
      <c r="N431" t="s">
        <v>834</v>
      </c>
      <c r="O431" t="s">
        <v>965</v>
      </c>
      <c r="P431" t="s">
        <v>965</v>
      </c>
      <c r="Q431" t="s">
        <v>965</v>
      </c>
      <c r="R431" t="s">
        <v>965</v>
      </c>
      <c r="S431" t="s">
        <v>965</v>
      </c>
      <c r="T431" t="s">
        <v>965</v>
      </c>
      <c r="U431" t="s">
        <v>965</v>
      </c>
      <c r="V431" t="s">
        <v>965</v>
      </c>
      <c r="W431" t="s">
        <v>965</v>
      </c>
      <c r="X431" t="s">
        <v>965</v>
      </c>
      <c r="Y431" t="s">
        <v>965</v>
      </c>
      <c r="Z431" t="s">
        <v>965</v>
      </c>
      <c r="AA431" t="s">
        <v>965</v>
      </c>
      <c r="AB431" t="s">
        <v>965</v>
      </c>
      <c r="AC431" t="s">
        <v>965</v>
      </c>
      <c r="AD431" t="s">
        <v>965</v>
      </c>
      <c r="AE431" t="s">
        <v>965</v>
      </c>
      <c r="AF431" t="s">
        <v>965</v>
      </c>
      <c r="AG431" t="s">
        <v>965</v>
      </c>
      <c r="AH431" t="s">
        <v>965</v>
      </c>
      <c r="AI431" t="s">
        <v>965</v>
      </c>
      <c r="AJ431" t="s">
        <v>965</v>
      </c>
      <c r="AK431" t="s">
        <v>965</v>
      </c>
      <c r="AL431" t="s">
        <v>965</v>
      </c>
      <c r="AM431" t="s">
        <v>965</v>
      </c>
      <c r="AN431" t="s">
        <v>965</v>
      </c>
      <c r="AO431" t="s">
        <v>965</v>
      </c>
      <c r="AP431" t="s">
        <v>965</v>
      </c>
      <c r="AQ431" t="s">
        <v>965</v>
      </c>
      <c r="AR431" t="s">
        <v>965</v>
      </c>
      <c r="AS431" t="s">
        <v>965</v>
      </c>
      <c r="AT431" t="s">
        <v>965</v>
      </c>
      <c r="AU431" t="s">
        <v>965</v>
      </c>
      <c r="AV431" t="s">
        <v>965</v>
      </c>
      <c r="AW431" t="s">
        <v>965</v>
      </c>
      <c r="AX431" t="s">
        <v>965</v>
      </c>
      <c r="AY431" t="s">
        <v>965</v>
      </c>
      <c r="AZ431" t="s">
        <v>965</v>
      </c>
      <c r="BA431" t="s">
        <v>965</v>
      </c>
      <c r="BB431" t="s">
        <v>965</v>
      </c>
      <c r="BC431" t="s">
        <v>833</v>
      </c>
      <c r="BD431" t="s">
        <v>965</v>
      </c>
      <c r="BE431" t="s">
        <v>835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2</v>
      </c>
      <c r="BR431">
        <v>0</v>
      </c>
      <c r="BS431">
        <v>0</v>
      </c>
      <c r="BT431">
        <v>2</v>
      </c>
      <c r="BU431">
        <v>2</v>
      </c>
      <c r="BV431" s="36">
        <f t="shared" si="5"/>
        <v>1</v>
      </c>
      <c r="BW431" s="32">
        <v>0.6</v>
      </c>
    </row>
    <row r="432" spans="1:75" x14ac:dyDescent="0.2">
      <c r="A432">
        <v>2025</v>
      </c>
      <c r="B432" s="58" t="s">
        <v>25</v>
      </c>
      <c r="C432" s="58" t="s">
        <v>981</v>
      </c>
      <c r="D432" t="s">
        <v>1285</v>
      </c>
      <c r="E432" s="5" t="s">
        <v>843</v>
      </c>
      <c r="F432" s="5" t="s">
        <v>628</v>
      </c>
      <c r="K432" t="s">
        <v>833</v>
      </c>
      <c r="L432" t="s">
        <v>963</v>
      </c>
      <c r="N432" t="s">
        <v>834</v>
      </c>
      <c r="O432" t="s">
        <v>965</v>
      </c>
      <c r="P432" t="s">
        <v>965</v>
      </c>
      <c r="Q432" t="s">
        <v>965</v>
      </c>
      <c r="R432" t="s">
        <v>965</v>
      </c>
      <c r="S432" t="s">
        <v>965</v>
      </c>
      <c r="T432" t="s">
        <v>965</v>
      </c>
      <c r="U432" t="s">
        <v>833</v>
      </c>
      <c r="V432" t="s">
        <v>965</v>
      </c>
      <c r="W432" t="s">
        <v>965</v>
      </c>
      <c r="X432" t="s">
        <v>965</v>
      </c>
      <c r="Y432" t="s">
        <v>965</v>
      </c>
      <c r="Z432" t="s">
        <v>965</v>
      </c>
      <c r="AA432" t="s">
        <v>965</v>
      </c>
      <c r="AB432" t="s">
        <v>965</v>
      </c>
      <c r="AC432" t="s">
        <v>965</v>
      </c>
      <c r="AD432" t="s">
        <v>965</v>
      </c>
      <c r="AE432" t="s">
        <v>965</v>
      </c>
      <c r="AF432" t="s">
        <v>965</v>
      </c>
      <c r="AG432" t="s">
        <v>965</v>
      </c>
      <c r="AH432" t="s">
        <v>965</v>
      </c>
      <c r="AI432" t="s">
        <v>965</v>
      </c>
      <c r="AJ432" t="s">
        <v>965</v>
      </c>
      <c r="AK432" t="s">
        <v>965</v>
      </c>
      <c r="AL432" t="s">
        <v>965</v>
      </c>
      <c r="AM432" t="s">
        <v>965</v>
      </c>
      <c r="AN432" t="s">
        <v>965</v>
      </c>
      <c r="AO432" t="s">
        <v>965</v>
      </c>
      <c r="AP432" t="s">
        <v>965</v>
      </c>
      <c r="AQ432" t="s">
        <v>965</v>
      </c>
      <c r="AR432" t="s">
        <v>965</v>
      </c>
      <c r="AS432" t="s">
        <v>965</v>
      </c>
      <c r="AT432" t="s">
        <v>965</v>
      </c>
      <c r="AU432" t="s">
        <v>965</v>
      </c>
      <c r="AV432" t="s">
        <v>965</v>
      </c>
      <c r="AW432" t="s">
        <v>965</v>
      </c>
      <c r="AX432" t="s">
        <v>965</v>
      </c>
      <c r="AY432" t="s">
        <v>965</v>
      </c>
      <c r="AZ432" t="s">
        <v>965</v>
      </c>
      <c r="BA432" t="s">
        <v>965</v>
      </c>
      <c r="BB432" t="s">
        <v>965</v>
      </c>
      <c r="BC432" t="s">
        <v>965</v>
      </c>
      <c r="BD432" t="s">
        <v>965</v>
      </c>
      <c r="BE432" t="s">
        <v>887</v>
      </c>
      <c r="BF432">
        <v>6</v>
      </c>
      <c r="BG432">
        <v>2</v>
      </c>
      <c r="BH432">
        <v>0</v>
      </c>
      <c r="BI432">
        <v>0</v>
      </c>
      <c r="BJ432">
        <v>6</v>
      </c>
      <c r="BK432">
        <v>22</v>
      </c>
      <c r="BL432">
        <v>0</v>
      </c>
      <c r="BM432">
        <v>0</v>
      </c>
      <c r="BN432">
        <v>22</v>
      </c>
      <c r="BO432">
        <v>0</v>
      </c>
      <c r="BP432">
        <v>0</v>
      </c>
      <c r="BQ432">
        <v>28</v>
      </c>
      <c r="BR432">
        <v>0</v>
      </c>
      <c r="BS432">
        <v>0</v>
      </c>
      <c r="BT432">
        <v>28</v>
      </c>
      <c r="BU432">
        <v>28</v>
      </c>
      <c r="BV432" s="36">
        <f t="shared" si="5"/>
        <v>1</v>
      </c>
      <c r="BW432" s="32">
        <v>0.16</v>
      </c>
    </row>
    <row r="433" spans="1:75" x14ac:dyDescent="0.2">
      <c r="A433">
        <v>2025</v>
      </c>
      <c r="B433" s="58" t="s">
        <v>25</v>
      </c>
      <c r="C433" s="58" t="s">
        <v>981</v>
      </c>
      <c r="D433" t="s">
        <v>1286</v>
      </c>
      <c r="E433" s="5" t="s">
        <v>843</v>
      </c>
      <c r="F433" s="5" t="s">
        <v>628</v>
      </c>
      <c r="K433" t="s">
        <v>833</v>
      </c>
      <c r="L433" t="s">
        <v>963</v>
      </c>
      <c r="N433" t="s">
        <v>834</v>
      </c>
      <c r="O433" t="s">
        <v>965</v>
      </c>
      <c r="P433" t="s">
        <v>965</v>
      </c>
      <c r="Q433" t="s">
        <v>965</v>
      </c>
      <c r="R433" t="s">
        <v>965</v>
      </c>
      <c r="S433" t="s">
        <v>965</v>
      </c>
      <c r="T433" t="s">
        <v>965</v>
      </c>
      <c r="U433" t="s">
        <v>833</v>
      </c>
      <c r="V433" t="s">
        <v>965</v>
      </c>
      <c r="W433" t="s">
        <v>965</v>
      </c>
      <c r="X433" t="s">
        <v>965</v>
      </c>
      <c r="Y433" t="s">
        <v>965</v>
      </c>
      <c r="Z433" t="s">
        <v>965</v>
      </c>
      <c r="AA433" t="s">
        <v>965</v>
      </c>
      <c r="AB433" t="s">
        <v>965</v>
      </c>
      <c r="AC433" t="s">
        <v>965</v>
      </c>
      <c r="AD433" t="s">
        <v>965</v>
      </c>
      <c r="AE433" t="s">
        <v>965</v>
      </c>
      <c r="AF433" t="s">
        <v>965</v>
      </c>
      <c r="AG433" t="s">
        <v>965</v>
      </c>
      <c r="AH433" t="s">
        <v>965</v>
      </c>
      <c r="AI433" t="s">
        <v>965</v>
      </c>
      <c r="AJ433" t="s">
        <v>965</v>
      </c>
      <c r="AK433" t="s">
        <v>965</v>
      </c>
      <c r="AL433" t="s">
        <v>965</v>
      </c>
      <c r="AM433" t="s">
        <v>965</v>
      </c>
      <c r="AN433" t="s">
        <v>965</v>
      </c>
      <c r="AO433" t="s">
        <v>965</v>
      </c>
      <c r="AP433" t="s">
        <v>965</v>
      </c>
      <c r="AQ433" t="s">
        <v>965</v>
      </c>
      <c r="AR433" t="s">
        <v>965</v>
      </c>
      <c r="AS433" t="s">
        <v>965</v>
      </c>
      <c r="AT433" t="s">
        <v>965</v>
      </c>
      <c r="AU433" t="s">
        <v>965</v>
      </c>
      <c r="AV433" t="s">
        <v>965</v>
      </c>
      <c r="AW433" t="s">
        <v>965</v>
      </c>
      <c r="AX433" t="s">
        <v>965</v>
      </c>
      <c r="AY433" t="s">
        <v>965</v>
      </c>
      <c r="AZ433" t="s">
        <v>965</v>
      </c>
      <c r="BA433" t="s">
        <v>965</v>
      </c>
      <c r="BB433" t="s">
        <v>965</v>
      </c>
      <c r="BC433" t="s">
        <v>965</v>
      </c>
      <c r="BD433" t="s">
        <v>965</v>
      </c>
      <c r="BE433" t="s">
        <v>887</v>
      </c>
      <c r="BF433">
        <v>30</v>
      </c>
      <c r="BG433">
        <v>12</v>
      </c>
      <c r="BH433">
        <v>0</v>
      </c>
      <c r="BI433">
        <v>0</v>
      </c>
      <c r="BJ433">
        <v>30</v>
      </c>
      <c r="BK433">
        <v>77</v>
      </c>
      <c r="BL433">
        <v>0</v>
      </c>
      <c r="BM433">
        <v>0</v>
      </c>
      <c r="BN433">
        <v>77</v>
      </c>
      <c r="BO433">
        <v>0</v>
      </c>
      <c r="BP433">
        <v>0</v>
      </c>
      <c r="BQ433">
        <v>107</v>
      </c>
      <c r="BR433">
        <v>0</v>
      </c>
      <c r="BS433">
        <v>0</v>
      </c>
      <c r="BT433">
        <v>107</v>
      </c>
      <c r="BU433">
        <v>79</v>
      </c>
      <c r="BV433" s="36">
        <f t="shared" si="5"/>
        <v>0.73831775700934577</v>
      </c>
      <c r="BW433" s="32">
        <v>0.57999999999999996</v>
      </c>
    </row>
    <row r="434" spans="1:75" x14ac:dyDescent="0.2">
      <c r="A434">
        <v>2025</v>
      </c>
      <c r="B434" s="58" t="s">
        <v>25</v>
      </c>
      <c r="C434" s="58" t="s">
        <v>866</v>
      </c>
      <c r="D434" t="s">
        <v>1287</v>
      </c>
      <c r="E434" s="5" t="s">
        <v>843</v>
      </c>
      <c r="F434" s="5" t="s">
        <v>628</v>
      </c>
      <c r="K434" t="s">
        <v>833</v>
      </c>
      <c r="L434" t="s">
        <v>963</v>
      </c>
      <c r="N434" t="s">
        <v>834</v>
      </c>
      <c r="O434" t="s">
        <v>965</v>
      </c>
      <c r="P434" t="s">
        <v>965</v>
      </c>
      <c r="Q434" t="s">
        <v>965</v>
      </c>
      <c r="R434" t="s">
        <v>965</v>
      </c>
      <c r="S434" t="s">
        <v>965</v>
      </c>
      <c r="T434" t="s">
        <v>965</v>
      </c>
      <c r="U434" t="s">
        <v>833</v>
      </c>
      <c r="V434" t="s">
        <v>965</v>
      </c>
      <c r="W434" t="s">
        <v>965</v>
      </c>
      <c r="X434" t="s">
        <v>965</v>
      </c>
      <c r="Y434" t="s">
        <v>965</v>
      </c>
      <c r="Z434" t="s">
        <v>965</v>
      </c>
      <c r="AA434" t="s">
        <v>965</v>
      </c>
      <c r="AB434" t="s">
        <v>965</v>
      </c>
      <c r="AC434" t="s">
        <v>965</v>
      </c>
      <c r="AD434" t="s">
        <v>965</v>
      </c>
      <c r="AE434" t="s">
        <v>965</v>
      </c>
      <c r="AF434" t="s">
        <v>965</v>
      </c>
      <c r="AG434" t="s">
        <v>965</v>
      </c>
      <c r="AH434" t="s">
        <v>965</v>
      </c>
      <c r="AI434" t="s">
        <v>965</v>
      </c>
      <c r="AJ434" t="s">
        <v>965</v>
      </c>
      <c r="AK434" t="s">
        <v>965</v>
      </c>
      <c r="AL434" t="s">
        <v>965</v>
      </c>
      <c r="AM434" t="s">
        <v>965</v>
      </c>
      <c r="AN434" t="s">
        <v>965</v>
      </c>
      <c r="AO434" t="s">
        <v>965</v>
      </c>
      <c r="AP434" t="s">
        <v>965</v>
      </c>
      <c r="AQ434" t="s">
        <v>965</v>
      </c>
      <c r="AR434" t="s">
        <v>965</v>
      </c>
      <c r="AS434" t="s">
        <v>965</v>
      </c>
      <c r="AT434" t="s">
        <v>965</v>
      </c>
      <c r="AU434" t="s">
        <v>965</v>
      </c>
      <c r="AV434" t="s">
        <v>965</v>
      </c>
      <c r="AW434" t="s">
        <v>965</v>
      </c>
      <c r="AX434" t="s">
        <v>965</v>
      </c>
      <c r="AY434" t="s">
        <v>965</v>
      </c>
      <c r="AZ434" t="s">
        <v>965</v>
      </c>
      <c r="BA434" t="s">
        <v>965</v>
      </c>
      <c r="BB434" t="s">
        <v>965</v>
      </c>
      <c r="BC434" t="s">
        <v>965</v>
      </c>
      <c r="BD434" t="s">
        <v>965</v>
      </c>
      <c r="BE434" t="s">
        <v>855</v>
      </c>
      <c r="BF434">
        <v>3</v>
      </c>
      <c r="BG434">
        <v>1</v>
      </c>
      <c r="BH434">
        <v>0</v>
      </c>
      <c r="BI434">
        <v>0</v>
      </c>
      <c r="BJ434">
        <v>3</v>
      </c>
      <c r="BK434">
        <v>6</v>
      </c>
      <c r="BL434">
        <v>0</v>
      </c>
      <c r="BM434">
        <v>0</v>
      </c>
      <c r="BN434">
        <v>6</v>
      </c>
      <c r="BO434">
        <v>0</v>
      </c>
      <c r="BP434">
        <v>0</v>
      </c>
      <c r="BQ434">
        <v>9</v>
      </c>
      <c r="BR434">
        <v>0</v>
      </c>
      <c r="BS434">
        <v>0</v>
      </c>
      <c r="BT434">
        <v>9</v>
      </c>
      <c r="BU434">
        <v>9</v>
      </c>
      <c r="BV434" s="36">
        <f t="shared" si="5"/>
        <v>1</v>
      </c>
      <c r="BW434" s="32">
        <v>0.85</v>
      </c>
    </row>
    <row r="435" spans="1:75" x14ac:dyDescent="0.2">
      <c r="A435">
        <v>2025</v>
      </c>
      <c r="B435" s="58" t="s">
        <v>25</v>
      </c>
      <c r="C435" s="58" t="s">
        <v>866</v>
      </c>
      <c r="D435" t="s">
        <v>1288</v>
      </c>
      <c r="E435" s="5" t="s">
        <v>843</v>
      </c>
      <c r="F435" s="5" t="s">
        <v>628</v>
      </c>
      <c r="K435" t="s">
        <v>833</v>
      </c>
      <c r="L435" t="s">
        <v>963</v>
      </c>
      <c r="N435" t="s">
        <v>834</v>
      </c>
      <c r="O435" t="s">
        <v>965</v>
      </c>
      <c r="P435" t="s">
        <v>965</v>
      </c>
      <c r="Q435" t="s">
        <v>965</v>
      </c>
      <c r="R435" t="s">
        <v>965</v>
      </c>
      <c r="S435" t="s">
        <v>965</v>
      </c>
      <c r="T435" t="s">
        <v>965</v>
      </c>
      <c r="U435" t="s">
        <v>833</v>
      </c>
      <c r="V435" t="s">
        <v>965</v>
      </c>
      <c r="W435" t="s">
        <v>965</v>
      </c>
      <c r="X435" t="s">
        <v>965</v>
      </c>
      <c r="Y435" t="s">
        <v>965</v>
      </c>
      <c r="Z435" t="s">
        <v>965</v>
      </c>
      <c r="AA435" t="s">
        <v>965</v>
      </c>
      <c r="AB435" t="s">
        <v>965</v>
      </c>
      <c r="AC435" t="s">
        <v>965</v>
      </c>
      <c r="AD435" t="s">
        <v>965</v>
      </c>
      <c r="AE435" t="s">
        <v>965</v>
      </c>
      <c r="AF435" t="s">
        <v>965</v>
      </c>
      <c r="AG435" t="s">
        <v>965</v>
      </c>
      <c r="AH435" t="s">
        <v>965</v>
      </c>
      <c r="AI435" t="s">
        <v>965</v>
      </c>
      <c r="AJ435" t="s">
        <v>965</v>
      </c>
      <c r="AK435" t="s">
        <v>965</v>
      </c>
      <c r="AL435" t="s">
        <v>965</v>
      </c>
      <c r="AM435" t="s">
        <v>965</v>
      </c>
      <c r="AN435" t="s">
        <v>965</v>
      </c>
      <c r="AO435" t="s">
        <v>965</v>
      </c>
      <c r="AP435" t="s">
        <v>965</v>
      </c>
      <c r="AQ435" t="s">
        <v>965</v>
      </c>
      <c r="AR435" t="s">
        <v>965</v>
      </c>
      <c r="AS435" t="s">
        <v>965</v>
      </c>
      <c r="AT435" t="s">
        <v>965</v>
      </c>
      <c r="AU435" t="s">
        <v>965</v>
      </c>
      <c r="AV435" t="s">
        <v>965</v>
      </c>
      <c r="AW435" t="s">
        <v>965</v>
      </c>
      <c r="AX435" t="s">
        <v>965</v>
      </c>
      <c r="AY435" t="s">
        <v>965</v>
      </c>
      <c r="AZ435" t="s">
        <v>965</v>
      </c>
      <c r="BA435" t="s">
        <v>965</v>
      </c>
      <c r="BB435" t="s">
        <v>965</v>
      </c>
      <c r="BC435" t="s">
        <v>965</v>
      </c>
      <c r="BD435" t="s">
        <v>965</v>
      </c>
      <c r="BE435" t="s">
        <v>855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14</v>
      </c>
      <c r="BL435">
        <v>0</v>
      </c>
      <c r="BM435">
        <v>0</v>
      </c>
      <c r="BN435">
        <v>14</v>
      </c>
      <c r="BO435">
        <v>0</v>
      </c>
      <c r="BP435">
        <v>0</v>
      </c>
      <c r="BQ435">
        <v>14</v>
      </c>
      <c r="BR435">
        <v>0</v>
      </c>
      <c r="BS435">
        <v>0</v>
      </c>
      <c r="BT435">
        <v>14</v>
      </c>
      <c r="BU435">
        <v>13</v>
      </c>
      <c r="BV435" s="36">
        <f t="shared" si="5"/>
        <v>0.9285714285714286</v>
      </c>
      <c r="BW435" s="32">
        <v>0.77</v>
      </c>
    </row>
    <row r="436" spans="1:75" x14ac:dyDescent="0.2">
      <c r="A436">
        <v>2025</v>
      </c>
      <c r="B436" s="58" t="s">
        <v>25</v>
      </c>
      <c r="C436" s="58" t="s">
        <v>866</v>
      </c>
      <c r="D436" t="s">
        <v>1289</v>
      </c>
      <c r="E436" s="5" t="s">
        <v>843</v>
      </c>
      <c r="F436" s="5" t="s">
        <v>628</v>
      </c>
      <c r="K436" t="s">
        <v>833</v>
      </c>
      <c r="L436" t="s">
        <v>963</v>
      </c>
      <c r="N436" t="s">
        <v>834</v>
      </c>
      <c r="O436" t="s">
        <v>965</v>
      </c>
      <c r="P436" t="s">
        <v>965</v>
      </c>
      <c r="Q436" t="s">
        <v>965</v>
      </c>
      <c r="R436" t="s">
        <v>965</v>
      </c>
      <c r="S436" t="s">
        <v>965</v>
      </c>
      <c r="T436" t="s">
        <v>965</v>
      </c>
      <c r="U436" t="s">
        <v>965</v>
      </c>
      <c r="V436" t="s">
        <v>965</v>
      </c>
      <c r="W436" t="s">
        <v>965</v>
      </c>
      <c r="X436" t="s">
        <v>965</v>
      </c>
      <c r="Y436" t="s">
        <v>965</v>
      </c>
      <c r="Z436" t="s">
        <v>965</v>
      </c>
      <c r="AA436" t="s">
        <v>965</v>
      </c>
      <c r="AB436" t="s">
        <v>965</v>
      </c>
      <c r="AC436" t="s">
        <v>965</v>
      </c>
      <c r="AD436" t="s">
        <v>965</v>
      </c>
      <c r="AE436" t="s">
        <v>965</v>
      </c>
      <c r="AF436" t="s">
        <v>965</v>
      </c>
      <c r="AG436" t="s">
        <v>965</v>
      </c>
      <c r="AH436" t="s">
        <v>965</v>
      </c>
      <c r="AI436" t="s">
        <v>965</v>
      </c>
      <c r="AJ436" t="s">
        <v>965</v>
      </c>
      <c r="AK436" t="s">
        <v>965</v>
      </c>
      <c r="AL436" t="s">
        <v>965</v>
      </c>
      <c r="AM436" t="s">
        <v>965</v>
      </c>
      <c r="AN436" t="s">
        <v>965</v>
      </c>
      <c r="AO436" t="s">
        <v>965</v>
      </c>
      <c r="AP436" t="s">
        <v>965</v>
      </c>
      <c r="AQ436" t="s">
        <v>965</v>
      </c>
      <c r="AR436" t="s">
        <v>965</v>
      </c>
      <c r="AS436" t="s">
        <v>965</v>
      </c>
      <c r="AT436" t="s">
        <v>965</v>
      </c>
      <c r="AU436" t="s">
        <v>965</v>
      </c>
      <c r="AV436" t="s">
        <v>965</v>
      </c>
      <c r="AW436" t="s">
        <v>965</v>
      </c>
      <c r="AX436" t="s">
        <v>965</v>
      </c>
      <c r="AY436" t="s">
        <v>965</v>
      </c>
      <c r="AZ436" t="s">
        <v>965</v>
      </c>
      <c r="BA436" t="s">
        <v>965</v>
      </c>
      <c r="BB436" t="s">
        <v>965</v>
      </c>
      <c r="BC436" t="s">
        <v>965</v>
      </c>
      <c r="BD436" t="s">
        <v>965</v>
      </c>
      <c r="BE436" t="s">
        <v>855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41</v>
      </c>
      <c r="BL436">
        <v>0</v>
      </c>
      <c r="BM436">
        <v>0</v>
      </c>
      <c r="BN436">
        <v>41</v>
      </c>
      <c r="BO436">
        <v>0</v>
      </c>
      <c r="BP436">
        <v>0</v>
      </c>
      <c r="BQ436">
        <v>41</v>
      </c>
      <c r="BR436">
        <v>0</v>
      </c>
      <c r="BS436">
        <v>0</v>
      </c>
      <c r="BT436">
        <v>41</v>
      </c>
      <c r="BU436">
        <v>41</v>
      </c>
      <c r="BV436" s="36">
        <f t="shared" si="5"/>
        <v>1</v>
      </c>
      <c r="BW436" s="32">
        <v>0.68</v>
      </c>
    </row>
    <row r="437" spans="1:75" x14ac:dyDescent="0.2">
      <c r="A437">
        <v>2025</v>
      </c>
      <c r="B437" s="58" t="s">
        <v>25</v>
      </c>
      <c r="C437" s="58" t="s">
        <v>866</v>
      </c>
      <c r="D437" t="s">
        <v>1290</v>
      </c>
      <c r="E437" s="5" t="s">
        <v>843</v>
      </c>
      <c r="F437" s="5" t="s">
        <v>628</v>
      </c>
      <c r="K437" t="s">
        <v>833</v>
      </c>
      <c r="L437" t="s">
        <v>963</v>
      </c>
      <c r="N437" t="s">
        <v>834</v>
      </c>
      <c r="O437" t="s">
        <v>965</v>
      </c>
      <c r="P437" t="s">
        <v>965</v>
      </c>
      <c r="Q437" t="s">
        <v>965</v>
      </c>
      <c r="R437" t="s">
        <v>965</v>
      </c>
      <c r="S437" t="s">
        <v>965</v>
      </c>
      <c r="T437" t="s">
        <v>965</v>
      </c>
      <c r="U437" t="s">
        <v>833</v>
      </c>
      <c r="V437" t="s">
        <v>965</v>
      </c>
      <c r="W437" t="s">
        <v>965</v>
      </c>
      <c r="X437" t="s">
        <v>965</v>
      </c>
      <c r="Y437" t="s">
        <v>965</v>
      </c>
      <c r="Z437" t="s">
        <v>965</v>
      </c>
      <c r="AA437" t="s">
        <v>965</v>
      </c>
      <c r="AB437" t="s">
        <v>965</v>
      </c>
      <c r="AC437" t="s">
        <v>965</v>
      </c>
      <c r="AD437" t="s">
        <v>965</v>
      </c>
      <c r="AE437" t="s">
        <v>965</v>
      </c>
      <c r="AF437" t="s">
        <v>965</v>
      </c>
      <c r="AG437" t="s">
        <v>965</v>
      </c>
      <c r="AH437" t="s">
        <v>965</v>
      </c>
      <c r="AI437" t="s">
        <v>965</v>
      </c>
      <c r="AJ437" t="s">
        <v>965</v>
      </c>
      <c r="AK437" t="s">
        <v>965</v>
      </c>
      <c r="AL437" t="s">
        <v>965</v>
      </c>
      <c r="AM437" t="s">
        <v>965</v>
      </c>
      <c r="AN437" t="s">
        <v>965</v>
      </c>
      <c r="AO437" t="s">
        <v>965</v>
      </c>
      <c r="AP437" t="s">
        <v>965</v>
      </c>
      <c r="AQ437" t="s">
        <v>965</v>
      </c>
      <c r="AR437" t="s">
        <v>965</v>
      </c>
      <c r="AS437" t="s">
        <v>965</v>
      </c>
      <c r="AT437" t="s">
        <v>965</v>
      </c>
      <c r="AU437" t="s">
        <v>965</v>
      </c>
      <c r="AV437" t="s">
        <v>965</v>
      </c>
      <c r="AW437" t="s">
        <v>965</v>
      </c>
      <c r="AX437" t="s">
        <v>965</v>
      </c>
      <c r="AY437" t="s">
        <v>965</v>
      </c>
      <c r="AZ437" t="s">
        <v>965</v>
      </c>
      <c r="BA437" t="s">
        <v>965</v>
      </c>
      <c r="BB437" t="s">
        <v>965</v>
      </c>
      <c r="BC437" t="s">
        <v>965</v>
      </c>
      <c r="BD437" t="s">
        <v>965</v>
      </c>
      <c r="BE437" t="s">
        <v>855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17</v>
      </c>
      <c r="BL437">
        <v>0</v>
      </c>
      <c r="BM437">
        <v>0</v>
      </c>
      <c r="BN437">
        <v>17</v>
      </c>
      <c r="BO437">
        <v>0</v>
      </c>
      <c r="BP437">
        <v>0</v>
      </c>
      <c r="BQ437">
        <v>17</v>
      </c>
      <c r="BR437">
        <v>0</v>
      </c>
      <c r="BS437">
        <v>0</v>
      </c>
      <c r="BT437">
        <v>17</v>
      </c>
      <c r="BU437">
        <v>17</v>
      </c>
      <c r="BV437" s="36">
        <f t="shared" si="5"/>
        <v>1</v>
      </c>
      <c r="BW437" s="32">
        <v>0.88</v>
      </c>
    </row>
    <row r="438" spans="1:75" x14ac:dyDescent="0.2">
      <c r="A438">
        <v>2025</v>
      </c>
      <c r="B438" s="58" t="s">
        <v>25</v>
      </c>
      <c r="C438" s="58" t="s">
        <v>842</v>
      </c>
      <c r="D438" s="18" t="s">
        <v>403</v>
      </c>
      <c r="E438" s="5" t="s">
        <v>843</v>
      </c>
      <c r="F438" s="5" t="s">
        <v>169</v>
      </c>
      <c r="G438" s="6" t="s">
        <v>170</v>
      </c>
      <c r="H438" s="35">
        <v>0.69</v>
      </c>
      <c r="I438" s="35">
        <v>0.08</v>
      </c>
      <c r="J438" s="32">
        <v>1</v>
      </c>
      <c r="K438" t="s">
        <v>833</v>
      </c>
      <c r="L438" t="s">
        <v>963</v>
      </c>
      <c r="N438" t="s">
        <v>834</v>
      </c>
      <c r="O438" t="s">
        <v>965</v>
      </c>
      <c r="P438" t="s">
        <v>965</v>
      </c>
      <c r="Q438" t="s">
        <v>965</v>
      </c>
      <c r="R438" t="s">
        <v>965</v>
      </c>
      <c r="S438" t="s">
        <v>965</v>
      </c>
      <c r="T438" t="s">
        <v>965</v>
      </c>
      <c r="U438" t="s">
        <v>965</v>
      </c>
      <c r="V438" t="s">
        <v>965</v>
      </c>
      <c r="W438" t="s">
        <v>965</v>
      </c>
      <c r="X438" t="s">
        <v>965</v>
      </c>
      <c r="Y438" t="s">
        <v>965</v>
      </c>
      <c r="Z438" t="s">
        <v>965</v>
      </c>
      <c r="AA438" t="s">
        <v>965</v>
      </c>
      <c r="AB438" t="s">
        <v>965</v>
      </c>
      <c r="AC438" t="s">
        <v>965</v>
      </c>
      <c r="AD438" t="s">
        <v>965</v>
      </c>
      <c r="AE438" t="s">
        <v>965</v>
      </c>
      <c r="AF438" t="s">
        <v>965</v>
      </c>
      <c r="AG438" t="s">
        <v>965</v>
      </c>
      <c r="AH438" t="s">
        <v>965</v>
      </c>
      <c r="AI438" t="s">
        <v>965</v>
      </c>
      <c r="AJ438" t="s">
        <v>965</v>
      </c>
      <c r="AK438" t="s">
        <v>965</v>
      </c>
      <c r="AL438" t="s">
        <v>965</v>
      </c>
      <c r="AM438" t="s">
        <v>965</v>
      </c>
      <c r="AN438" t="s">
        <v>965</v>
      </c>
      <c r="AO438" t="s">
        <v>965</v>
      </c>
      <c r="AP438" t="s">
        <v>965</v>
      </c>
      <c r="AQ438" t="s">
        <v>965</v>
      </c>
      <c r="AR438" t="s">
        <v>965</v>
      </c>
      <c r="AS438" t="s">
        <v>965</v>
      </c>
      <c r="AT438" t="s">
        <v>965</v>
      </c>
      <c r="AU438" t="s">
        <v>965</v>
      </c>
      <c r="AV438" t="s">
        <v>965</v>
      </c>
      <c r="AW438" t="s">
        <v>965</v>
      </c>
      <c r="AX438" t="s">
        <v>965</v>
      </c>
      <c r="AY438" t="s">
        <v>833</v>
      </c>
      <c r="AZ438" t="s">
        <v>965</v>
      </c>
      <c r="BA438" t="s">
        <v>965</v>
      </c>
      <c r="BB438" t="s">
        <v>965</v>
      </c>
      <c r="BC438" t="s">
        <v>833</v>
      </c>
      <c r="BD438" t="s">
        <v>965</v>
      </c>
      <c r="BE438" t="s">
        <v>835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8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8</v>
      </c>
      <c r="BR438">
        <v>0</v>
      </c>
      <c r="BS438">
        <v>0</v>
      </c>
      <c r="BT438">
        <v>8</v>
      </c>
      <c r="BU438">
        <v>7</v>
      </c>
      <c r="BV438" s="36">
        <f t="shared" si="5"/>
        <v>0.875</v>
      </c>
      <c r="BW438" s="13">
        <v>0.66</v>
      </c>
    </row>
    <row r="439" spans="1:75" x14ac:dyDescent="0.2">
      <c r="A439">
        <v>2025</v>
      </c>
      <c r="B439" s="58" t="s">
        <v>25</v>
      </c>
      <c r="C439" s="58" t="s">
        <v>842</v>
      </c>
      <c r="D439" t="s">
        <v>1291</v>
      </c>
      <c r="E439" s="5" t="s">
        <v>843</v>
      </c>
      <c r="F439" s="5" t="s">
        <v>628</v>
      </c>
      <c r="H439" s="35"/>
      <c r="I439" s="35"/>
      <c r="J439" s="32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  <c r="BL439" s="47"/>
      <c r="BM439" s="47"/>
      <c r="BN439" s="47"/>
      <c r="BO439" s="47"/>
      <c r="BP439" s="47"/>
      <c r="BQ439" s="47"/>
      <c r="BR439" s="47"/>
      <c r="BS439" s="47"/>
      <c r="BT439" s="47"/>
      <c r="BU439" s="47"/>
      <c r="BV439" s="52"/>
      <c r="BW439" s="49">
        <v>0.2</v>
      </c>
    </row>
    <row r="440" spans="1:75" x14ac:dyDescent="0.2">
      <c r="A440">
        <v>2025</v>
      </c>
      <c r="B440" s="58" t="s">
        <v>25</v>
      </c>
      <c r="C440" s="58" t="s">
        <v>842</v>
      </c>
      <c r="D440" t="s">
        <v>1292</v>
      </c>
      <c r="E440" s="5" t="s">
        <v>843</v>
      </c>
      <c r="F440" s="5" t="s">
        <v>169</v>
      </c>
      <c r="G440" s="6" t="s">
        <v>184</v>
      </c>
      <c r="H440" s="35">
        <v>0.33</v>
      </c>
      <c r="I440" s="35">
        <v>0.08</v>
      </c>
      <c r="J440" s="32">
        <v>0.88</v>
      </c>
      <c r="K440" t="s">
        <v>833</v>
      </c>
      <c r="L440" t="s">
        <v>963</v>
      </c>
      <c r="N440" t="s">
        <v>834</v>
      </c>
      <c r="O440" t="s">
        <v>965</v>
      </c>
      <c r="P440" t="s">
        <v>965</v>
      </c>
      <c r="Q440" t="s">
        <v>965</v>
      </c>
      <c r="R440" t="s">
        <v>965</v>
      </c>
      <c r="S440" t="s">
        <v>965</v>
      </c>
      <c r="T440" t="s">
        <v>965</v>
      </c>
      <c r="U440" t="s">
        <v>833</v>
      </c>
      <c r="V440" t="s">
        <v>965</v>
      </c>
      <c r="W440" t="s">
        <v>965</v>
      </c>
      <c r="X440" t="s">
        <v>965</v>
      </c>
      <c r="Y440" t="s">
        <v>965</v>
      </c>
      <c r="Z440" t="s">
        <v>965</v>
      </c>
      <c r="AA440" t="s">
        <v>965</v>
      </c>
      <c r="AB440" t="s">
        <v>965</v>
      </c>
      <c r="AC440" t="s">
        <v>965</v>
      </c>
      <c r="AD440" t="s">
        <v>965</v>
      </c>
      <c r="AE440" t="s">
        <v>965</v>
      </c>
      <c r="AF440" t="s">
        <v>965</v>
      </c>
      <c r="AG440" t="s">
        <v>965</v>
      </c>
      <c r="AH440" t="s">
        <v>965</v>
      </c>
      <c r="AI440" t="s">
        <v>965</v>
      </c>
      <c r="AJ440" t="s">
        <v>965</v>
      </c>
      <c r="AK440" t="s">
        <v>965</v>
      </c>
      <c r="AL440" t="s">
        <v>965</v>
      </c>
      <c r="AM440" t="s">
        <v>965</v>
      </c>
      <c r="AN440" t="s">
        <v>965</v>
      </c>
      <c r="AO440" t="s">
        <v>965</v>
      </c>
      <c r="AP440" t="s">
        <v>965</v>
      </c>
      <c r="AQ440" t="s">
        <v>965</v>
      </c>
      <c r="AR440" t="s">
        <v>965</v>
      </c>
      <c r="AS440" t="s">
        <v>965</v>
      </c>
      <c r="AT440" t="s">
        <v>965</v>
      </c>
      <c r="AU440" t="s">
        <v>965</v>
      </c>
      <c r="AV440" t="s">
        <v>965</v>
      </c>
      <c r="AW440" t="s">
        <v>965</v>
      </c>
      <c r="AX440" t="s">
        <v>965</v>
      </c>
      <c r="AY440" t="s">
        <v>965</v>
      </c>
      <c r="AZ440" t="s">
        <v>965</v>
      </c>
      <c r="BA440" t="s">
        <v>965</v>
      </c>
      <c r="BB440" t="s">
        <v>965</v>
      </c>
      <c r="BC440" t="s">
        <v>965</v>
      </c>
      <c r="BD440" t="s">
        <v>965</v>
      </c>
      <c r="BE440" t="s">
        <v>835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29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29</v>
      </c>
      <c r="BR440">
        <v>0</v>
      </c>
      <c r="BS440">
        <v>0</v>
      </c>
      <c r="BT440">
        <v>29</v>
      </c>
      <c r="BU440">
        <v>20</v>
      </c>
      <c r="BV440" s="36">
        <f t="shared" ref="BV440:BV445" si="6">BU440/BT440</f>
        <v>0.68965517241379315</v>
      </c>
      <c r="BW440" s="32">
        <v>0.74</v>
      </c>
    </row>
    <row r="441" spans="1:75" x14ac:dyDescent="0.2">
      <c r="A441">
        <v>2025</v>
      </c>
      <c r="B441" s="58" t="s">
        <v>25</v>
      </c>
      <c r="C441" s="58" t="s">
        <v>842</v>
      </c>
      <c r="D441" t="s">
        <v>550</v>
      </c>
      <c r="E441" s="5" t="s">
        <v>843</v>
      </c>
      <c r="F441" s="5" t="s">
        <v>628</v>
      </c>
      <c r="G441" s="6" t="s">
        <v>551</v>
      </c>
      <c r="H441" s="35">
        <v>0.03</v>
      </c>
      <c r="I441" s="35">
        <v>0</v>
      </c>
      <c r="J441" s="35">
        <v>0</v>
      </c>
      <c r="K441" t="s">
        <v>833</v>
      </c>
      <c r="L441" t="s">
        <v>963</v>
      </c>
      <c r="N441" t="s">
        <v>834</v>
      </c>
      <c r="O441" t="s">
        <v>965</v>
      </c>
      <c r="P441" t="s">
        <v>965</v>
      </c>
      <c r="Q441" t="s">
        <v>965</v>
      </c>
      <c r="R441" t="s">
        <v>965</v>
      </c>
      <c r="S441" t="s">
        <v>965</v>
      </c>
      <c r="T441" t="s">
        <v>965</v>
      </c>
      <c r="U441" t="s">
        <v>965</v>
      </c>
      <c r="V441" t="s">
        <v>965</v>
      </c>
      <c r="W441" t="s">
        <v>965</v>
      </c>
      <c r="X441" t="s">
        <v>965</v>
      </c>
      <c r="Y441" t="s">
        <v>965</v>
      </c>
      <c r="Z441" t="s">
        <v>965</v>
      </c>
      <c r="AA441" t="s">
        <v>965</v>
      </c>
      <c r="AB441" t="s">
        <v>965</v>
      </c>
      <c r="AC441" t="s">
        <v>965</v>
      </c>
      <c r="AD441" t="s">
        <v>965</v>
      </c>
      <c r="AE441" t="s">
        <v>965</v>
      </c>
      <c r="AF441" t="s">
        <v>833</v>
      </c>
      <c r="AG441" t="s">
        <v>965</v>
      </c>
      <c r="AH441" t="s">
        <v>965</v>
      </c>
      <c r="AI441" t="s">
        <v>965</v>
      </c>
      <c r="AJ441" t="s">
        <v>965</v>
      </c>
      <c r="AK441" t="s">
        <v>965</v>
      </c>
      <c r="AL441" t="s">
        <v>965</v>
      </c>
      <c r="AM441" t="s">
        <v>965</v>
      </c>
      <c r="AN441" t="s">
        <v>965</v>
      </c>
      <c r="AO441" t="s">
        <v>965</v>
      </c>
      <c r="AP441" t="s">
        <v>965</v>
      </c>
      <c r="AQ441" t="s">
        <v>965</v>
      </c>
      <c r="AR441" t="s">
        <v>965</v>
      </c>
      <c r="AS441" t="s">
        <v>965</v>
      </c>
      <c r="AT441" t="s">
        <v>965</v>
      </c>
      <c r="AU441" t="s">
        <v>965</v>
      </c>
      <c r="AV441" t="s">
        <v>965</v>
      </c>
      <c r="AW441" t="s">
        <v>965</v>
      </c>
      <c r="AX441" t="s">
        <v>965</v>
      </c>
      <c r="AY441" t="s">
        <v>965</v>
      </c>
      <c r="AZ441" t="s">
        <v>965</v>
      </c>
      <c r="BA441" t="s">
        <v>965</v>
      </c>
      <c r="BB441" t="s">
        <v>965</v>
      </c>
      <c r="BC441" t="s">
        <v>965</v>
      </c>
      <c r="BD441" t="s">
        <v>965</v>
      </c>
      <c r="BE441" t="s">
        <v>835</v>
      </c>
      <c r="BF441">
        <v>12</v>
      </c>
      <c r="BG441">
        <v>4</v>
      </c>
      <c r="BH441">
        <v>12</v>
      </c>
      <c r="BI441">
        <v>0</v>
      </c>
      <c r="BJ441">
        <v>0</v>
      </c>
      <c r="BK441">
        <v>45</v>
      </c>
      <c r="BL441">
        <v>45</v>
      </c>
      <c r="BM441">
        <v>0</v>
      </c>
      <c r="BN441">
        <v>0</v>
      </c>
      <c r="BO441">
        <v>0</v>
      </c>
      <c r="BP441">
        <v>0</v>
      </c>
      <c r="BQ441">
        <v>57</v>
      </c>
      <c r="BR441">
        <v>0</v>
      </c>
      <c r="BS441">
        <v>0</v>
      </c>
      <c r="BT441">
        <v>49</v>
      </c>
      <c r="BU441">
        <v>72</v>
      </c>
      <c r="BV441" s="36">
        <f t="shared" si="6"/>
        <v>1.4693877551020409</v>
      </c>
      <c r="BW441" s="32">
        <v>0.72</v>
      </c>
    </row>
    <row r="442" spans="1:75" x14ac:dyDescent="0.2">
      <c r="A442">
        <v>2025</v>
      </c>
      <c r="B442" s="58" t="s">
        <v>25</v>
      </c>
      <c r="C442" s="58" t="s">
        <v>842</v>
      </c>
      <c r="D442" t="s">
        <v>876</v>
      </c>
      <c r="E442" s="5" t="s">
        <v>843</v>
      </c>
      <c r="F442" s="5" t="s">
        <v>628</v>
      </c>
      <c r="G442" s="6" t="s">
        <v>558</v>
      </c>
      <c r="H442" s="35">
        <v>0.19</v>
      </c>
      <c r="I442" s="35">
        <v>0.05</v>
      </c>
      <c r="J442" s="32">
        <v>0.78</v>
      </c>
      <c r="K442" t="s">
        <v>833</v>
      </c>
      <c r="L442" t="s">
        <v>963</v>
      </c>
      <c r="N442" t="s">
        <v>834</v>
      </c>
      <c r="O442" t="s">
        <v>965</v>
      </c>
      <c r="P442" t="s">
        <v>965</v>
      </c>
      <c r="Q442" t="s">
        <v>965</v>
      </c>
      <c r="R442" t="s">
        <v>965</v>
      </c>
      <c r="S442" t="s">
        <v>965</v>
      </c>
      <c r="T442" t="s">
        <v>965</v>
      </c>
      <c r="U442" t="s">
        <v>965</v>
      </c>
      <c r="V442" t="s">
        <v>965</v>
      </c>
      <c r="W442" t="s">
        <v>965</v>
      </c>
      <c r="X442" t="s">
        <v>965</v>
      </c>
      <c r="Y442" t="s">
        <v>965</v>
      </c>
      <c r="Z442" t="s">
        <v>965</v>
      </c>
      <c r="AA442" t="s">
        <v>965</v>
      </c>
      <c r="AB442" t="s">
        <v>965</v>
      </c>
      <c r="AC442" t="s">
        <v>965</v>
      </c>
      <c r="AD442" t="s">
        <v>965</v>
      </c>
      <c r="AE442" t="s">
        <v>965</v>
      </c>
      <c r="AF442" t="s">
        <v>833</v>
      </c>
      <c r="AG442" t="s">
        <v>965</v>
      </c>
      <c r="AH442" t="s">
        <v>965</v>
      </c>
      <c r="AI442" t="s">
        <v>965</v>
      </c>
      <c r="AJ442" t="s">
        <v>965</v>
      </c>
      <c r="AK442" t="s">
        <v>965</v>
      </c>
      <c r="AL442" t="s">
        <v>965</v>
      </c>
      <c r="AM442" t="s">
        <v>965</v>
      </c>
      <c r="AN442" t="s">
        <v>965</v>
      </c>
      <c r="AO442" t="s">
        <v>965</v>
      </c>
      <c r="AP442" t="s">
        <v>965</v>
      </c>
      <c r="AQ442" t="s">
        <v>965</v>
      </c>
      <c r="AR442" t="s">
        <v>965</v>
      </c>
      <c r="AS442" t="s">
        <v>965</v>
      </c>
      <c r="AT442" t="s">
        <v>965</v>
      </c>
      <c r="AU442" t="s">
        <v>965</v>
      </c>
      <c r="AV442" t="s">
        <v>965</v>
      </c>
      <c r="AW442" t="s">
        <v>965</v>
      </c>
      <c r="AX442" t="s">
        <v>965</v>
      </c>
      <c r="AY442" t="s">
        <v>965</v>
      </c>
      <c r="AZ442" t="s">
        <v>965</v>
      </c>
      <c r="BA442" t="s">
        <v>965</v>
      </c>
      <c r="BB442" t="s">
        <v>965</v>
      </c>
      <c r="BC442" t="s">
        <v>965</v>
      </c>
      <c r="BD442" t="s">
        <v>965</v>
      </c>
      <c r="BE442" t="s">
        <v>835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8</v>
      </c>
      <c r="BL442">
        <v>8</v>
      </c>
      <c r="BM442">
        <v>0</v>
      </c>
      <c r="BN442">
        <v>0</v>
      </c>
      <c r="BO442">
        <v>0</v>
      </c>
      <c r="BP442">
        <v>0</v>
      </c>
      <c r="BQ442">
        <v>8</v>
      </c>
      <c r="BR442">
        <v>0</v>
      </c>
      <c r="BS442">
        <v>0</v>
      </c>
      <c r="BT442">
        <v>8</v>
      </c>
      <c r="BU442">
        <v>7</v>
      </c>
      <c r="BV442" s="36">
        <f t="shared" si="6"/>
        <v>0.875</v>
      </c>
      <c r="BW442" s="32">
        <v>0.76</v>
      </c>
    </row>
    <row r="443" spans="1:75" x14ac:dyDescent="0.2">
      <c r="A443">
        <v>2025</v>
      </c>
      <c r="B443" s="58" t="s">
        <v>25</v>
      </c>
      <c r="C443" s="58" t="s">
        <v>842</v>
      </c>
      <c r="D443" t="s">
        <v>1293</v>
      </c>
      <c r="E443" s="5" t="s">
        <v>843</v>
      </c>
      <c r="F443" s="5" t="s">
        <v>628</v>
      </c>
      <c r="G443" s="6" t="s">
        <v>349</v>
      </c>
      <c r="H443" s="35">
        <v>0.56000000000000005</v>
      </c>
      <c r="I443" s="35">
        <v>0.18</v>
      </c>
      <c r="J443" s="32">
        <v>0.89</v>
      </c>
      <c r="K443" t="s">
        <v>833</v>
      </c>
      <c r="L443" t="s">
        <v>963</v>
      </c>
      <c r="N443" t="s">
        <v>834</v>
      </c>
      <c r="O443" t="s">
        <v>965</v>
      </c>
      <c r="P443" t="s">
        <v>965</v>
      </c>
      <c r="Q443" t="s">
        <v>965</v>
      </c>
      <c r="R443" t="s">
        <v>965</v>
      </c>
      <c r="S443" t="s">
        <v>965</v>
      </c>
      <c r="T443" t="s">
        <v>965</v>
      </c>
      <c r="U443" t="s">
        <v>965</v>
      </c>
      <c r="V443" t="s">
        <v>965</v>
      </c>
      <c r="W443" t="s">
        <v>965</v>
      </c>
      <c r="X443" t="s">
        <v>965</v>
      </c>
      <c r="Y443" t="s">
        <v>965</v>
      </c>
      <c r="Z443" t="s">
        <v>965</v>
      </c>
      <c r="AA443" t="s">
        <v>965</v>
      </c>
      <c r="AB443" t="s">
        <v>965</v>
      </c>
      <c r="AC443" t="s">
        <v>965</v>
      </c>
      <c r="AD443" t="s">
        <v>965</v>
      </c>
      <c r="AE443" t="s">
        <v>965</v>
      </c>
      <c r="AF443" t="s">
        <v>965</v>
      </c>
      <c r="AG443" t="s">
        <v>965</v>
      </c>
      <c r="AH443" t="s">
        <v>965</v>
      </c>
      <c r="AI443" t="s">
        <v>965</v>
      </c>
      <c r="AJ443" t="s">
        <v>965</v>
      </c>
      <c r="AK443" t="s">
        <v>965</v>
      </c>
      <c r="AL443" t="s">
        <v>965</v>
      </c>
      <c r="AM443" t="s">
        <v>965</v>
      </c>
      <c r="AN443" t="s">
        <v>965</v>
      </c>
      <c r="AO443" t="s">
        <v>965</v>
      </c>
      <c r="AP443" t="s">
        <v>965</v>
      </c>
      <c r="AQ443" t="s">
        <v>965</v>
      </c>
      <c r="AR443" t="s">
        <v>965</v>
      </c>
      <c r="AS443" t="s">
        <v>965</v>
      </c>
      <c r="AT443" t="s">
        <v>965</v>
      </c>
      <c r="AU443" t="s">
        <v>965</v>
      </c>
      <c r="AV443" t="s">
        <v>965</v>
      </c>
      <c r="AW443" t="s">
        <v>965</v>
      </c>
      <c r="AX443" t="s">
        <v>965</v>
      </c>
      <c r="AY443" t="s">
        <v>833</v>
      </c>
      <c r="AZ443" t="s">
        <v>965</v>
      </c>
      <c r="BA443" t="s">
        <v>965</v>
      </c>
      <c r="BB443" t="s">
        <v>965</v>
      </c>
      <c r="BC443" t="s">
        <v>965</v>
      </c>
      <c r="BD443" t="s">
        <v>965</v>
      </c>
      <c r="BE443" t="s">
        <v>835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10</v>
      </c>
      <c r="BR443">
        <v>0</v>
      </c>
      <c r="BS443">
        <v>0</v>
      </c>
      <c r="BT443">
        <v>10</v>
      </c>
      <c r="BU443">
        <v>7</v>
      </c>
      <c r="BV443" s="36">
        <f t="shared" si="6"/>
        <v>0.7</v>
      </c>
      <c r="BW443" s="32">
        <v>0.77</v>
      </c>
    </row>
    <row r="444" spans="1:75" x14ac:dyDescent="0.2">
      <c r="A444">
        <v>2025</v>
      </c>
      <c r="B444" s="58" t="s">
        <v>25</v>
      </c>
      <c r="C444" s="58" t="s">
        <v>842</v>
      </c>
      <c r="D444" t="s">
        <v>1294</v>
      </c>
      <c r="E444" s="5" t="s">
        <v>843</v>
      </c>
      <c r="F444" s="5" t="s">
        <v>628</v>
      </c>
      <c r="K444" t="s">
        <v>833</v>
      </c>
      <c r="L444" t="s">
        <v>963</v>
      </c>
      <c r="N444" t="s">
        <v>834</v>
      </c>
      <c r="O444" t="s">
        <v>965</v>
      </c>
      <c r="P444" t="s">
        <v>965</v>
      </c>
      <c r="Q444" t="s">
        <v>965</v>
      </c>
      <c r="R444" t="s">
        <v>965</v>
      </c>
      <c r="S444" t="s">
        <v>965</v>
      </c>
      <c r="T444" t="s">
        <v>965</v>
      </c>
      <c r="U444" t="s">
        <v>965</v>
      </c>
      <c r="V444" t="s">
        <v>965</v>
      </c>
      <c r="W444" t="s">
        <v>965</v>
      </c>
      <c r="X444" t="s">
        <v>965</v>
      </c>
      <c r="Y444" t="s">
        <v>965</v>
      </c>
      <c r="Z444" t="s">
        <v>965</v>
      </c>
      <c r="AA444" t="s">
        <v>965</v>
      </c>
      <c r="AB444" t="s">
        <v>965</v>
      </c>
      <c r="AC444" t="s">
        <v>965</v>
      </c>
      <c r="AD444" t="s">
        <v>965</v>
      </c>
      <c r="AE444" t="s">
        <v>965</v>
      </c>
      <c r="AF444" t="s">
        <v>833</v>
      </c>
      <c r="AG444" t="s">
        <v>965</v>
      </c>
      <c r="AH444" t="s">
        <v>965</v>
      </c>
      <c r="AI444" t="s">
        <v>965</v>
      </c>
      <c r="AJ444" t="s">
        <v>965</v>
      </c>
      <c r="AK444" t="s">
        <v>965</v>
      </c>
      <c r="AL444" t="s">
        <v>965</v>
      </c>
      <c r="AM444" t="s">
        <v>965</v>
      </c>
      <c r="AN444" t="s">
        <v>965</v>
      </c>
      <c r="AO444" t="s">
        <v>965</v>
      </c>
      <c r="AP444" t="s">
        <v>965</v>
      </c>
      <c r="AQ444" t="s">
        <v>965</v>
      </c>
      <c r="AR444" t="s">
        <v>965</v>
      </c>
      <c r="AS444" t="s">
        <v>965</v>
      </c>
      <c r="AT444" t="s">
        <v>965</v>
      </c>
      <c r="AU444" t="s">
        <v>965</v>
      </c>
      <c r="AV444" t="s">
        <v>965</v>
      </c>
      <c r="AW444" t="s">
        <v>965</v>
      </c>
      <c r="AX444" t="s">
        <v>965</v>
      </c>
      <c r="AY444" t="s">
        <v>965</v>
      </c>
      <c r="AZ444" t="s">
        <v>965</v>
      </c>
      <c r="BA444" t="s">
        <v>965</v>
      </c>
      <c r="BB444" t="s">
        <v>965</v>
      </c>
      <c r="BC444" t="s">
        <v>965</v>
      </c>
      <c r="BD444" t="s">
        <v>965</v>
      </c>
      <c r="BE444" t="s">
        <v>855</v>
      </c>
      <c r="BF444">
        <v>574</v>
      </c>
      <c r="BG444">
        <v>170</v>
      </c>
      <c r="BH444">
        <v>574</v>
      </c>
      <c r="BI444">
        <v>0</v>
      </c>
      <c r="BJ444">
        <v>0</v>
      </c>
      <c r="BK444">
        <v>397</v>
      </c>
      <c r="BL444">
        <v>397</v>
      </c>
      <c r="BM444">
        <v>0</v>
      </c>
      <c r="BN444">
        <v>0</v>
      </c>
      <c r="BO444">
        <v>0</v>
      </c>
      <c r="BP444">
        <v>0</v>
      </c>
      <c r="BQ444">
        <v>971</v>
      </c>
      <c r="BR444">
        <v>0</v>
      </c>
      <c r="BS444">
        <v>0</v>
      </c>
      <c r="BT444">
        <v>971</v>
      </c>
      <c r="BU444">
        <v>907</v>
      </c>
      <c r="BV444" s="36">
        <f t="shared" si="6"/>
        <v>0.93408856848609678</v>
      </c>
      <c r="BW444" s="32">
        <v>0.63</v>
      </c>
    </row>
    <row r="445" spans="1:75" x14ac:dyDescent="0.2">
      <c r="B445" s="58" t="s">
        <v>25</v>
      </c>
      <c r="C445" s="58" t="s">
        <v>847</v>
      </c>
      <c r="D445" t="s">
        <v>1295</v>
      </c>
      <c r="F445" s="5" t="s">
        <v>610</v>
      </c>
      <c r="G445" s="6" t="s">
        <v>611</v>
      </c>
      <c r="H445" s="35">
        <v>0.25</v>
      </c>
      <c r="I445" s="35">
        <v>0.66</v>
      </c>
      <c r="J445" s="32">
        <v>0.49</v>
      </c>
      <c r="K445" t="s">
        <v>833</v>
      </c>
      <c r="L445" t="s">
        <v>963</v>
      </c>
      <c r="N445" t="s">
        <v>834</v>
      </c>
      <c r="O445" t="s">
        <v>965</v>
      </c>
      <c r="P445" t="s">
        <v>965</v>
      </c>
      <c r="Q445" t="s">
        <v>965</v>
      </c>
      <c r="R445" t="s">
        <v>965</v>
      </c>
      <c r="S445" t="s">
        <v>965</v>
      </c>
      <c r="T445" t="s">
        <v>965</v>
      </c>
      <c r="U445" t="s">
        <v>965</v>
      </c>
      <c r="V445" t="s">
        <v>965</v>
      </c>
      <c r="W445" t="s">
        <v>965</v>
      </c>
      <c r="X445" t="s">
        <v>965</v>
      </c>
      <c r="Y445" t="s">
        <v>965</v>
      </c>
      <c r="Z445" t="s">
        <v>965</v>
      </c>
      <c r="AA445" t="s">
        <v>965</v>
      </c>
      <c r="AB445" t="s">
        <v>965</v>
      </c>
      <c r="AC445" t="s">
        <v>965</v>
      </c>
      <c r="AD445" t="s">
        <v>965</v>
      </c>
      <c r="AE445" t="s">
        <v>965</v>
      </c>
      <c r="AF445" t="s">
        <v>965</v>
      </c>
      <c r="AG445" t="s">
        <v>965</v>
      </c>
      <c r="AH445" t="s">
        <v>965</v>
      </c>
      <c r="AI445" t="s">
        <v>965</v>
      </c>
      <c r="AJ445" t="s">
        <v>965</v>
      </c>
      <c r="AK445" t="s">
        <v>965</v>
      </c>
      <c r="AL445" t="s">
        <v>965</v>
      </c>
      <c r="AM445" t="s">
        <v>965</v>
      </c>
      <c r="AN445" t="s">
        <v>965</v>
      </c>
      <c r="AO445" t="s">
        <v>965</v>
      </c>
      <c r="AP445" t="s">
        <v>965</v>
      </c>
      <c r="AQ445" t="s">
        <v>965</v>
      </c>
      <c r="AR445" t="s">
        <v>965</v>
      </c>
      <c r="AS445" t="s">
        <v>965</v>
      </c>
      <c r="AT445" t="s">
        <v>965</v>
      </c>
      <c r="AU445" t="s">
        <v>965</v>
      </c>
      <c r="AV445" t="s">
        <v>965</v>
      </c>
      <c r="AW445" t="s">
        <v>965</v>
      </c>
      <c r="AX445" t="s">
        <v>965</v>
      </c>
      <c r="AY445" t="s">
        <v>965</v>
      </c>
      <c r="AZ445" t="s">
        <v>965</v>
      </c>
      <c r="BA445" t="s">
        <v>965</v>
      </c>
      <c r="BB445" t="s">
        <v>965</v>
      </c>
      <c r="BC445" t="s">
        <v>833</v>
      </c>
      <c r="BD445" t="s">
        <v>965</v>
      </c>
      <c r="BE445" t="s">
        <v>835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2</v>
      </c>
      <c r="BR445">
        <v>0</v>
      </c>
      <c r="BS445">
        <v>0</v>
      </c>
      <c r="BU445">
        <v>2</v>
      </c>
      <c r="BV445" s="36" t="e">
        <f t="shared" si="6"/>
        <v>#DIV/0!</v>
      </c>
      <c r="BW445" s="32">
        <v>0.46</v>
      </c>
    </row>
    <row r="446" spans="1:75" x14ac:dyDescent="0.2">
      <c r="B446" s="58" t="s">
        <v>25</v>
      </c>
      <c r="C446" s="58" t="s">
        <v>847</v>
      </c>
      <c r="D446" t="s">
        <v>439</v>
      </c>
      <c r="F446" s="5" t="s">
        <v>64</v>
      </c>
      <c r="G446" s="6" t="s">
        <v>440</v>
      </c>
      <c r="H446" s="35">
        <v>0.22</v>
      </c>
      <c r="I446" s="35">
        <v>0.65</v>
      </c>
      <c r="J446" s="32">
        <v>0.45</v>
      </c>
      <c r="BT446">
        <v>114</v>
      </c>
      <c r="BW446" s="32">
        <v>0.86</v>
      </c>
    </row>
    <row r="447" spans="1:75" x14ac:dyDescent="0.2">
      <c r="B447" s="58" t="s">
        <v>25</v>
      </c>
      <c r="C447" s="58" t="s">
        <v>847</v>
      </c>
      <c r="D447" t="s">
        <v>443</v>
      </c>
      <c r="F447" s="5" t="s">
        <v>64</v>
      </c>
      <c r="G447" s="6" t="s">
        <v>226</v>
      </c>
      <c r="H447" s="35">
        <v>0.44</v>
      </c>
      <c r="I447" s="35">
        <v>0.8</v>
      </c>
      <c r="J447" s="32">
        <v>0.31</v>
      </c>
      <c r="K447" t="s">
        <v>833</v>
      </c>
      <c r="L447" t="s">
        <v>963</v>
      </c>
      <c r="N447" t="s">
        <v>834</v>
      </c>
      <c r="O447" t="s">
        <v>965</v>
      </c>
      <c r="P447" t="s">
        <v>965</v>
      </c>
      <c r="Q447" t="s">
        <v>965</v>
      </c>
      <c r="R447" t="s">
        <v>965</v>
      </c>
      <c r="S447" t="s">
        <v>965</v>
      </c>
      <c r="T447" t="s">
        <v>965</v>
      </c>
      <c r="U447" t="s">
        <v>965</v>
      </c>
      <c r="V447" t="s">
        <v>965</v>
      </c>
      <c r="W447" t="s">
        <v>965</v>
      </c>
      <c r="X447" t="s">
        <v>965</v>
      </c>
      <c r="Y447" t="s">
        <v>965</v>
      </c>
      <c r="Z447" t="s">
        <v>965</v>
      </c>
      <c r="AA447" t="s">
        <v>965</v>
      </c>
      <c r="AB447" t="s">
        <v>965</v>
      </c>
      <c r="AC447" t="s">
        <v>965</v>
      </c>
      <c r="AD447" t="s">
        <v>965</v>
      </c>
      <c r="AE447" t="s">
        <v>965</v>
      </c>
      <c r="AF447" t="s">
        <v>965</v>
      </c>
      <c r="AG447" t="s">
        <v>965</v>
      </c>
      <c r="AH447" t="s">
        <v>965</v>
      </c>
      <c r="AI447" t="s">
        <v>965</v>
      </c>
      <c r="AJ447" t="s">
        <v>965</v>
      </c>
      <c r="AK447" t="s">
        <v>965</v>
      </c>
      <c r="AL447" t="s">
        <v>965</v>
      </c>
      <c r="AM447" t="s">
        <v>965</v>
      </c>
      <c r="AN447" t="s">
        <v>965</v>
      </c>
      <c r="AO447" t="s">
        <v>965</v>
      </c>
      <c r="AP447" t="s">
        <v>965</v>
      </c>
      <c r="AQ447" t="s">
        <v>965</v>
      </c>
      <c r="AR447" t="s">
        <v>965</v>
      </c>
      <c r="AS447" t="s">
        <v>965</v>
      </c>
      <c r="AT447" t="s">
        <v>965</v>
      </c>
      <c r="AU447" t="s">
        <v>965</v>
      </c>
      <c r="AV447" t="s">
        <v>965</v>
      </c>
      <c r="AW447" t="s">
        <v>965</v>
      </c>
      <c r="AX447" t="s">
        <v>965</v>
      </c>
      <c r="AY447" t="s">
        <v>965</v>
      </c>
      <c r="AZ447" t="s">
        <v>965</v>
      </c>
      <c r="BA447" t="s">
        <v>965</v>
      </c>
      <c r="BB447" t="s">
        <v>965</v>
      </c>
      <c r="BC447" t="s">
        <v>833</v>
      </c>
      <c r="BD447" t="s">
        <v>965</v>
      </c>
      <c r="BE447" t="s">
        <v>835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2</v>
      </c>
      <c r="BR447">
        <v>0</v>
      </c>
      <c r="BS447">
        <v>0</v>
      </c>
      <c r="BT447">
        <v>93</v>
      </c>
      <c r="BU447">
        <v>2</v>
      </c>
      <c r="BV447" s="36">
        <f>BU447/BT447</f>
        <v>2.1505376344086023E-2</v>
      </c>
      <c r="BW447" s="32">
        <v>0.53</v>
      </c>
    </row>
    <row r="448" spans="1:75" x14ac:dyDescent="0.2">
      <c r="B448" s="58" t="s">
        <v>25</v>
      </c>
      <c r="C448" s="58" t="s">
        <v>847</v>
      </c>
      <c r="D448" t="s">
        <v>450</v>
      </c>
      <c r="F448" s="5" t="s">
        <v>23</v>
      </c>
      <c r="G448" s="6" t="s">
        <v>451</v>
      </c>
      <c r="H448" s="35">
        <v>0.25</v>
      </c>
      <c r="I448" s="35">
        <v>0.35</v>
      </c>
      <c r="J448" s="32">
        <v>0.71</v>
      </c>
      <c r="K448" t="s">
        <v>833</v>
      </c>
      <c r="L448" t="s">
        <v>963</v>
      </c>
      <c r="N448" t="s">
        <v>834</v>
      </c>
      <c r="O448" t="s">
        <v>965</v>
      </c>
      <c r="P448" t="s">
        <v>965</v>
      </c>
      <c r="Q448" t="s">
        <v>965</v>
      </c>
      <c r="R448" t="s">
        <v>965</v>
      </c>
      <c r="S448" t="s">
        <v>965</v>
      </c>
      <c r="T448" t="s">
        <v>965</v>
      </c>
      <c r="U448" t="s">
        <v>965</v>
      </c>
      <c r="V448" t="s">
        <v>965</v>
      </c>
      <c r="W448" t="s">
        <v>965</v>
      </c>
      <c r="X448" t="s">
        <v>965</v>
      </c>
      <c r="Y448" t="s">
        <v>965</v>
      </c>
      <c r="Z448" t="s">
        <v>965</v>
      </c>
      <c r="AA448" t="s">
        <v>965</v>
      </c>
      <c r="AB448" t="s">
        <v>965</v>
      </c>
      <c r="AC448" t="s">
        <v>965</v>
      </c>
      <c r="AD448" t="s">
        <v>965</v>
      </c>
      <c r="AE448" t="s">
        <v>965</v>
      </c>
      <c r="AF448" t="s">
        <v>965</v>
      </c>
      <c r="AG448" t="s">
        <v>965</v>
      </c>
      <c r="AH448" t="s">
        <v>965</v>
      </c>
      <c r="AI448" t="s">
        <v>965</v>
      </c>
      <c r="AJ448" t="s">
        <v>965</v>
      </c>
      <c r="AK448" t="s">
        <v>965</v>
      </c>
      <c r="AL448" t="s">
        <v>965</v>
      </c>
      <c r="AM448" t="s">
        <v>965</v>
      </c>
      <c r="AN448" t="s">
        <v>965</v>
      </c>
      <c r="AO448" t="s">
        <v>965</v>
      </c>
      <c r="AP448" t="s">
        <v>965</v>
      </c>
      <c r="AQ448" t="s">
        <v>965</v>
      </c>
      <c r="AR448" t="s">
        <v>965</v>
      </c>
      <c r="AS448" t="s">
        <v>965</v>
      </c>
      <c r="AT448" t="s">
        <v>965</v>
      </c>
      <c r="AU448" t="s">
        <v>965</v>
      </c>
      <c r="AV448" t="s">
        <v>965</v>
      </c>
      <c r="AW448" t="s">
        <v>965</v>
      </c>
      <c r="AX448" t="s">
        <v>965</v>
      </c>
      <c r="AY448" t="s">
        <v>965</v>
      </c>
      <c r="AZ448" t="s">
        <v>965</v>
      </c>
      <c r="BA448" t="s">
        <v>833</v>
      </c>
      <c r="BB448" t="s">
        <v>965</v>
      </c>
      <c r="BC448" t="s">
        <v>965</v>
      </c>
      <c r="BD448" t="s">
        <v>965</v>
      </c>
      <c r="BE448" t="s">
        <v>835</v>
      </c>
      <c r="BF448">
        <v>21</v>
      </c>
      <c r="BG448">
        <v>7</v>
      </c>
      <c r="BH448">
        <v>0</v>
      </c>
      <c r="BI448">
        <v>0</v>
      </c>
      <c r="BJ448">
        <v>21</v>
      </c>
      <c r="BK448">
        <v>3</v>
      </c>
      <c r="BL448">
        <v>0</v>
      </c>
      <c r="BM448">
        <v>0</v>
      </c>
      <c r="BN448">
        <v>3</v>
      </c>
      <c r="BO448">
        <v>0</v>
      </c>
      <c r="BP448">
        <v>0</v>
      </c>
      <c r="BQ448">
        <v>24</v>
      </c>
      <c r="BR448">
        <v>0</v>
      </c>
      <c r="BS448">
        <v>0</v>
      </c>
      <c r="BT448">
        <v>40</v>
      </c>
      <c r="BU448">
        <v>12</v>
      </c>
      <c r="BV448" s="36">
        <f>BU448/BT448</f>
        <v>0.3</v>
      </c>
      <c r="BW448" s="32">
        <v>0.45</v>
      </c>
    </row>
    <row r="449" spans="2:75" x14ac:dyDescent="0.2">
      <c r="B449" s="58" t="s">
        <v>25</v>
      </c>
      <c r="C449" s="58" t="s">
        <v>847</v>
      </c>
      <c r="D449" t="s">
        <v>464</v>
      </c>
      <c r="F449" s="5" t="s">
        <v>465</v>
      </c>
      <c r="G449" s="6" t="s">
        <v>466</v>
      </c>
      <c r="H449" s="35">
        <v>0.9</v>
      </c>
      <c r="I449" s="35">
        <v>0.41</v>
      </c>
      <c r="J449" s="32">
        <v>0.28999999999999998</v>
      </c>
      <c r="BT449">
        <v>35</v>
      </c>
      <c r="BW449" s="32">
        <v>0.57999999999999996</v>
      </c>
    </row>
    <row r="450" spans="2:75" x14ac:dyDescent="0.2">
      <c r="B450" s="58" t="s">
        <v>25</v>
      </c>
      <c r="C450" s="58" t="s">
        <v>847</v>
      </c>
      <c r="D450" t="s">
        <v>353</v>
      </c>
      <c r="F450" s="5" t="s">
        <v>139</v>
      </c>
      <c r="G450" s="6" t="s">
        <v>349</v>
      </c>
      <c r="H450" s="35">
        <v>0.56000000000000005</v>
      </c>
      <c r="I450" s="35">
        <v>0.18</v>
      </c>
      <c r="J450" s="32">
        <v>0.89</v>
      </c>
      <c r="K450" t="s">
        <v>833</v>
      </c>
      <c r="L450" t="s">
        <v>963</v>
      </c>
      <c r="N450" t="s">
        <v>834</v>
      </c>
      <c r="O450" t="s">
        <v>965</v>
      </c>
      <c r="P450" t="s">
        <v>965</v>
      </c>
      <c r="Q450" t="s">
        <v>965</v>
      </c>
      <c r="R450" t="s">
        <v>965</v>
      </c>
      <c r="S450" t="s">
        <v>965</v>
      </c>
      <c r="T450" t="s">
        <v>965</v>
      </c>
      <c r="U450" t="s">
        <v>965</v>
      </c>
      <c r="V450" t="s">
        <v>965</v>
      </c>
      <c r="W450" t="s">
        <v>965</v>
      </c>
      <c r="X450" t="s">
        <v>965</v>
      </c>
      <c r="Y450" t="s">
        <v>965</v>
      </c>
      <c r="Z450" t="s">
        <v>965</v>
      </c>
      <c r="AA450" t="s">
        <v>965</v>
      </c>
      <c r="AB450" t="s">
        <v>965</v>
      </c>
      <c r="AC450" t="s">
        <v>965</v>
      </c>
      <c r="AD450" t="s">
        <v>965</v>
      </c>
      <c r="AE450" t="s">
        <v>965</v>
      </c>
      <c r="AF450" t="s">
        <v>965</v>
      </c>
      <c r="AG450" t="s">
        <v>965</v>
      </c>
      <c r="AH450" t="s">
        <v>965</v>
      </c>
      <c r="AI450" t="s">
        <v>965</v>
      </c>
      <c r="AJ450" t="s">
        <v>965</v>
      </c>
      <c r="AK450" t="s">
        <v>965</v>
      </c>
      <c r="AL450" t="s">
        <v>965</v>
      </c>
      <c r="AM450" t="s">
        <v>965</v>
      </c>
      <c r="AN450" t="s">
        <v>965</v>
      </c>
      <c r="AO450" t="s">
        <v>965</v>
      </c>
      <c r="AP450" t="s">
        <v>965</v>
      </c>
      <c r="AQ450" t="s">
        <v>965</v>
      </c>
      <c r="AR450" t="s">
        <v>965</v>
      </c>
      <c r="AS450" t="s">
        <v>965</v>
      </c>
      <c r="AT450" t="s">
        <v>965</v>
      </c>
      <c r="AU450" t="s">
        <v>965</v>
      </c>
      <c r="AV450" t="s">
        <v>965</v>
      </c>
      <c r="AW450" t="s">
        <v>965</v>
      </c>
      <c r="AX450" t="s">
        <v>965</v>
      </c>
      <c r="AY450" t="s">
        <v>833</v>
      </c>
      <c r="AZ450" t="s">
        <v>965</v>
      </c>
      <c r="BA450" t="s">
        <v>965</v>
      </c>
      <c r="BB450" t="s">
        <v>965</v>
      </c>
      <c r="BC450" t="s">
        <v>965</v>
      </c>
      <c r="BD450" t="s">
        <v>965</v>
      </c>
      <c r="BE450" t="s">
        <v>835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10</v>
      </c>
      <c r="BR450">
        <v>0</v>
      </c>
      <c r="BS450">
        <v>0</v>
      </c>
      <c r="BU450">
        <v>7</v>
      </c>
      <c r="BV450" s="36" t="e">
        <f>BU450/BT450</f>
        <v>#DIV/0!</v>
      </c>
      <c r="BW450" s="13">
        <v>0.32</v>
      </c>
    </row>
    <row r="451" spans="2:75" x14ac:dyDescent="0.2">
      <c r="B451" s="58" t="s">
        <v>25</v>
      </c>
      <c r="C451" s="58" t="s">
        <v>847</v>
      </c>
      <c r="D451" t="s">
        <v>142</v>
      </c>
      <c r="F451" s="5" t="s">
        <v>58</v>
      </c>
      <c r="G451" s="6" t="s">
        <v>143</v>
      </c>
      <c r="H451" s="35">
        <v>0.78</v>
      </c>
      <c r="I451" s="35">
        <v>0.86</v>
      </c>
      <c r="J451" s="32">
        <v>0.14000000000000001</v>
      </c>
      <c r="BT451">
        <v>70</v>
      </c>
      <c r="BW451" s="32">
        <v>0.2</v>
      </c>
    </row>
    <row r="452" spans="2:75" x14ac:dyDescent="0.2">
      <c r="B452" s="58" t="s">
        <v>25</v>
      </c>
      <c r="C452" s="58" t="s">
        <v>847</v>
      </c>
      <c r="D452" t="s">
        <v>194</v>
      </c>
      <c r="F452" s="5" t="s">
        <v>103</v>
      </c>
      <c r="G452" s="6" t="s">
        <v>195</v>
      </c>
      <c r="H452" s="35">
        <v>0.72</v>
      </c>
      <c r="I452" s="35">
        <v>0.17</v>
      </c>
      <c r="J452" s="32">
        <v>0.98</v>
      </c>
      <c r="BT452">
        <v>45</v>
      </c>
      <c r="BW452" s="32">
        <v>0.45</v>
      </c>
    </row>
    <row r="453" spans="2:75" x14ac:dyDescent="0.2">
      <c r="B453" s="58" t="s">
        <v>25</v>
      </c>
      <c r="C453" s="58" t="s">
        <v>847</v>
      </c>
      <c r="D453" t="s">
        <v>852</v>
      </c>
      <c r="F453" s="5" t="s">
        <v>42</v>
      </c>
      <c r="G453" s="6" t="s">
        <v>268</v>
      </c>
      <c r="H453" s="35">
        <v>0.63</v>
      </c>
      <c r="I453" s="35">
        <v>0.01</v>
      </c>
      <c r="J453" s="32">
        <v>0.93</v>
      </c>
      <c r="BT453">
        <v>125</v>
      </c>
      <c r="BW453" s="32">
        <v>0.74</v>
      </c>
    </row>
    <row r="454" spans="2:75" x14ac:dyDescent="0.2">
      <c r="B454" s="58" t="s">
        <v>25</v>
      </c>
      <c r="C454" s="58" t="s">
        <v>847</v>
      </c>
      <c r="D454" t="s">
        <v>81</v>
      </c>
      <c r="F454" s="5" t="s">
        <v>45</v>
      </c>
      <c r="G454" s="6" t="s">
        <v>82</v>
      </c>
      <c r="H454" s="35">
        <v>0.27</v>
      </c>
      <c r="I454" s="35">
        <v>0.77</v>
      </c>
      <c r="J454" s="32">
        <v>0.11</v>
      </c>
      <c r="BT454">
        <v>162</v>
      </c>
      <c r="BW454" s="32">
        <v>0.75</v>
      </c>
    </row>
    <row r="455" spans="2:75" x14ac:dyDescent="0.2">
      <c r="B455" s="58" t="s">
        <v>25</v>
      </c>
      <c r="C455" s="58" t="s">
        <v>847</v>
      </c>
      <c r="D455" t="s">
        <v>227</v>
      </c>
      <c r="F455" s="5" t="s">
        <v>15</v>
      </c>
      <c r="G455" s="6" t="s">
        <v>228</v>
      </c>
      <c r="H455" s="35">
        <v>0.45</v>
      </c>
      <c r="I455" s="35">
        <v>0.25</v>
      </c>
      <c r="J455" s="32">
        <v>0.91</v>
      </c>
      <c r="BW455" s="13">
        <v>0.32</v>
      </c>
    </row>
    <row r="456" spans="2:75" x14ac:dyDescent="0.2">
      <c r="B456" s="58" t="s">
        <v>25</v>
      </c>
      <c r="C456" s="58" t="s">
        <v>847</v>
      </c>
      <c r="D456" t="s">
        <v>176</v>
      </c>
      <c r="F456" s="5" t="s">
        <v>30</v>
      </c>
      <c r="G456" s="6" t="s">
        <v>120</v>
      </c>
      <c r="H456" s="35">
        <v>0.22</v>
      </c>
      <c r="I456" s="35">
        <v>0.6</v>
      </c>
      <c r="J456" s="32">
        <v>0.99</v>
      </c>
      <c r="K456" t="s">
        <v>833</v>
      </c>
      <c r="L456" t="s">
        <v>963</v>
      </c>
      <c r="M456" t="s">
        <v>849</v>
      </c>
      <c r="N456" t="s">
        <v>834</v>
      </c>
      <c r="O456" t="s">
        <v>965</v>
      </c>
      <c r="P456" t="s">
        <v>965</v>
      </c>
      <c r="Q456" t="s">
        <v>965</v>
      </c>
      <c r="R456" t="s">
        <v>965</v>
      </c>
      <c r="S456" t="s">
        <v>965</v>
      </c>
      <c r="T456" t="s">
        <v>965</v>
      </c>
      <c r="U456" t="s">
        <v>965</v>
      </c>
      <c r="V456" t="s">
        <v>965</v>
      </c>
      <c r="W456" t="s">
        <v>965</v>
      </c>
      <c r="X456" t="s">
        <v>965</v>
      </c>
      <c r="Y456" t="s">
        <v>965</v>
      </c>
      <c r="Z456" t="s">
        <v>965</v>
      </c>
      <c r="AA456" t="s">
        <v>965</v>
      </c>
      <c r="AB456" t="s">
        <v>965</v>
      </c>
      <c r="AC456" t="s">
        <v>965</v>
      </c>
      <c r="AD456" t="s">
        <v>965</v>
      </c>
      <c r="AE456" t="s">
        <v>965</v>
      </c>
      <c r="AF456" t="s">
        <v>965</v>
      </c>
      <c r="AG456" t="s">
        <v>965</v>
      </c>
      <c r="AH456" t="s">
        <v>965</v>
      </c>
      <c r="AI456" t="s">
        <v>965</v>
      </c>
      <c r="AJ456" t="s">
        <v>965</v>
      </c>
      <c r="AK456" t="s">
        <v>965</v>
      </c>
      <c r="AL456" t="s">
        <v>965</v>
      </c>
      <c r="AM456" t="s">
        <v>965</v>
      </c>
      <c r="AN456" t="s">
        <v>965</v>
      </c>
      <c r="AO456" t="s">
        <v>965</v>
      </c>
      <c r="AP456" t="s">
        <v>965</v>
      </c>
      <c r="AQ456" t="s">
        <v>965</v>
      </c>
      <c r="AR456" t="s">
        <v>965</v>
      </c>
      <c r="AS456" t="s">
        <v>965</v>
      </c>
      <c r="AT456" t="s">
        <v>965</v>
      </c>
      <c r="AU456" t="s">
        <v>965</v>
      </c>
      <c r="AV456" t="s">
        <v>965</v>
      </c>
      <c r="AW456" t="s">
        <v>965</v>
      </c>
      <c r="AX456" t="s">
        <v>965</v>
      </c>
      <c r="AY456" t="s">
        <v>965</v>
      </c>
      <c r="AZ456" t="s">
        <v>965</v>
      </c>
      <c r="BA456" t="s">
        <v>965</v>
      </c>
      <c r="BB456" t="s">
        <v>965</v>
      </c>
      <c r="BC456" t="s">
        <v>833</v>
      </c>
      <c r="BD456" t="s">
        <v>965</v>
      </c>
      <c r="BE456" t="s">
        <v>835</v>
      </c>
      <c r="BF456">
        <v>51</v>
      </c>
      <c r="BG456">
        <v>15</v>
      </c>
      <c r="BH456">
        <v>0</v>
      </c>
      <c r="BI456">
        <v>0</v>
      </c>
      <c r="BJ456">
        <v>0</v>
      </c>
      <c r="BK456">
        <v>155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206</v>
      </c>
      <c r="BR456">
        <v>0</v>
      </c>
      <c r="BS456">
        <v>0</v>
      </c>
      <c r="BT456">
        <v>70</v>
      </c>
      <c r="BU456">
        <v>192</v>
      </c>
      <c r="BV456" s="36">
        <f>BU456/BT456</f>
        <v>2.7428571428571429</v>
      </c>
      <c r="BW456" s="32">
        <v>0.45</v>
      </c>
    </row>
    <row r="457" spans="2:75" x14ac:dyDescent="0.2">
      <c r="B457" s="58" t="s">
        <v>25</v>
      </c>
      <c r="C457" s="58" t="s">
        <v>847</v>
      </c>
      <c r="D457" t="s">
        <v>253</v>
      </c>
      <c r="F457" s="5" t="s">
        <v>15</v>
      </c>
      <c r="G457" s="6" t="s">
        <v>118</v>
      </c>
      <c r="H457" s="35">
        <v>0.8</v>
      </c>
      <c r="I457" s="35">
        <v>0.08</v>
      </c>
      <c r="J457" s="32">
        <v>0.74</v>
      </c>
      <c r="BT457">
        <v>19</v>
      </c>
      <c r="BW457" s="32">
        <v>0.45</v>
      </c>
    </row>
    <row r="458" spans="2:75" x14ac:dyDescent="0.2">
      <c r="B458" s="58" t="s">
        <v>25</v>
      </c>
      <c r="C458" s="58" t="s">
        <v>847</v>
      </c>
      <c r="D458" t="s">
        <v>862</v>
      </c>
      <c r="F458" s="5" t="s">
        <v>33</v>
      </c>
      <c r="G458" s="6" t="s">
        <v>107</v>
      </c>
      <c r="H458" s="35">
        <v>0.94</v>
      </c>
      <c r="I458" s="35">
        <v>0.47</v>
      </c>
      <c r="J458" s="32">
        <v>0.4</v>
      </c>
      <c r="BT458">
        <v>142</v>
      </c>
      <c r="BW458" s="32">
        <v>0.85</v>
      </c>
    </row>
    <row r="459" spans="2:75" x14ac:dyDescent="0.2">
      <c r="B459" s="58" t="s">
        <v>25</v>
      </c>
      <c r="C459" s="58" t="s">
        <v>847</v>
      </c>
      <c r="D459" t="s">
        <v>138</v>
      </c>
      <c r="F459" s="5" t="s">
        <v>139</v>
      </c>
      <c r="G459" s="6" t="s">
        <v>140</v>
      </c>
      <c r="H459" s="35">
        <v>0.89</v>
      </c>
      <c r="I459" s="35">
        <v>0.31</v>
      </c>
      <c r="J459" s="32">
        <v>0.61</v>
      </c>
      <c r="BW459" s="32">
        <v>0.81</v>
      </c>
    </row>
    <row r="460" spans="2:75" x14ac:dyDescent="0.2">
      <c r="B460" s="58" t="s">
        <v>25</v>
      </c>
      <c r="C460" s="58" t="s">
        <v>847</v>
      </c>
      <c r="D460" t="s">
        <v>47</v>
      </c>
      <c r="F460" s="5" t="s">
        <v>30</v>
      </c>
      <c r="G460" s="6" t="s">
        <v>48</v>
      </c>
      <c r="H460" s="35">
        <v>0.64</v>
      </c>
      <c r="I460" s="35">
        <v>0.63</v>
      </c>
      <c r="J460" s="32">
        <v>0.14000000000000001</v>
      </c>
      <c r="BT460">
        <v>116</v>
      </c>
      <c r="BW460" s="32">
        <v>0.1</v>
      </c>
    </row>
    <row r="461" spans="2:75" x14ac:dyDescent="0.2">
      <c r="B461" s="58" t="s">
        <v>25</v>
      </c>
      <c r="C461" s="58" t="s">
        <v>847</v>
      </c>
      <c r="D461" t="s">
        <v>1296</v>
      </c>
      <c r="F461" s="5" t="s">
        <v>90</v>
      </c>
      <c r="G461" s="6" t="s">
        <v>91</v>
      </c>
      <c r="H461" s="35">
        <v>0.26</v>
      </c>
      <c r="I461" s="35">
        <v>0.9</v>
      </c>
      <c r="J461" s="32">
        <v>0.14000000000000001</v>
      </c>
      <c r="BW461" s="32">
        <v>0.37</v>
      </c>
    </row>
    <row r="462" spans="2:75" x14ac:dyDescent="0.2">
      <c r="B462" s="58" t="s">
        <v>25</v>
      </c>
      <c r="C462" s="58" t="s">
        <v>847</v>
      </c>
      <c r="D462" t="s">
        <v>311</v>
      </c>
      <c r="F462" s="5" t="s">
        <v>42</v>
      </c>
      <c r="G462" s="6" t="s">
        <v>88</v>
      </c>
      <c r="H462" s="35">
        <v>0.77</v>
      </c>
      <c r="I462" s="35">
        <v>0.38</v>
      </c>
      <c r="J462" s="32">
        <v>0.32</v>
      </c>
      <c r="BT462">
        <v>415</v>
      </c>
      <c r="BW462" s="13">
        <v>0.42</v>
      </c>
    </row>
    <row r="463" spans="2:75" x14ac:dyDescent="0.2">
      <c r="B463" s="58" t="s">
        <v>25</v>
      </c>
      <c r="C463" s="58" t="s">
        <v>847</v>
      </c>
      <c r="D463" t="s">
        <v>1297</v>
      </c>
      <c r="F463" s="5" t="s">
        <v>15</v>
      </c>
      <c r="G463" s="6" t="s">
        <v>28</v>
      </c>
      <c r="H463" s="35">
        <v>0.76</v>
      </c>
      <c r="I463" s="35">
        <v>0.01</v>
      </c>
      <c r="J463" s="32">
        <v>0.96</v>
      </c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  <c r="BL463" s="47"/>
      <c r="BM463" s="47"/>
      <c r="BN463" s="47"/>
      <c r="BO463" s="47"/>
      <c r="BP463" s="47"/>
      <c r="BQ463" s="47"/>
      <c r="BR463" s="47"/>
      <c r="BS463" s="47"/>
      <c r="BT463" s="47"/>
      <c r="BU463" s="47"/>
      <c r="BV463" s="47"/>
      <c r="BW463" s="59">
        <v>0.79</v>
      </c>
    </row>
    <row r="464" spans="2:75" x14ac:dyDescent="0.2">
      <c r="B464" s="58" t="s">
        <v>25</v>
      </c>
      <c r="C464" s="58" t="s">
        <v>847</v>
      </c>
      <c r="D464" t="s">
        <v>320</v>
      </c>
      <c r="F464" s="5" t="s">
        <v>15</v>
      </c>
      <c r="G464" s="6" t="s">
        <v>118</v>
      </c>
      <c r="H464" s="35">
        <v>0.8</v>
      </c>
      <c r="I464" s="35">
        <v>0.08</v>
      </c>
      <c r="J464" s="32">
        <v>0.74</v>
      </c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  <c r="BL464" s="47"/>
      <c r="BM464" s="47"/>
      <c r="BN464" s="47"/>
      <c r="BO464" s="47"/>
      <c r="BP464" s="47"/>
      <c r="BQ464" s="47"/>
      <c r="BR464" s="47"/>
      <c r="BS464" s="47"/>
      <c r="BT464" s="47">
        <v>62</v>
      </c>
      <c r="BU464" s="47"/>
      <c r="BV464" s="47"/>
      <c r="BW464" s="59">
        <v>0.42</v>
      </c>
    </row>
    <row r="465" spans="2:75" x14ac:dyDescent="0.2">
      <c r="B465" s="58" t="s">
        <v>25</v>
      </c>
      <c r="C465" s="58" t="s">
        <v>847</v>
      </c>
      <c r="D465" t="s">
        <v>509</v>
      </c>
      <c r="F465" s="5" t="s">
        <v>45</v>
      </c>
      <c r="G465" s="6" t="s">
        <v>505</v>
      </c>
      <c r="H465" s="35">
        <v>0.36</v>
      </c>
      <c r="I465" s="35">
        <v>0.11</v>
      </c>
      <c r="J465" s="32">
        <v>0.87</v>
      </c>
      <c r="K465" s="47" t="s">
        <v>833</v>
      </c>
      <c r="L465" s="47" t="s">
        <v>963</v>
      </c>
      <c r="M465" s="47" t="s">
        <v>849</v>
      </c>
      <c r="N465" s="47" t="s">
        <v>834</v>
      </c>
      <c r="O465" s="47" t="s">
        <v>965</v>
      </c>
      <c r="P465" s="47" t="s">
        <v>965</v>
      </c>
      <c r="Q465" s="47" t="s">
        <v>965</v>
      </c>
      <c r="R465" s="47" t="s">
        <v>965</v>
      </c>
      <c r="S465" s="47" t="s">
        <v>965</v>
      </c>
      <c r="T465" s="47" t="s">
        <v>965</v>
      </c>
      <c r="U465" s="47" t="s">
        <v>965</v>
      </c>
      <c r="V465" s="47" t="s">
        <v>965</v>
      </c>
      <c r="W465" s="47" t="s">
        <v>965</v>
      </c>
      <c r="X465" s="47" t="s">
        <v>965</v>
      </c>
      <c r="Y465" s="47" t="s">
        <v>965</v>
      </c>
      <c r="Z465" s="47" t="s">
        <v>965</v>
      </c>
      <c r="AA465" s="47" t="s">
        <v>965</v>
      </c>
      <c r="AB465" s="47" t="s">
        <v>965</v>
      </c>
      <c r="AC465" s="47" t="s">
        <v>965</v>
      </c>
      <c r="AD465" s="47" t="s">
        <v>965</v>
      </c>
      <c r="AE465" s="47" t="s">
        <v>965</v>
      </c>
      <c r="AF465" s="47" t="s">
        <v>965</v>
      </c>
      <c r="AG465" s="47" t="s">
        <v>965</v>
      </c>
      <c r="AH465" s="47" t="s">
        <v>965</v>
      </c>
      <c r="AI465" s="47" t="s">
        <v>965</v>
      </c>
      <c r="AJ465" s="47" t="s">
        <v>965</v>
      </c>
      <c r="AK465" s="47" t="s">
        <v>965</v>
      </c>
      <c r="AL465" s="47" t="s">
        <v>965</v>
      </c>
      <c r="AM465" s="47" t="s">
        <v>965</v>
      </c>
      <c r="AN465" s="47" t="s">
        <v>965</v>
      </c>
      <c r="AO465" s="47" t="s">
        <v>965</v>
      </c>
      <c r="AP465" s="47" t="s">
        <v>965</v>
      </c>
      <c r="AQ465" s="47" t="s">
        <v>965</v>
      </c>
      <c r="AR465" s="47" t="s">
        <v>965</v>
      </c>
      <c r="AS465" s="47" t="s">
        <v>965</v>
      </c>
      <c r="AT465" s="47" t="s">
        <v>965</v>
      </c>
      <c r="AU465" s="47" t="s">
        <v>965</v>
      </c>
      <c r="AV465" s="47" t="s">
        <v>965</v>
      </c>
      <c r="AW465" s="47" t="s">
        <v>965</v>
      </c>
      <c r="AX465" s="47" t="s">
        <v>965</v>
      </c>
      <c r="AY465" s="47" t="s">
        <v>965</v>
      </c>
      <c r="AZ465" s="47" t="s">
        <v>965</v>
      </c>
      <c r="BA465" s="47" t="s">
        <v>965</v>
      </c>
      <c r="BB465" s="47" t="s">
        <v>965</v>
      </c>
      <c r="BC465" s="47" t="s">
        <v>833</v>
      </c>
      <c r="BD465" s="47" t="s">
        <v>965</v>
      </c>
      <c r="BE465" s="47" t="s">
        <v>835</v>
      </c>
      <c r="BF465" s="47">
        <v>0</v>
      </c>
      <c r="BG465" s="47">
        <v>0</v>
      </c>
      <c r="BH465" s="47">
        <v>0</v>
      </c>
      <c r="BI465" s="47">
        <v>0</v>
      </c>
      <c r="BJ465" s="47">
        <v>0</v>
      </c>
      <c r="BK465" s="47">
        <v>62</v>
      </c>
      <c r="BL465" s="47">
        <v>0</v>
      </c>
      <c r="BM465" s="47">
        <v>0</v>
      </c>
      <c r="BN465" s="47">
        <v>0</v>
      </c>
      <c r="BO465" s="47">
        <v>0</v>
      </c>
      <c r="BP465" s="47">
        <v>0</v>
      </c>
      <c r="BQ465" s="47">
        <v>62</v>
      </c>
      <c r="BR465" s="47">
        <v>0</v>
      </c>
      <c r="BS465" s="47">
        <v>0</v>
      </c>
      <c r="BT465" s="47"/>
      <c r="BU465" s="47">
        <v>31</v>
      </c>
      <c r="BV465" s="52" t="e">
        <f>BU465/BT465</f>
        <v>#DIV/0!</v>
      </c>
      <c r="BW465" s="59">
        <v>0.32</v>
      </c>
    </row>
    <row r="466" spans="2:75" x14ac:dyDescent="0.2">
      <c r="B466" s="58" t="s">
        <v>25</v>
      </c>
      <c r="C466" s="58" t="s">
        <v>847</v>
      </c>
      <c r="D466" t="s">
        <v>872</v>
      </c>
      <c r="F466" s="5" t="s">
        <v>58</v>
      </c>
      <c r="G466" s="6" t="s">
        <v>264</v>
      </c>
      <c r="H466" s="35">
        <v>0.16</v>
      </c>
      <c r="I466" s="35">
        <v>0.68</v>
      </c>
      <c r="J466" s="32">
        <v>0.76</v>
      </c>
      <c r="BT466">
        <v>69</v>
      </c>
      <c r="BW466" s="13">
        <v>0.84</v>
      </c>
    </row>
    <row r="467" spans="2:75" x14ac:dyDescent="0.2">
      <c r="B467" s="58" t="s">
        <v>25</v>
      </c>
      <c r="C467" s="58" t="s">
        <v>847</v>
      </c>
      <c r="D467" t="s">
        <v>547</v>
      </c>
      <c r="F467" s="5" t="s">
        <v>45</v>
      </c>
      <c r="G467" s="6" t="s">
        <v>82</v>
      </c>
      <c r="H467" s="35">
        <v>0.27</v>
      </c>
      <c r="I467" s="35">
        <v>0.77</v>
      </c>
      <c r="J467" s="32">
        <v>0.11</v>
      </c>
      <c r="BW467" s="13">
        <v>0.83</v>
      </c>
    </row>
    <row r="468" spans="2:75" x14ac:dyDescent="0.2">
      <c r="B468" s="58" t="s">
        <v>25</v>
      </c>
      <c r="C468" s="58" t="s">
        <v>847</v>
      </c>
      <c r="D468" t="s">
        <v>592</v>
      </c>
      <c r="F468" s="5" t="s">
        <v>15</v>
      </c>
      <c r="G468" s="6" t="s">
        <v>72</v>
      </c>
      <c r="H468" s="35">
        <v>0.09</v>
      </c>
      <c r="I468" s="35">
        <v>0.34</v>
      </c>
      <c r="J468" s="32">
        <v>0.59</v>
      </c>
      <c r="BT468">
        <v>69</v>
      </c>
      <c r="BW468" s="13">
        <v>0.92</v>
      </c>
    </row>
    <row r="469" spans="2:75" x14ac:dyDescent="0.2">
      <c r="B469" s="58" t="s">
        <v>25</v>
      </c>
      <c r="C469" s="58" t="s">
        <v>847</v>
      </c>
      <c r="D469" t="s">
        <v>595</v>
      </c>
      <c r="F469" s="5" t="s">
        <v>23</v>
      </c>
      <c r="G469" s="6" t="s">
        <v>451</v>
      </c>
      <c r="H469" s="35">
        <v>0.25</v>
      </c>
      <c r="I469" s="35">
        <v>0.35</v>
      </c>
      <c r="J469" s="32">
        <v>0.71</v>
      </c>
      <c r="K469" t="s">
        <v>833</v>
      </c>
      <c r="L469" t="s">
        <v>963</v>
      </c>
      <c r="N469" t="s">
        <v>834</v>
      </c>
      <c r="O469" t="s">
        <v>965</v>
      </c>
      <c r="P469" t="s">
        <v>965</v>
      </c>
      <c r="Q469" t="s">
        <v>965</v>
      </c>
      <c r="R469" t="s">
        <v>965</v>
      </c>
      <c r="S469" t="s">
        <v>965</v>
      </c>
      <c r="T469" t="s">
        <v>965</v>
      </c>
      <c r="U469" t="s">
        <v>965</v>
      </c>
      <c r="V469" t="s">
        <v>965</v>
      </c>
      <c r="W469" t="s">
        <v>965</v>
      </c>
      <c r="X469" t="s">
        <v>965</v>
      </c>
      <c r="Y469" t="s">
        <v>965</v>
      </c>
      <c r="Z469" t="s">
        <v>965</v>
      </c>
      <c r="AA469" t="s">
        <v>965</v>
      </c>
      <c r="AB469" t="s">
        <v>965</v>
      </c>
      <c r="AC469" t="s">
        <v>965</v>
      </c>
      <c r="AD469" t="s">
        <v>965</v>
      </c>
      <c r="AE469" t="s">
        <v>965</v>
      </c>
      <c r="AF469" t="s">
        <v>965</v>
      </c>
      <c r="AG469" t="s">
        <v>965</v>
      </c>
      <c r="AH469" t="s">
        <v>965</v>
      </c>
      <c r="AI469" t="s">
        <v>965</v>
      </c>
      <c r="AJ469" t="s">
        <v>965</v>
      </c>
      <c r="AK469" t="s">
        <v>965</v>
      </c>
      <c r="AL469" t="s">
        <v>965</v>
      </c>
      <c r="AM469" t="s">
        <v>965</v>
      </c>
      <c r="AN469" t="s">
        <v>965</v>
      </c>
      <c r="AO469" t="s">
        <v>965</v>
      </c>
      <c r="AP469" t="s">
        <v>965</v>
      </c>
      <c r="AQ469" t="s">
        <v>965</v>
      </c>
      <c r="AR469" t="s">
        <v>965</v>
      </c>
      <c r="AS469" t="s">
        <v>965</v>
      </c>
      <c r="AT469" t="s">
        <v>965</v>
      </c>
      <c r="AU469" t="s">
        <v>965</v>
      </c>
      <c r="AV469" t="s">
        <v>965</v>
      </c>
      <c r="AW469" t="s">
        <v>965</v>
      </c>
      <c r="AX469" t="s">
        <v>965</v>
      </c>
      <c r="AY469" t="s">
        <v>965</v>
      </c>
      <c r="AZ469" t="s">
        <v>965</v>
      </c>
      <c r="BA469" t="s">
        <v>833</v>
      </c>
      <c r="BB469" t="s">
        <v>965</v>
      </c>
      <c r="BC469" t="s">
        <v>965</v>
      </c>
      <c r="BD469" t="s">
        <v>965</v>
      </c>
      <c r="BE469" t="s">
        <v>835</v>
      </c>
      <c r="BF469">
        <v>21</v>
      </c>
      <c r="BG469">
        <v>7</v>
      </c>
      <c r="BH469">
        <v>0</v>
      </c>
      <c r="BI469">
        <v>0</v>
      </c>
      <c r="BJ469">
        <v>21</v>
      </c>
      <c r="BK469">
        <v>3</v>
      </c>
      <c r="BL469">
        <v>0</v>
      </c>
      <c r="BM469">
        <v>0</v>
      </c>
      <c r="BN469">
        <v>3</v>
      </c>
      <c r="BO469">
        <v>0</v>
      </c>
      <c r="BP469">
        <v>0</v>
      </c>
      <c r="BQ469">
        <v>24</v>
      </c>
      <c r="BR469">
        <v>0</v>
      </c>
      <c r="BS469">
        <v>0</v>
      </c>
      <c r="BU469">
        <v>12</v>
      </c>
      <c r="BV469" s="36" t="e">
        <f>BU469/BT469</f>
        <v>#DIV/0!</v>
      </c>
      <c r="BW469" s="32">
        <v>0.71</v>
      </c>
    </row>
    <row r="470" spans="2:75" x14ac:dyDescent="0.2">
      <c r="B470" s="58" t="s">
        <v>25</v>
      </c>
      <c r="C470" s="58" t="s">
        <v>847</v>
      </c>
      <c r="D470" t="s">
        <v>675</v>
      </c>
      <c r="F470" s="5" t="s">
        <v>30</v>
      </c>
      <c r="G470" s="6" t="s">
        <v>676</v>
      </c>
      <c r="H470" s="35">
        <v>0.49</v>
      </c>
      <c r="I470" s="35">
        <v>0.72</v>
      </c>
      <c r="J470" s="32">
        <v>0.36</v>
      </c>
      <c r="BT470">
        <v>89</v>
      </c>
      <c r="BW470" s="13">
        <v>0.57999999999999996</v>
      </c>
    </row>
    <row r="471" spans="2:75" x14ac:dyDescent="0.2">
      <c r="B471" s="58" t="s">
        <v>25</v>
      </c>
      <c r="C471" s="58" t="s">
        <v>847</v>
      </c>
      <c r="D471" t="s">
        <v>759</v>
      </c>
      <c r="F471" s="5" t="s">
        <v>23</v>
      </c>
      <c r="G471" s="6" t="s">
        <v>391</v>
      </c>
      <c r="H471" s="35">
        <v>0.13</v>
      </c>
      <c r="I471" s="35">
        <v>0.23</v>
      </c>
      <c r="J471" s="32">
        <v>0.8</v>
      </c>
      <c r="BT471">
        <v>46</v>
      </c>
      <c r="BW471" s="13">
        <v>0.63</v>
      </c>
    </row>
    <row r="472" spans="2:75" x14ac:dyDescent="0.2">
      <c r="B472" s="58" t="s">
        <v>25</v>
      </c>
      <c r="C472" s="58" t="s">
        <v>837</v>
      </c>
      <c r="D472" t="s">
        <v>415</v>
      </c>
      <c r="F472" s="5" t="s">
        <v>225</v>
      </c>
      <c r="G472" s="6" t="s">
        <v>226</v>
      </c>
      <c r="H472" s="35">
        <v>0.44</v>
      </c>
      <c r="I472" s="35">
        <v>0.8</v>
      </c>
      <c r="J472" s="32">
        <v>0.31</v>
      </c>
      <c r="K472" t="s">
        <v>833</v>
      </c>
      <c r="L472" t="s">
        <v>963</v>
      </c>
      <c r="N472" t="s">
        <v>834</v>
      </c>
      <c r="O472" t="s">
        <v>965</v>
      </c>
      <c r="P472" t="s">
        <v>965</v>
      </c>
      <c r="Q472" t="s">
        <v>965</v>
      </c>
      <c r="R472" t="s">
        <v>965</v>
      </c>
      <c r="S472" t="s">
        <v>965</v>
      </c>
      <c r="T472" t="s">
        <v>965</v>
      </c>
      <c r="U472" t="s">
        <v>965</v>
      </c>
      <c r="V472" t="s">
        <v>965</v>
      </c>
      <c r="W472" t="s">
        <v>965</v>
      </c>
      <c r="X472" t="s">
        <v>965</v>
      </c>
      <c r="Y472" t="s">
        <v>965</v>
      </c>
      <c r="Z472" t="s">
        <v>965</v>
      </c>
      <c r="AA472" t="s">
        <v>965</v>
      </c>
      <c r="AB472" t="s">
        <v>965</v>
      </c>
      <c r="AC472" t="s">
        <v>965</v>
      </c>
      <c r="AD472" t="s">
        <v>965</v>
      </c>
      <c r="AE472" t="s">
        <v>965</v>
      </c>
      <c r="AF472" t="s">
        <v>965</v>
      </c>
      <c r="AG472" t="s">
        <v>965</v>
      </c>
      <c r="AH472" t="s">
        <v>965</v>
      </c>
      <c r="AI472" t="s">
        <v>965</v>
      </c>
      <c r="AJ472" t="s">
        <v>965</v>
      </c>
      <c r="AK472" t="s">
        <v>965</v>
      </c>
      <c r="AL472" t="s">
        <v>965</v>
      </c>
      <c r="AM472" t="s">
        <v>965</v>
      </c>
      <c r="AN472" t="s">
        <v>965</v>
      </c>
      <c r="AO472" t="s">
        <v>965</v>
      </c>
      <c r="AP472" t="s">
        <v>965</v>
      </c>
      <c r="AQ472" t="s">
        <v>965</v>
      </c>
      <c r="AR472" t="s">
        <v>965</v>
      </c>
      <c r="AS472" t="s">
        <v>965</v>
      </c>
      <c r="AT472" t="s">
        <v>965</v>
      </c>
      <c r="AU472" t="s">
        <v>965</v>
      </c>
      <c r="AV472" t="s">
        <v>965</v>
      </c>
      <c r="AW472" t="s">
        <v>965</v>
      </c>
      <c r="AX472" t="s">
        <v>965</v>
      </c>
      <c r="AY472" t="s">
        <v>965</v>
      </c>
      <c r="AZ472" t="s">
        <v>965</v>
      </c>
      <c r="BA472" t="s">
        <v>965</v>
      </c>
      <c r="BB472" t="s">
        <v>965</v>
      </c>
      <c r="BC472" t="s">
        <v>833</v>
      </c>
      <c r="BD472" t="s">
        <v>965</v>
      </c>
      <c r="BE472" t="s">
        <v>835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2</v>
      </c>
      <c r="BR472">
        <v>0</v>
      </c>
      <c r="BS472">
        <v>0</v>
      </c>
      <c r="BU472">
        <v>2</v>
      </c>
      <c r="BV472" s="36" t="e">
        <f>BU472/BT472</f>
        <v>#DIV/0!</v>
      </c>
      <c r="BW472" s="13">
        <v>0.61</v>
      </c>
    </row>
    <row r="473" spans="2:75" x14ac:dyDescent="0.2">
      <c r="B473" s="58" t="s">
        <v>25</v>
      </c>
      <c r="C473" s="58" t="s">
        <v>837</v>
      </c>
      <c r="D473" t="s">
        <v>240</v>
      </c>
      <c r="F473" s="5" t="s">
        <v>15</v>
      </c>
      <c r="G473" s="6" t="s">
        <v>16</v>
      </c>
      <c r="H473" s="35">
        <v>0.47</v>
      </c>
      <c r="I473" s="35">
        <v>0.02</v>
      </c>
      <c r="J473" s="32">
        <v>1</v>
      </c>
      <c r="BT473">
        <v>111</v>
      </c>
      <c r="BW473" s="13">
        <v>0.87</v>
      </c>
    </row>
    <row r="474" spans="2:75" x14ac:dyDescent="0.2">
      <c r="B474" s="58" t="s">
        <v>25</v>
      </c>
      <c r="C474" s="58" t="s">
        <v>837</v>
      </c>
      <c r="D474" t="s">
        <v>295</v>
      </c>
      <c r="F474" s="5" t="s">
        <v>90</v>
      </c>
      <c r="G474" s="6" t="s">
        <v>296</v>
      </c>
      <c r="H474" s="35">
        <v>0.41</v>
      </c>
      <c r="I474" s="35">
        <v>0.37</v>
      </c>
      <c r="J474" s="32">
        <v>0.33</v>
      </c>
      <c r="BT474">
        <v>18</v>
      </c>
      <c r="BW474" s="32">
        <v>0.71</v>
      </c>
    </row>
    <row r="475" spans="2:75" x14ac:dyDescent="0.2">
      <c r="B475" s="58" t="s">
        <v>25</v>
      </c>
      <c r="C475" s="58" t="s">
        <v>837</v>
      </c>
      <c r="D475" t="s">
        <v>503</v>
      </c>
      <c r="F475" s="5" t="s">
        <v>225</v>
      </c>
      <c r="G475" s="6" t="s">
        <v>502</v>
      </c>
      <c r="H475" s="35">
        <v>0.56000000000000005</v>
      </c>
      <c r="I475" s="35">
        <v>0.78</v>
      </c>
      <c r="J475" s="32">
        <v>0.16</v>
      </c>
      <c r="K475" t="s">
        <v>833</v>
      </c>
      <c r="L475" t="s">
        <v>963</v>
      </c>
      <c r="N475" t="s">
        <v>834</v>
      </c>
      <c r="O475" t="s">
        <v>965</v>
      </c>
      <c r="P475" t="s">
        <v>965</v>
      </c>
      <c r="Q475" t="s">
        <v>965</v>
      </c>
      <c r="R475" t="s">
        <v>965</v>
      </c>
      <c r="S475" t="s">
        <v>965</v>
      </c>
      <c r="T475" t="s">
        <v>965</v>
      </c>
      <c r="U475" t="s">
        <v>965</v>
      </c>
      <c r="V475" t="s">
        <v>965</v>
      </c>
      <c r="W475" t="s">
        <v>965</v>
      </c>
      <c r="X475" t="s">
        <v>965</v>
      </c>
      <c r="Y475" t="s">
        <v>965</v>
      </c>
      <c r="Z475" t="s">
        <v>965</v>
      </c>
      <c r="AA475" t="s">
        <v>965</v>
      </c>
      <c r="AB475" t="s">
        <v>965</v>
      </c>
      <c r="AC475" t="s">
        <v>965</v>
      </c>
      <c r="AD475" t="s">
        <v>965</v>
      </c>
      <c r="AE475" t="s">
        <v>965</v>
      </c>
      <c r="AF475" t="s">
        <v>965</v>
      </c>
      <c r="AG475" t="s">
        <v>965</v>
      </c>
      <c r="AH475" t="s">
        <v>965</v>
      </c>
      <c r="AI475" t="s">
        <v>965</v>
      </c>
      <c r="AJ475" t="s">
        <v>965</v>
      </c>
      <c r="AK475" t="s">
        <v>965</v>
      </c>
      <c r="AL475" t="s">
        <v>965</v>
      </c>
      <c r="AM475" t="s">
        <v>965</v>
      </c>
      <c r="AN475" t="s">
        <v>965</v>
      </c>
      <c r="AO475" t="s">
        <v>965</v>
      </c>
      <c r="AP475" t="s">
        <v>965</v>
      </c>
      <c r="AQ475" t="s">
        <v>965</v>
      </c>
      <c r="AR475" t="s">
        <v>965</v>
      </c>
      <c r="AS475" t="s">
        <v>965</v>
      </c>
      <c r="AT475" t="s">
        <v>965</v>
      </c>
      <c r="AU475" t="s">
        <v>965</v>
      </c>
      <c r="AV475" t="s">
        <v>965</v>
      </c>
      <c r="AW475" t="s">
        <v>965</v>
      </c>
      <c r="AX475" t="s">
        <v>965</v>
      </c>
      <c r="AY475" t="s">
        <v>965</v>
      </c>
      <c r="AZ475" t="s">
        <v>833</v>
      </c>
      <c r="BA475" t="s">
        <v>965</v>
      </c>
      <c r="BB475" t="s">
        <v>965</v>
      </c>
      <c r="BC475" t="s">
        <v>965</v>
      </c>
      <c r="BD475" t="s">
        <v>965</v>
      </c>
      <c r="BE475" t="s">
        <v>855</v>
      </c>
      <c r="BF475">
        <v>12</v>
      </c>
      <c r="BG475">
        <v>4</v>
      </c>
      <c r="BH475">
        <v>0</v>
      </c>
      <c r="BI475">
        <v>0</v>
      </c>
      <c r="BJ475">
        <v>0</v>
      </c>
      <c r="BK475">
        <v>4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16</v>
      </c>
      <c r="BR475">
        <v>0</v>
      </c>
      <c r="BS475">
        <v>0</v>
      </c>
      <c r="BT475">
        <v>68</v>
      </c>
      <c r="BU475">
        <v>10</v>
      </c>
      <c r="BV475" s="36">
        <f>BU475/BT475</f>
        <v>0.14705882352941177</v>
      </c>
      <c r="BW475" s="13">
        <v>0.64</v>
      </c>
    </row>
    <row r="476" spans="2:75" x14ac:dyDescent="0.2">
      <c r="B476" s="58" t="s">
        <v>25</v>
      </c>
      <c r="C476" s="58" t="s">
        <v>837</v>
      </c>
      <c r="D476" t="s">
        <v>733</v>
      </c>
      <c r="F476" s="5" t="s">
        <v>225</v>
      </c>
      <c r="G476" s="6" t="s">
        <v>226</v>
      </c>
      <c r="H476" s="35">
        <v>0.44</v>
      </c>
      <c r="I476" s="35">
        <v>0.8</v>
      </c>
      <c r="J476" s="32">
        <v>0.31</v>
      </c>
      <c r="K476" s="47" t="s">
        <v>833</v>
      </c>
      <c r="L476" s="47" t="s">
        <v>963</v>
      </c>
      <c r="M476" s="47"/>
      <c r="N476" s="47" t="s">
        <v>834</v>
      </c>
      <c r="O476" s="47" t="s">
        <v>965</v>
      </c>
      <c r="P476" s="47" t="s">
        <v>965</v>
      </c>
      <c r="Q476" s="47" t="s">
        <v>965</v>
      </c>
      <c r="R476" s="47" t="s">
        <v>965</v>
      </c>
      <c r="S476" s="47" t="s">
        <v>965</v>
      </c>
      <c r="T476" s="47" t="s">
        <v>965</v>
      </c>
      <c r="U476" s="47" t="s">
        <v>965</v>
      </c>
      <c r="V476" s="47" t="s">
        <v>965</v>
      </c>
      <c r="W476" s="47" t="s">
        <v>965</v>
      </c>
      <c r="X476" s="47" t="s">
        <v>965</v>
      </c>
      <c r="Y476" s="47" t="s">
        <v>965</v>
      </c>
      <c r="Z476" s="47" t="s">
        <v>965</v>
      </c>
      <c r="AA476" s="47" t="s">
        <v>965</v>
      </c>
      <c r="AB476" s="47" t="s">
        <v>965</v>
      </c>
      <c r="AC476" s="47" t="s">
        <v>965</v>
      </c>
      <c r="AD476" s="47" t="s">
        <v>965</v>
      </c>
      <c r="AE476" s="47" t="s">
        <v>965</v>
      </c>
      <c r="AF476" s="47" t="s">
        <v>965</v>
      </c>
      <c r="AG476" s="47" t="s">
        <v>965</v>
      </c>
      <c r="AH476" s="47" t="s">
        <v>965</v>
      </c>
      <c r="AI476" s="47" t="s">
        <v>965</v>
      </c>
      <c r="AJ476" s="47" t="s">
        <v>965</v>
      </c>
      <c r="AK476" s="47" t="s">
        <v>965</v>
      </c>
      <c r="AL476" s="47" t="s">
        <v>965</v>
      </c>
      <c r="AM476" s="47" t="s">
        <v>965</v>
      </c>
      <c r="AN476" s="47" t="s">
        <v>965</v>
      </c>
      <c r="AO476" s="47" t="s">
        <v>965</v>
      </c>
      <c r="AP476" s="47" t="s">
        <v>965</v>
      </c>
      <c r="AQ476" s="47" t="s">
        <v>965</v>
      </c>
      <c r="AR476" s="47" t="s">
        <v>965</v>
      </c>
      <c r="AS476" s="47" t="s">
        <v>965</v>
      </c>
      <c r="AT476" s="47" t="s">
        <v>965</v>
      </c>
      <c r="AU476" s="47" t="s">
        <v>965</v>
      </c>
      <c r="AV476" s="47" t="s">
        <v>965</v>
      </c>
      <c r="AW476" s="47" t="s">
        <v>965</v>
      </c>
      <c r="AX476" s="47" t="s">
        <v>965</v>
      </c>
      <c r="AY476" s="47" t="s">
        <v>965</v>
      </c>
      <c r="AZ476" s="47" t="s">
        <v>965</v>
      </c>
      <c r="BA476" s="47" t="s">
        <v>965</v>
      </c>
      <c r="BB476" s="47" t="s">
        <v>965</v>
      </c>
      <c r="BC476" s="47" t="s">
        <v>833</v>
      </c>
      <c r="BD476" s="47" t="s">
        <v>965</v>
      </c>
      <c r="BE476" s="47" t="s">
        <v>835</v>
      </c>
      <c r="BF476" s="47">
        <v>0</v>
      </c>
      <c r="BG476" s="47">
        <v>0</v>
      </c>
      <c r="BH476" s="47">
        <v>0</v>
      </c>
      <c r="BI476" s="47">
        <v>0</v>
      </c>
      <c r="BJ476" s="47">
        <v>0</v>
      </c>
      <c r="BK476" s="47">
        <v>2</v>
      </c>
      <c r="BL476" s="47">
        <v>0</v>
      </c>
      <c r="BM476" s="47">
        <v>0</v>
      </c>
      <c r="BN476" s="47">
        <v>0</v>
      </c>
      <c r="BO476" s="47">
        <v>0</v>
      </c>
      <c r="BP476" s="47">
        <v>0</v>
      </c>
      <c r="BQ476" s="47">
        <v>2</v>
      </c>
      <c r="BR476" s="47">
        <v>0</v>
      </c>
      <c r="BS476" s="47">
        <v>0</v>
      </c>
      <c r="BT476" s="47">
        <v>75</v>
      </c>
      <c r="BU476" s="47">
        <v>2</v>
      </c>
      <c r="BV476" s="52">
        <f>BU476/BT476</f>
        <v>2.6666666666666668E-2</v>
      </c>
      <c r="BW476" s="47"/>
    </row>
    <row r="477" spans="2:75" x14ac:dyDescent="0.2">
      <c r="B477" t="s">
        <v>25</v>
      </c>
      <c r="C477" s="58" t="s">
        <v>832</v>
      </c>
      <c r="D477" t="s">
        <v>490</v>
      </c>
      <c r="F477" s="5" t="s">
        <v>30</v>
      </c>
      <c r="G477" s="6" t="s">
        <v>491</v>
      </c>
      <c r="H477" s="35">
        <v>0.41</v>
      </c>
      <c r="I477" s="35">
        <v>0.6</v>
      </c>
      <c r="J477" s="32">
        <v>0.65</v>
      </c>
    </row>
    <row r="478" spans="2:75" x14ac:dyDescent="0.2">
      <c r="B478" t="s">
        <v>25</v>
      </c>
      <c r="C478" s="58" t="s">
        <v>832</v>
      </c>
      <c r="D478" t="s">
        <v>125</v>
      </c>
      <c r="F478" s="5" t="s">
        <v>30</v>
      </c>
      <c r="G478" s="6" t="s">
        <v>126</v>
      </c>
      <c r="H478" s="35">
        <v>0.64</v>
      </c>
      <c r="I478" s="35">
        <v>0.53</v>
      </c>
      <c r="J478" s="32">
        <v>0.35</v>
      </c>
    </row>
    <row r="479" spans="2:75" x14ac:dyDescent="0.2">
      <c r="B479" t="s">
        <v>25</v>
      </c>
      <c r="C479" s="58" t="s">
        <v>832</v>
      </c>
      <c r="D479" t="s">
        <v>73</v>
      </c>
      <c r="F479" s="5" t="s">
        <v>30</v>
      </c>
      <c r="G479" s="6" t="s">
        <v>74</v>
      </c>
      <c r="H479" s="35">
        <v>0.64</v>
      </c>
      <c r="I479" s="35">
        <v>0.95</v>
      </c>
      <c r="J479" s="32">
        <v>0.19</v>
      </c>
    </row>
    <row r="480" spans="2:75" x14ac:dyDescent="0.2">
      <c r="B480" t="s">
        <v>25</v>
      </c>
      <c r="C480" s="58" t="s">
        <v>832</v>
      </c>
      <c r="D480" t="s">
        <v>35</v>
      </c>
      <c r="F480" s="5" t="s">
        <v>30</v>
      </c>
      <c r="G480" s="6" t="s">
        <v>36</v>
      </c>
      <c r="H480" s="35">
        <v>0.31</v>
      </c>
      <c r="I480" s="35">
        <v>0.79</v>
      </c>
      <c r="J480" s="32">
        <v>0.53</v>
      </c>
    </row>
    <row r="481" spans="2:72" x14ac:dyDescent="0.2">
      <c r="B481" t="s">
        <v>25</v>
      </c>
      <c r="C481" s="58" t="s">
        <v>832</v>
      </c>
      <c r="D481" t="s">
        <v>496</v>
      </c>
      <c r="F481" s="5" t="s">
        <v>30</v>
      </c>
      <c r="G481" s="6" t="s">
        <v>497</v>
      </c>
      <c r="H481" s="35">
        <v>0.21</v>
      </c>
      <c r="I481" s="35">
        <v>0.85</v>
      </c>
      <c r="J481" s="32">
        <v>0.57999999999999996</v>
      </c>
    </row>
    <row r="482" spans="2:72" x14ac:dyDescent="0.2">
      <c r="B482" t="s">
        <v>25</v>
      </c>
      <c r="C482" s="58" t="s">
        <v>832</v>
      </c>
      <c r="D482" t="s">
        <v>498</v>
      </c>
      <c r="F482" s="5" t="s">
        <v>30</v>
      </c>
      <c r="G482" s="6" t="s">
        <v>395</v>
      </c>
      <c r="H482" s="35">
        <v>0.21</v>
      </c>
      <c r="I482" s="35">
        <v>0.85</v>
      </c>
      <c r="J482" s="32">
        <v>0.57999999999999996</v>
      </c>
    </row>
    <row r="483" spans="2:72" x14ac:dyDescent="0.2">
      <c r="B483" t="s">
        <v>25</v>
      </c>
      <c r="C483" s="58" t="s">
        <v>832</v>
      </c>
      <c r="D483" t="s">
        <v>517</v>
      </c>
      <c r="F483" s="5" t="s">
        <v>30</v>
      </c>
      <c r="G483" s="6" t="s">
        <v>518</v>
      </c>
      <c r="H483" s="35">
        <v>0.56999999999999995</v>
      </c>
      <c r="I483" s="35">
        <v>0.6</v>
      </c>
      <c r="J483" s="32">
        <v>0.44</v>
      </c>
      <c r="BT483">
        <v>136</v>
      </c>
    </row>
    <row r="484" spans="2:72" x14ac:dyDescent="0.2">
      <c r="B484" t="s">
        <v>25</v>
      </c>
      <c r="C484" s="58" t="s">
        <v>832</v>
      </c>
      <c r="D484" t="s">
        <v>612</v>
      </c>
      <c r="F484" s="5" t="s">
        <v>30</v>
      </c>
      <c r="G484" s="6" t="s">
        <v>613</v>
      </c>
      <c r="H484" s="35">
        <v>0.08</v>
      </c>
      <c r="I484" s="35">
        <v>0.66</v>
      </c>
      <c r="J484" s="32">
        <v>0.69</v>
      </c>
    </row>
    <row r="485" spans="2:72" x14ac:dyDescent="0.2">
      <c r="B485" t="s">
        <v>25</v>
      </c>
      <c r="C485" t="s">
        <v>832</v>
      </c>
      <c r="D485" t="s">
        <v>1298</v>
      </c>
      <c r="F485" s="5" t="s">
        <v>30</v>
      </c>
      <c r="G485" s="6" t="s">
        <v>616</v>
      </c>
      <c r="H485" s="35">
        <v>0.34</v>
      </c>
      <c r="I485" s="35">
        <v>0.7</v>
      </c>
      <c r="J485" s="32">
        <v>0.59</v>
      </c>
    </row>
    <row r="486" spans="2:72" x14ac:dyDescent="0.2">
      <c r="B486" t="s">
        <v>25</v>
      </c>
      <c r="C486" t="s">
        <v>832</v>
      </c>
      <c r="D486" t="s">
        <v>617</v>
      </c>
      <c r="F486" s="5" t="s">
        <v>30</v>
      </c>
      <c r="G486" s="6" t="s">
        <v>613</v>
      </c>
      <c r="H486" s="35">
        <v>0.08</v>
      </c>
      <c r="I486" s="35">
        <v>0.66</v>
      </c>
      <c r="J486" s="32">
        <v>0.69</v>
      </c>
      <c r="BT486">
        <v>153</v>
      </c>
    </row>
    <row r="487" spans="2:72" x14ac:dyDescent="0.2">
      <c r="B487" t="s">
        <v>25</v>
      </c>
      <c r="C487" t="s">
        <v>832</v>
      </c>
      <c r="D487" t="s">
        <v>618</v>
      </c>
      <c r="F487" s="5" t="s">
        <v>30</v>
      </c>
      <c r="G487" s="6" t="s">
        <v>613</v>
      </c>
      <c r="H487" s="35">
        <v>0.08</v>
      </c>
      <c r="I487" s="35">
        <v>0.66</v>
      </c>
      <c r="J487" s="32">
        <v>0.69</v>
      </c>
    </row>
    <row r="488" spans="2:72" x14ac:dyDescent="0.2">
      <c r="B488" t="s">
        <v>25</v>
      </c>
      <c r="C488" t="s">
        <v>832</v>
      </c>
      <c r="D488" t="s">
        <v>693</v>
      </c>
      <c r="F488" s="5" t="s">
        <v>30</v>
      </c>
      <c r="G488" s="6" t="s">
        <v>497</v>
      </c>
      <c r="H488" s="35">
        <v>0.21</v>
      </c>
      <c r="I488" s="35">
        <v>0.85</v>
      </c>
      <c r="J488" s="32">
        <v>0.57999999999999996</v>
      </c>
      <c r="BT488">
        <v>228</v>
      </c>
    </row>
    <row r="489" spans="2:72" x14ac:dyDescent="0.2">
      <c r="B489" t="s">
        <v>25</v>
      </c>
      <c r="C489" t="s">
        <v>832</v>
      </c>
      <c r="D489" t="s">
        <v>705</v>
      </c>
      <c r="F489" s="5" t="s">
        <v>30</v>
      </c>
      <c r="G489" s="6" t="s">
        <v>706</v>
      </c>
      <c r="H489" s="35">
        <v>0.38</v>
      </c>
      <c r="I489" s="35">
        <v>0.4</v>
      </c>
      <c r="J489" s="32">
        <v>0.84</v>
      </c>
    </row>
    <row r="490" spans="2:72" x14ac:dyDescent="0.2">
      <c r="B490" t="s">
        <v>25</v>
      </c>
      <c r="C490" t="s">
        <v>832</v>
      </c>
      <c r="D490" t="s">
        <v>708</v>
      </c>
      <c r="F490" s="5" t="s">
        <v>30</v>
      </c>
      <c r="G490" s="6" t="s">
        <v>31</v>
      </c>
      <c r="H490" s="35">
        <v>0.76</v>
      </c>
      <c r="I490" s="35">
        <v>0.05</v>
      </c>
      <c r="J490" s="32">
        <v>1</v>
      </c>
    </row>
    <row r="491" spans="2:72" x14ac:dyDescent="0.2">
      <c r="B491" t="s">
        <v>25</v>
      </c>
      <c r="C491" t="s">
        <v>832</v>
      </c>
      <c r="D491" t="s">
        <v>734</v>
      </c>
      <c r="F491" s="5" t="s">
        <v>30</v>
      </c>
      <c r="G491" s="6" t="s">
        <v>221</v>
      </c>
      <c r="H491" s="35">
        <v>0.54</v>
      </c>
      <c r="I491" s="35">
        <v>0.53</v>
      </c>
      <c r="J491" s="32">
        <v>0.97</v>
      </c>
    </row>
    <row r="492" spans="2:72" x14ac:dyDescent="0.2">
      <c r="B492" t="s">
        <v>25</v>
      </c>
      <c r="C492" t="s">
        <v>832</v>
      </c>
      <c r="D492" t="s">
        <v>776</v>
      </c>
      <c r="F492" s="5" t="s">
        <v>30</v>
      </c>
      <c r="G492" s="6" t="s">
        <v>727</v>
      </c>
      <c r="H492" s="35">
        <v>0.54</v>
      </c>
      <c r="I492" s="35">
        <v>0.89</v>
      </c>
      <c r="J492" s="32">
        <v>0.28999999999999998</v>
      </c>
    </row>
    <row r="493" spans="2:72" x14ac:dyDescent="0.2">
      <c r="B493" t="s">
        <v>25</v>
      </c>
      <c r="C493" t="s">
        <v>832</v>
      </c>
      <c r="D493" t="s">
        <v>777</v>
      </c>
      <c r="F493" s="5" t="s">
        <v>30</v>
      </c>
      <c r="G493" s="6" t="s">
        <v>727</v>
      </c>
      <c r="H493" s="35">
        <v>0.54</v>
      </c>
      <c r="I493" s="35">
        <v>0.89</v>
      </c>
      <c r="J493" s="32">
        <v>0.28999999999999998</v>
      </c>
    </row>
    <row r="494" spans="2:72" x14ac:dyDescent="0.2">
      <c r="B494" t="s">
        <v>25</v>
      </c>
      <c r="C494" t="s">
        <v>832</v>
      </c>
      <c r="D494" t="s">
        <v>782</v>
      </c>
      <c r="F494" s="5" t="s">
        <v>30</v>
      </c>
      <c r="G494" s="6" t="s">
        <v>491</v>
      </c>
      <c r="H494" s="35">
        <v>0.41</v>
      </c>
      <c r="I494" s="35">
        <v>0.6</v>
      </c>
      <c r="J494" s="32">
        <v>0.65</v>
      </c>
      <c r="BT494">
        <v>264</v>
      </c>
    </row>
    <row r="495" spans="2:72" x14ac:dyDescent="0.2">
      <c r="B495" t="s">
        <v>25</v>
      </c>
      <c r="C495" t="s">
        <v>832</v>
      </c>
      <c r="D495" t="s">
        <v>783</v>
      </c>
      <c r="F495" s="5" t="s">
        <v>30</v>
      </c>
      <c r="G495" s="6" t="s">
        <v>784</v>
      </c>
      <c r="H495" s="35">
        <v>0.41</v>
      </c>
      <c r="I495" s="35">
        <v>0.71</v>
      </c>
      <c r="J495" s="32">
        <v>0.3</v>
      </c>
      <c r="BT495">
        <v>138</v>
      </c>
    </row>
    <row r="496" spans="2:72" x14ac:dyDescent="0.2">
      <c r="B496" t="s">
        <v>25</v>
      </c>
      <c r="C496" t="s">
        <v>832</v>
      </c>
      <c r="D496" t="s">
        <v>785</v>
      </c>
      <c r="F496" s="5" t="s">
        <v>30</v>
      </c>
      <c r="G496" s="6" t="s">
        <v>491</v>
      </c>
      <c r="H496" s="35">
        <v>0.41</v>
      </c>
      <c r="I496" s="35">
        <v>0.6</v>
      </c>
      <c r="J496" s="32">
        <v>0.65</v>
      </c>
    </row>
    <row r="497" spans="2:74" x14ac:dyDescent="0.2">
      <c r="B497" t="s">
        <v>25</v>
      </c>
      <c r="C497" t="s">
        <v>832</v>
      </c>
      <c r="D497" t="s">
        <v>394</v>
      </c>
      <c r="F497" s="5" t="s">
        <v>30</v>
      </c>
      <c r="G497" s="6" t="s">
        <v>395</v>
      </c>
      <c r="H497" s="35">
        <v>0.55000000000000004</v>
      </c>
      <c r="I497" s="35">
        <v>0.63</v>
      </c>
      <c r="J497" s="32">
        <v>0.5</v>
      </c>
      <c r="K497" t="s">
        <v>833</v>
      </c>
      <c r="L497" t="s">
        <v>963</v>
      </c>
      <c r="N497" t="s">
        <v>834</v>
      </c>
      <c r="O497" t="s">
        <v>965</v>
      </c>
      <c r="P497" t="s">
        <v>965</v>
      </c>
      <c r="Q497" t="s">
        <v>965</v>
      </c>
      <c r="R497" t="s">
        <v>965</v>
      </c>
      <c r="S497" t="s">
        <v>965</v>
      </c>
      <c r="T497" t="s">
        <v>965</v>
      </c>
      <c r="U497" t="s">
        <v>965</v>
      </c>
      <c r="V497" t="s">
        <v>965</v>
      </c>
      <c r="W497" t="s">
        <v>965</v>
      </c>
      <c r="X497" t="s">
        <v>965</v>
      </c>
      <c r="Y497" t="s">
        <v>965</v>
      </c>
      <c r="Z497" t="s">
        <v>965</v>
      </c>
      <c r="AA497" t="s">
        <v>965</v>
      </c>
      <c r="AB497" t="s">
        <v>965</v>
      </c>
      <c r="AC497" t="s">
        <v>965</v>
      </c>
      <c r="AD497" t="s">
        <v>965</v>
      </c>
      <c r="AE497" t="s">
        <v>965</v>
      </c>
      <c r="AF497" t="s">
        <v>965</v>
      </c>
      <c r="AG497" t="s">
        <v>965</v>
      </c>
      <c r="AH497" t="s">
        <v>965</v>
      </c>
      <c r="AI497" t="s">
        <v>965</v>
      </c>
      <c r="AJ497" t="s">
        <v>965</v>
      </c>
      <c r="AK497" t="s">
        <v>965</v>
      </c>
      <c r="AL497" t="s">
        <v>965</v>
      </c>
      <c r="AM497" t="s">
        <v>965</v>
      </c>
      <c r="AN497" t="s">
        <v>965</v>
      </c>
      <c r="AO497" t="s">
        <v>965</v>
      </c>
      <c r="AP497" t="s">
        <v>965</v>
      </c>
      <c r="AQ497" t="s">
        <v>965</v>
      </c>
      <c r="AR497" t="s">
        <v>965</v>
      </c>
      <c r="AS497" t="s">
        <v>965</v>
      </c>
      <c r="AT497" t="s">
        <v>965</v>
      </c>
      <c r="AU497" t="s">
        <v>965</v>
      </c>
      <c r="AV497" t="s">
        <v>965</v>
      </c>
      <c r="AW497" t="s">
        <v>965</v>
      </c>
      <c r="AX497" t="s">
        <v>965</v>
      </c>
      <c r="AY497" t="s">
        <v>833</v>
      </c>
      <c r="AZ497" t="s">
        <v>965</v>
      </c>
      <c r="BA497" t="s">
        <v>965</v>
      </c>
      <c r="BB497" t="s">
        <v>965</v>
      </c>
      <c r="BC497" t="s">
        <v>965</v>
      </c>
      <c r="BD497" t="s">
        <v>965</v>
      </c>
      <c r="BE497" t="s">
        <v>835</v>
      </c>
      <c r="BF497">
        <v>50</v>
      </c>
      <c r="BG497">
        <v>10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50</v>
      </c>
      <c r="BR497">
        <v>0</v>
      </c>
      <c r="BS497">
        <v>0</v>
      </c>
      <c r="BT497">
        <v>103</v>
      </c>
      <c r="BU497">
        <v>53</v>
      </c>
      <c r="BV497" s="36">
        <f>BU497/BT497</f>
        <v>0.5145631067961165</v>
      </c>
    </row>
    <row r="498" spans="2:74" x14ac:dyDescent="0.2">
      <c r="B498" t="s">
        <v>25</v>
      </c>
      <c r="C498" t="s">
        <v>832</v>
      </c>
      <c r="D498" t="s">
        <v>329</v>
      </c>
      <c r="F498" s="5" t="s">
        <v>30</v>
      </c>
      <c r="G498" s="6" t="s">
        <v>330</v>
      </c>
      <c r="H498" s="35">
        <v>0.34</v>
      </c>
      <c r="I498" s="35">
        <v>0.92</v>
      </c>
      <c r="J498" s="32">
        <v>0.26</v>
      </c>
      <c r="BT498">
        <v>253</v>
      </c>
    </row>
    <row r="499" spans="2:74" x14ac:dyDescent="0.2">
      <c r="B499" t="s">
        <v>25</v>
      </c>
      <c r="C499" t="s">
        <v>832</v>
      </c>
      <c r="D499" t="s">
        <v>1299</v>
      </c>
      <c r="F499" s="5" t="s">
        <v>30</v>
      </c>
      <c r="G499" s="6" t="s">
        <v>120</v>
      </c>
      <c r="H499" s="35">
        <v>0.22</v>
      </c>
      <c r="I499" s="35">
        <v>0.6</v>
      </c>
      <c r="J499" s="32">
        <v>0.99</v>
      </c>
      <c r="K499" t="s">
        <v>833</v>
      </c>
      <c r="L499" t="s">
        <v>963</v>
      </c>
      <c r="M499" t="s">
        <v>849</v>
      </c>
      <c r="N499" t="s">
        <v>834</v>
      </c>
      <c r="O499" t="s">
        <v>965</v>
      </c>
      <c r="P499" t="s">
        <v>965</v>
      </c>
      <c r="Q499" t="s">
        <v>965</v>
      </c>
      <c r="R499" t="s">
        <v>965</v>
      </c>
      <c r="S499" t="s">
        <v>965</v>
      </c>
      <c r="T499" t="s">
        <v>965</v>
      </c>
      <c r="U499" t="s">
        <v>965</v>
      </c>
      <c r="V499" t="s">
        <v>965</v>
      </c>
      <c r="W499" t="s">
        <v>965</v>
      </c>
      <c r="X499" t="s">
        <v>965</v>
      </c>
      <c r="Y499" t="s">
        <v>965</v>
      </c>
      <c r="Z499" t="s">
        <v>965</v>
      </c>
      <c r="AA499" t="s">
        <v>965</v>
      </c>
      <c r="AB499" t="s">
        <v>965</v>
      </c>
      <c r="AC499" t="s">
        <v>965</v>
      </c>
      <c r="AD499" t="s">
        <v>965</v>
      </c>
      <c r="AE499" t="s">
        <v>965</v>
      </c>
      <c r="AF499" t="s">
        <v>965</v>
      </c>
      <c r="AG499" t="s">
        <v>965</v>
      </c>
      <c r="AH499" t="s">
        <v>965</v>
      </c>
      <c r="AI499" t="s">
        <v>965</v>
      </c>
      <c r="AJ499" t="s">
        <v>965</v>
      </c>
      <c r="AK499" t="s">
        <v>965</v>
      </c>
      <c r="AL499" t="s">
        <v>965</v>
      </c>
      <c r="AM499" t="s">
        <v>965</v>
      </c>
      <c r="AN499" t="s">
        <v>965</v>
      </c>
      <c r="AO499" t="s">
        <v>965</v>
      </c>
      <c r="AP499" t="s">
        <v>965</v>
      </c>
      <c r="AQ499" t="s">
        <v>965</v>
      </c>
      <c r="AR499" t="s">
        <v>965</v>
      </c>
      <c r="AS499" t="s">
        <v>965</v>
      </c>
      <c r="AT499" t="s">
        <v>965</v>
      </c>
      <c r="AU499" t="s">
        <v>965</v>
      </c>
      <c r="AV499" t="s">
        <v>965</v>
      </c>
      <c r="AW499" t="s">
        <v>965</v>
      </c>
      <c r="AX499" t="s">
        <v>965</v>
      </c>
      <c r="AY499" t="s">
        <v>965</v>
      </c>
      <c r="AZ499" t="s">
        <v>965</v>
      </c>
      <c r="BA499" t="s">
        <v>965</v>
      </c>
      <c r="BB499" t="s">
        <v>965</v>
      </c>
      <c r="BC499" t="s">
        <v>833</v>
      </c>
      <c r="BD499" t="s">
        <v>965</v>
      </c>
      <c r="BE499" t="s">
        <v>835</v>
      </c>
      <c r="BF499">
        <v>51</v>
      </c>
      <c r="BG499">
        <v>15</v>
      </c>
      <c r="BH499">
        <v>0</v>
      </c>
      <c r="BI499">
        <v>0</v>
      </c>
      <c r="BJ499">
        <v>0</v>
      </c>
      <c r="BK499">
        <v>155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206</v>
      </c>
      <c r="BR499">
        <v>0</v>
      </c>
      <c r="BS499">
        <v>0</v>
      </c>
      <c r="BU499">
        <v>192</v>
      </c>
      <c r="BV499" s="36" t="e">
        <f>BU499/BT499</f>
        <v>#DIV/0!</v>
      </c>
    </row>
    <row r="500" spans="2:74" x14ac:dyDescent="0.2">
      <c r="B500" t="s">
        <v>25</v>
      </c>
      <c r="C500" t="s">
        <v>832</v>
      </c>
      <c r="D500" t="s">
        <v>1300</v>
      </c>
      <c r="F500" s="5" t="s">
        <v>30</v>
      </c>
      <c r="G500" s="6" t="s">
        <v>221</v>
      </c>
      <c r="H500" s="35">
        <v>0.54</v>
      </c>
      <c r="I500" s="35">
        <v>0.53</v>
      </c>
      <c r="J500" s="32">
        <v>0.97</v>
      </c>
    </row>
    <row r="501" spans="2:74" x14ac:dyDescent="0.2">
      <c r="B501" t="s">
        <v>25</v>
      </c>
      <c r="C501" t="s">
        <v>832</v>
      </c>
      <c r="D501" t="s">
        <v>463</v>
      </c>
      <c r="F501" s="5" t="s">
        <v>30</v>
      </c>
      <c r="G501" s="6" t="s">
        <v>120</v>
      </c>
      <c r="H501" s="35">
        <v>0.22</v>
      </c>
      <c r="I501" s="35">
        <v>0.6</v>
      </c>
      <c r="J501" s="32">
        <v>0.99</v>
      </c>
      <c r="K501" t="s">
        <v>833</v>
      </c>
      <c r="L501" t="s">
        <v>963</v>
      </c>
      <c r="M501" t="s">
        <v>849</v>
      </c>
      <c r="N501" t="s">
        <v>834</v>
      </c>
      <c r="O501" t="s">
        <v>965</v>
      </c>
      <c r="P501" t="s">
        <v>965</v>
      </c>
      <c r="Q501" t="s">
        <v>965</v>
      </c>
      <c r="R501" t="s">
        <v>965</v>
      </c>
      <c r="S501" t="s">
        <v>965</v>
      </c>
      <c r="T501" t="s">
        <v>965</v>
      </c>
      <c r="U501" t="s">
        <v>965</v>
      </c>
      <c r="V501" t="s">
        <v>965</v>
      </c>
      <c r="W501" t="s">
        <v>965</v>
      </c>
      <c r="X501" t="s">
        <v>965</v>
      </c>
      <c r="Y501" t="s">
        <v>965</v>
      </c>
      <c r="Z501" t="s">
        <v>965</v>
      </c>
      <c r="AA501" t="s">
        <v>965</v>
      </c>
      <c r="AB501" t="s">
        <v>965</v>
      </c>
      <c r="AC501" t="s">
        <v>965</v>
      </c>
      <c r="AD501" t="s">
        <v>965</v>
      </c>
      <c r="AE501" t="s">
        <v>965</v>
      </c>
      <c r="AF501" t="s">
        <v>965</v>
      </c>
      <c r="AG501" t="s">
        <v>965</v>
      </c>
      <c r="AH501" t="s">
        <v>965</v>
      </c>
      <c r="AI501" t="s">
        <v>965</v>
      </c>
      <c r="AJ501" t="s">
        <v>965</v>
      </c>
      <c r="AK501" t="s">
        <v>965</v>
      </c>
      <c r="AL501" t="s">
        <v>965</v>
      </c>
      <c r="AM501" t="s">
        <v>965</v>
      </c>
      <c r="AN501" t="s">
        <v>965</v>
      </c>
      <c r="AO501" t="s">
        <v>965</v>
      </c>
      <c r="AP501" t="s">
        <v>965</v>
      </c>
      <c r="AQ501" t="s">
        <v>965</v>
      </c>
      <c r="AR501" t="s">
        <v>965</v>
      </c>
      <c r="AS501" t="s">
        <v>965</v>
      </c>
      <c r="AT501" t="s">
        <v>965</v>
      </c>
      <c r="AU501" t="s">
        <v>965</v>
      </c>
      <c r="AV501" t="s">
        <v>965</v>
      </c>
      <c r="AW501" t="s">
        <v>965</v>
      </c>
      <c r="AX501" t="s">
        <v>965</v>
      </c>
      <c r="AY501" t="s">
        <v>965</v>
      </c>
      <c r="AZ501" t="s">
        <v>965</v>
      </c>
      <c r="BA501" t="s">
        <v>965</v>
      </c>
      <c r="BB501" t="s">
        <v>965</v>
      </c>
      <c r="BC501" t="s">
        <v>833</v>
      </c>
      <c r="BD501" t="s">
        <v>965</v>
      </c>
      <c r="BE501" t="s">
        <v>835</v>
      </c>
      <c r="BF501">
        <v>51</v>
      </c>
      <c r="BG501">
        <v>15</v>
      </c>
      <c r="BH501">
        <v>0</v>
      </c>
      <c r="BI501">
        <v>0</v>
      </c>
      <c r="BJ501">
        <v>0</v>
      </c>
      <c r="BK501">
        <v>155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206</v>
      </c>
      <c r="BR501">
        <v>0</v>
      </c>
      <c r="BS501">
        <v>0</v>
      </c>
      <c r="BU501">
        <v>192</v>
      </c>
      <c r="BV501" s="36" t="e">
        <f>BU501/BT501</f>
        <v>#DIV/0!</v>
      </c>
    </row>
    <row r="502" spans="2:74" x14ac:dyDescent="0.2">
      <c r="B502" t="s">
        <v>25</v>
      </c>
      <c r="C502" t="s">
        <v>832</v>
      </c>
      <c r="D502" t="s">
        <v>220</v>
      </c>
      <c r="F502" s="5" t="s">
        <v>30</v>
      </c>
      <c r="G502" s="6" t="s">
        <v>221</v>
      </c>
      <c r="H502" s="35">
        <v>0.54</v>
      </c>
      <c r="I502" s="35">
        <v>0.53</v>
      </c>
      <c r="J502" s="32">
        <v>0.97</v>
      </c>
    </row>
    <row r="503" spans="2:74" x14ac:dyDescent="0.2">
      <c r="B503" t="s">
        <v>25</v>
      </c>
      <c r="C503" t="s">
        <v>832</v>
      </c>
      <c r="D503" t="s">
        <v>83</v>
      </c>
      <c r="F503" s="5" t="s">
        <v>30</v>
      </c>
      <c r="G503" s="6" t="s">
        <v>84</v>
      </c>
      <c r="H503" s="35">
        <v>0.25</v>
      </c>
      <c r="I503" s="35">
        <v>0.93</v>
      </c>
      <c r="J503" s="32">
        <v>0.67</v>
      </c>
    </row>
    <row r="504" spans="2:74" x14ac:dyDescent="0.2">
      <c r="B504" t="s">
        <v>25</v>
      </c>
      <c r="C504" t="s">
        <v>832</v>
      </c>
      <c r="D504" t="s">
        <v>233</v>
      </c>
      <c r="F504" s="5" t="s">
        <v>30</v>
      </c>
      <c r="G504" s="6" t="s">
        <v>120</v>
      </c>
      <c r="H504" s="35">
        <v>0.22</v>
      </c>
      <c r="I504" s="35">
        <v>0.6</v>
      </c>
      <c r="J504" s="32">
        <v>0.99</v>
      </c>
      <c r="K504" t="s">
        <v>833</v>
      </c>
      <c r="L504" t="s">
        <v>963</v>
      </c>
      <c r="M504" t="s">
        <v>849</v>
      </c>
      <c r="N504" t="s">
        <v>834</v>
      </c>
      <c r="O504" t="s">
        <v>965</v>
      </c>
      <c r="P504" t="s">
        <v>965</v>
      </c>
      <c r="Q504" t="s">
        <v>965</v>
      </c>
      <c r="R504" t="s">
        <v>965</v>
      </c>
      <c r="S504" t="s">
        <v>965</v>
      </c>
      <c r="T504" t="s">
        <v>965</v>
      </c>
      <c r="U504" t="s">
        <v>965</v>
      </c>
      <c r="V504" t="s">
        <v>965</v>
      </c>
      <c r="W504" t="s">
        <v>965</v>
      </c>
      <c r="X504" t="s">
        <v>965</v>
      </c>
      <c r="Y504" t="s">
        <v>965</v>
      </c>
      <c r="Z504" t="s">
        <v>965</v>
      </c>
      <c r="AA504" t="s">
        <v>965</v>
      </c>
      <c r="AB504" t="s">
        <v>965</v>
      </c>
      <c r="AC504" t="s">
        <v>965</v>
      </c>
      <c r="AD504" t="s">
        <v>965</v>
      </c>
      <c r="AE504" t="s">
        <v>965</v>
      </c>
      <c r="AF504" t="s">
        <v>965</v>
      </c>
      <c r="AG504" t="s">
        <v>965</v>
      </c>
      <c r="AH504" t="s">
        <v>965</v>
      </c>
      <c r="AI504" t="s">
        <v>965</v>
      </c>
      <c r="AJ504" t="s">
        <v>965</v>
      </c>
      <c r="AK504" t="s">
        <v>965</v>
      </c>
      <c r="AL504" t="s">
        <v>965</v>
      </c>
      <c r="AM504" t="s">
        <v>965</v>
      </c>
      <c r="AN504" t="s">
        <v>965</v>
      </c>
      <c r="AO504" t="s">
        <v>965</v>
      </c>
      <c r="AP504" t="s">
        <v>965</v>
      </c>
      <c r="AQ504" t="s">
        <v>965</v>
      </c>
      <c r="AR504" t="s">
        <v>965</v>
      </c>
      <c r="AS504" t="s">
        <v>965</v>
      </c>
      <c r="AT504" t="s">
        <v>965</v>
      </c>
      <c r="AU504" t="s">
        <v>965</v>
      </c>
      <c r="AV504" t="s">
        <v>965</v>
      </c>
      <c r="AW504" t="s">
        <v>965</v>
      </c>
      <c r="AX504" t="s">
        <v>965</v>
      </c>
      <c r="AY504" t="s">
        <v>965</v>
      </c>
      <c r="AZ504" t="s">
        <v>965</v>
      </c>
      <c r="BA504" t="s">
        <v>965</v>
      </c>
      <c r="BB504" t="s">
        <v>965</v>
      </c>
      <c r="BC504" t="s">
        <v>833</v>
      </c>
      <c r="BD504" t="s">
        <v>965</v>
      </c>
      <c r="BE504" t="s">
        <v>835</v>
      </c>
      <c r="BF504">
        <v>51</v>
      </c>
      <c r="BG504">
        <v>15</v>
      </c>
      <c r="BH504">
        <v>0</v>
      </c>
      <c r="BI504">
        <v>0</v>
      </c>
      <c r="BJ504">
        <v>0</v>
      </c>
      <c r="BK504">
        <v>155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206</v>
      </c>
      <c r="BR504">
        <v>0</v>
      </c>
      <c r="BS504">
        <v>0</v>
      </c>
      <c r="BU504">
        <v>192</v>
      </c>
      <c r="BV504" s="36" t="e">
        <f>BU504/BT504</f>
        <v>#DIV/0!</v>
      </c>
    </row>
    <row r="505" spans="2:74" x14ac:dyDescent="0.2">
      <c r="B505" t="s">
        <v>25</v>
      </c>
      <c r="C505" t="s">
        <v>832</v>
      </c>
      <c r="D505" t="s">
        <v>344</v>
      </c>
      <c r="F505" s="5" t="s">
        <v>30</v>
      </c>
      <c r="G505" s="6" t="s">
        <v>345</v>
      </c>
      <c r="H505" s="35">
        <v>0.98</v>
      </c>
      <c r="I505" s="35">
        <v>7.0000000000000007E-2</v>
      </c>
      <c r="J505" s="32">
        <v>1</v>
      </c>
    </row>
    <row r="506" spans="2:74" x14ac:dyDescent="0.2">
      <c r="B506" t="s">
        <v>25</v>
      </c>
      <c r="C506" t="s">
        <v>832</v>
      </c>
      <c r="D506" t="s">
        <v>156</v>
      </c>
      <c r="F506" s="5" t="s">
        <v>30</v>
      </c>
      <c r="G506" s="6" t="s">
        <v>120</v>
      </c>
      <c r="H506" s="35">
        <v>0.22</v>
      </c>
      <c r="I506" s="35">
        <v>0.6</v>
      </c>
      <c r="J506" s="32">
        <v>0.99</v>
      </c>
      <c r="K506" t="s">
        <v>833</v>
      </c>
      <c r="L506" t="s">
        <v>963</v>
      </c>
      <c r="M506" t="s">
        <v>849</v>
      </c>
      <c r="N506" t="s">
        <v>834</v>
      </c>
      <c r="O506" t="s">
        <v>965</v>
      </c>
      <c r="P506" t="s">
        <v>965</v>
      </c>
      <c r="Q506" t="s">
        <v>965</v>
      </c>
      <c r="R506" t="s">
        <v>965</v>
      </c>
      <c r="S506" t="s">
        <v>965</v>
      </c>
      <c r="T506" t="s">
        <v>965</v>
      </c>
      <c r="U506" t="s">
        <v>965</v>
      </c>
      <c r="V506" t="s">
        <v>965</v>
      </c>
      <c r="W506" t="s">
        <v>965</v>
      </c>
      <c r="X506" t="s">
        <v>965</v>
      </c>
      <c r="Y506" t="s">
        <v>965</v>
      </c>
      <c r="Z506" t="s">
        <v>965</v>
      </c>
      <c r="AA506" t="s">
        <v>965</v>
      </c>
      <c r="AB506" t="s">
        <v>965</v>
      </c>
      <c r="AC506" t="s">
        <v>965</v>
      </c>
      <c r="AD506" t="s">
        <v>965</v>
      </c>
      <c r="AE506" t="s">
        <v>965</v>
      </c>
      <c r="AF506" t="s">
        <v>965</v>
      </c>
      <c r="AG506" t="s">
        <v>965</v>
      </c>
      <c r="AH506" t="s">
        <v>965</v>
      </c>
      <c r="AI506" t="s">
        <v>965</v>
      </c>
      <c r="AJ506" t="s">
        <v>965</v>
      </c>
      <c r="AK506" t="s">
        <v>965</v>
      </c>
      <c r="AL506" t="s">
        <v>965</v>
      </c>
      <c r="AM506" t="s">
        <v>965</v>
      </c>
      <c r="AN506" t="s">
        <v>965</v>
      </c>
      <c r="AO506" t="s">
        <v>965</v>
      </c>
      <c r="AP506" t="s">
        <v>965</v>
      </c>
      <c r="AQ506" t="s">
        <v>965</v>
      </c>
      <c r="AR506" t="s">
        <v>965</v>
      </c>
      <c r="AS506" t="s">
        <v>965</v>
      </c>
      <c r="AT506" t="s">
        <v>965</v>
      </c>
      <c r="AU506" t="s">
        <v>965</v>
      </c>
      <c r="AV506" t="s">
        <v>965</v>
      </c>
      <c r="AW506" t="s">
        <v>965</v>
      </c>
      <c r="AX506" t="s">
        <v>965</v>
      </c>
      <c r="AY506" t="s">
        <v>965</v>
      </c>
      <c r="AZ506" t="s">
        <v>965</v>
      </c>
      <c r="BA506" t="s">
        <v>965</v>
      </c>
      <c r="BB506" t="s">
        <v>965</v>
      </c>
      <c r="BC506" t="s">
        <v>833</v>
      </c>
      <c r="BD506" t="s">
        <v>965</v>
      </c>
      <c r="BE506" t="s">
        <v>835</v>
      </c>
      <c r="BF506">
        <v>51</v>
      </c>
      <c r="BG506">
        <v>15</v>
      </c>
      <c r="BH506">
        <v>0</v>
      </c>
      <c r="BI506">
        <v>0</v>
      </c>
      <c r="BJ506">
        <v>0</v>
      </c>
      <c r="BK506">
        <v>155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206</v>
      </c>
      <c r="BR506">
        <v>0</v>
      </c>
      <c r="BS506">
        <v>0</v>
      </c>
      <c r="BU506">
        <v>192</v>
      </c>
      <c r="BV506" s="36" t="e">
        <f>BU506/BT506</f>
        <v>#DIV/0!</v>
      </c>
    </row>
    <row r="507" spans="2:74" x14ac:dyDescent="0.2">
      <c r="B507" t="s">
        <v>25</v>
      </c>
      <c r="C507" t="s">
        <v>832</v>
      </c>
      <c r="D507" t="s">
        <v>354</v>
      </c>
      <c r="F507" s="5" t="s">
        <v>30</v>
      </c>
      <c r="G507" s="6" t="s">
        <v>355</v>
      </c>
      <c r="H507" s="35">
        <v>0.1</v>
      </c>
      <c r="I507" s="35">
        <v>0.96</v>
      </c>
      <c r="J507" s="32">
        <v>0.71</v>
      </c>
      <c r="BT507">
        <v>118</v>
      </c>
    </row>
    <row r="508" spans="2:74" x14ac:dyDescent="0.2">
      <c r="B508" t="s">
        <v>25</v>
      </c>
      <c r="C508" t="s">
        <v>832</v>
      </c>
      <c r="D508" t="s">
        <v>196</v>
      </c>
      <c r="F508" s="5" t="s">
        <v>30</v>
      </c>
      <c r="G508" s="6" t="s">
        <v>84</v>
      </c>
      <c r="H508" s="35">
        <v>0.25</v>
      </c>
      <c r="I508" s="35">
        <v>0.93</v>
      </c>
      <c r="J508" s="32">
        <v>0.67</v>
      </c>
    </row>
    <row r="509" spans="2:74" x14ac:dyDescent="0.2">
      <c r="B509" t="s">
        <v>25</v>
      </c>
      <c r="C509" t="s">
        <v>832</v>
      </c>
      <c r="D509" t="s">
        <v>338</v>
      </c>
      <c r="F509" s="5" t="s">
        <v>30</v>
      </c>
      <c r="G509" s="6" t="s">
        <v>84</v>
      </c>
      <c r="H509" s="35">
        <v>0.25</v>
      </c>
      <c r="I509" s="35">
        <v>0.93</v>
      </c>
      <c r="J509" s="32">
        <v>0.67</v>
      </c>
    </row>
    <row r="510" spans="2:74" x14ac:dyDescent="0.2">
      <c r="B510" t="s">
        <v>25</v>
      </c>
      <c r="C510" t="s">
        <v>832</v>
      </c>
      <c r="D510" t="s">
        <v>185</v>
      </c>
      <c r="F510" s="5" t="s">
        <v>30</v>
      </c>
      <c r="G510" s="6" t="s">
        <v>186</v>
      </c>
      <c r="H510" s="35">
        <v>0.65</v>
      </c>
      <c r="I510" s="35">
        <v>0.14000000000000001</v>
      </c>
      <c r="J510" s="32">
        <v>0.98</v>
      </c>
    </row>
    <row r="511" spans="2:74" x14ac:dyDescent="0.2">
      <c r="B511" t="s">
        <v>25</v>
      </c>
      <c r="C511" t="s">
        <v>832</v>
      </c>
      <c r="D511" t="s">
        <v>167</v>
      </c>
      <c r="F511" s="5" t="s">
        <v>30</v>
      </c>
      <c r="G511" s="6" t="s">
        <v>120</v>
      </c>
      <c r="H511" s="35">
        <v>0.22</v>
      </c>
      <c r="I511" s="35">
        <v>0.6</v>
      </c>
      <c r="J511" s="32">
        <v>0.99</v>
      </c>
      <c r="K511" t="s">
        <v>833</v>
      </c>
      <c r="L511" t="s">
        <v>963</v>
      </c>
      <c r="M511" t="s">
        <v>849</v>
      </c>
      <c r="N511" t="s">
        <v>834</v>
      </c>
      <c r="O511" t="s">
        <v>965</v>
      </c>
      <c r="P511" t="s">
        <v>965</v>
      </c>
      <c r="Q511" t="s">
        <v>965</v>
      </c>
      <c r="R511" t="s">
        <v>965</v>
      </c>
      <c r="S511" t="s">
        <v>965</v>
      </c>
      <c r="T511" t="s">
        <v>965</v>
      </c>
      <c r="U511" t="s">
        <v>965</v>
      </c>
      <c r="V511" t="s">
        <v>965</v>
      </c>
      <c r="W511" t="s">
        <v>965</v>
      </c>
      <c r="X511" t="s">
        <v>965</v>
      </c>
      <c r="Y511" t="s">
        <v>965</v>
      </c>
      <c r="Z511" t="s">
        <v>965</v>
      </c>
      <c r="AA511" t="s">
        <v>965</v>
      </c>
      <c r="AB511" t="s">
        <v>965</v>
      </c>
      <c r="AC511" t="s">
        <v>965</v>
      </c>
      <c r="AD511" t="s">
        <v>965</v>
      </c>
      <c r="AE511" t="s">
        <v>965</v>
      </c>
      <c r="AF511" t="s">
        <v>965</v>
      </c>
      <c r="AG511" t="s">
        <v>965</v>
      </c>
      <c r="AH511" t="s">
        <v>965</v>
      </c>
      <c r="AI511" t="s">
        <v>965</v>
      </c>
      <c r="AJ511" t="s">
        <v>965</v>
      </c>
      <c r="AK511" t="s">
        <v>965</v>
      </c>
      <c r="AL511" t="s">
        <v>965</v>
      </c>
      <c r="AM511" t="s">
        <v>965</v>
      </c>
      <c r="AN511" t="s">
        <v>965</v>
      </c>
      <c r="AO511" t="s">
        <v>965</v>
      </c>
      <c r="AP511" t="s">
        <v>965</v>
      </c>
      <c r="AQ511" t="s">
        <v>965</v>
      </c>
      <c r="AR511" t="s">
        <v>965</v>
      </c>
      <c r="AS511" t="s">
        <v>965</v>
      </c>
      <c r="AT511" t="s">
        <v>965</v>
      </c>
      <c r="AU511" t="s">
        <v>965</v>
      </c>
      <c r="AV511" t="s">
        <v>965</v>
      </c>
      <c r="AW511" t="s">
        <v>965</v>
      </c>
      <c r="AX511" t="s">
        <v>965</v>
      </c>
      <c r="AY511" t="s">
        <v>965</v>
      </c>
      <c r="AZ511" t="s">
        <v>965</v>
      </c>
      <c r="BA511" t="s">
        <v>965</v>
      </c>
      <c r="BB511" t="s">
        <v>965</v>
      </c>
      <c r="BC511" t="s">
        <v>833</v>
      </c>
      <c r="BD511" t="s">
        <v>965</v>
      </c>
      <c r="BE511" t="s">
        <v>835</v>
      </c>
      <c r="BF511">
        <v>51</v>
      </c>
      <c r="BG511">
        <v>15</v>
      </c>
      <c r="BH511">
        <v>0</v>
      </c>
      <c r="BI511">
        <v>0</v>
      </c>
      <c r="BJ511">
        <v>0</v>
      </c>
      <c r="BK511">
        <v>155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206</v>
      </c>
      <c r="BR511">
        <v>0</v>
      </c>
      <c r="BS511">
        <v>0</v>
      </c>
      <c r="BU511">
        <v>192</v>
      </c>
      <c r="BV511" s="36" t="e">
        <f>BU511/BT511</f>
        <v>#DIV/0!</v>
      </c>
    </row>
    <row r="512" spans="2:74" x14ac:dyDescent="0.2">
      <c r="B512" t="s">
        <v>25</v>
      </c>
      <c r="C512" t="s">
        <v>832</v>
      </c>
      <c r="D512" t="s">
        <v>92</v>
      </c>
      <c r="F512" s="5" t="s">
        <v>30</v>
      </c>
      <c r="G512" s="6" t="s">
        <v>93</v>
      </c>
      <c r="H512" s="35">
        <v>0.05</v>
      </c>
      <c r="I512" s="35">
        <v>0.81</v>
      </c>
      <c r="J512" s="32">
        <v>0.27</v>
      </c>
      <c r="BT512">
        <v>161</v>
      </c>
    </row>
    <row r="513" spans="2:74" x14ac:dyDescent="0.2">
      <c r="B513" t="s">
        <v>25</v>
      </c>
      <c r="C513" t="s">
        <v>832</v>
      </c>
      <c r="D513" t="s">
        <v>141</v>
      </c>
      <c r="F513" s="5" t="s">
        <v>30</v>
      </c>
      <c r="G513" s="6" t="s">
        <v>84</v>
      </c>
      <c r="H513" s="35">
        <v>0.25</v>
      </c>
      <c r="I513" s="35">
        <v>0.93</v>
      </c>
      <c r="J513" s="32">
        <v>0.67</v>
      </c>
    </row>
    <row r="514" spans="2:74" x14ac:dyDescent="0.2">
      <c r="B514" t="s">
        <v>25</v>
      </c>
      <c r="C514" t="s">
        <v>832</v>
      </c>
      <c r="D514" t="s">
        <v>532</v>
      </c>
      <c r="F514" s="5" t="s">
        <v>30</v>
      </c>
      <c r="G514" s="6" t="s">
        <v>120</v>
      </c>
      <c r="H514" s="35">
        <v>0.22</v>
      </c>
      <c r="I514" s="35">
        <v>0.6</v>
      </c>
      <c r="J514" s="32">
        <v>0.99</v>
      </c>
      <c r="K514" t="s">
        <v>833</v>
      </c>
      <c r="L514" t="s">
        <v>963</v>
      </c>
      <c r="M514" t="s">
        <v>849</v>
      </c>
      <c r="N514" t="s">
        <v>834</v>
      </c>
      <c r="O514" t="s">
        <v>965</v>
      </c>
      <c r="P514" t="s">
        <v>965</v>
      </c>
      <c r="Q514" t="s">
        <v>965</v>
      </c>
      <c r="R514" t="s">
        <v>965</v>
      </c>
      <c r="S514" t="s">
        <v>965</v>
      </c>
      <c r="T514" t="s">
        <v>965</v>
      </c>
      <c r="U514" t="s">
        <v>965</v>
      </c>
      <c r="V514" t="s">
        <v>965</v>
      </c>
      <c r="W514" t="s">
        <v>965</v>
      </c>
      <c r="X514" t="s">
        <v>965</v>
      </c>
      <c r="Y514" t="s">
        <v>965</v>
      </c>
      <c r="Z514" t="s">
        <v>965</v>
      </c>
      <c r="AA514" t="s">
        <v>965</v>
      </c>
      <c r="AB514" t="s">
        <v>965</v>
      </c>
      <c r="AC514" t="s">
        <v>965</v>
      </c>
      <c r="AD514" t="s">
        <v>965</v>
      </c>
      <c r="AE514" t="s">
        <v>965</v>
      </c>
      <c r="AF514" t="s">
        <v>965</v>
      </c>
      <c r="AG514" t="s">
        <v>965</v>
      </c>
      <c r="AH514" t="s">
        <v>965</v>
      </c>
      <c r="AI514" t="s">
        <v>965</v>
      </c>
      <c r="AJ514" t="s">
        <v>965</v>
      </c>
      <c r="AK514" t="s">
        <v>965</v>
      </c>
      <c r="AL514" t="s">
        <v>965</v>
      </c>
      <c r="AM514" t="s">
        <v>965</v>
      </c>
      <c r="AN514" t="s">
        <v>965</v>
      </c>
      <c r="AO514" t="s">
        <v>965</v>
      </c>
      <c r="AP514" t="s">
        <v>965</v>
      </c>
      <c r="AQ514" t="s">
        <v>965</v>
      </c>
      <c r="AR514" t="s">
        <v>965</v>
      </c>
      <c r="AS514" t="s">
        <v>965</v>
      </c>
      <c r="AT514" t="s">
        <v>965</v>
      </c>
      <c r="AU514" t="s">
        <v>965</v>
      </c>
      <c r="AV514" t="s">
        <v>965</v>
      </c>
      <c r="AW514" t="s">
        <v>965</v>
      </c>
      <c r="AX514" t="s">
        <v>965</v>
      </c>
      <c r="AY514" t="s">
        <v>965</v>
      </c>
      <c r="AZ514" t="s">
        <v>965</v>
      </c>
      <c r="BA514" t="s">
        <v>965</v>
      </c>
      <c r="BB514" t="s">
        <v>965</v>
      </c>
      <c r="BC514" t="s">
        <v>833</v>
      </c>
      <c r="BD514" t="s">
        <v>965</v>
      </c>
      <c r="BE514" t="s">
        <v>835</v>
      </c>
      <c r="BF514">
        <v>51</v>
      </c>
      <c r="BG514">
        <v>15</v>
      </c>
      <c r="BH514">
        <v>0</v>
      </c>
      <c r="BI514">
        <v>0</v>
      </c>
      <c r="BJ514">
        <v>0</v>
      </c>
      <c r="BK514">
        <v>155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206</v>
      </c>
      <c r="BR514">
        <v>0</v>
      </c>
      <c r="BS514">
        <v>0</v>
      </c>
      <c r="BU514">
        <v>192</v>
      </c>
      <c r="BV514" s="36" t="e">
        <f>BU514/BT514</f>
        <v>#DIV/0!</v>
      </c>
    </row>
    <row r="515" spans="2:74" x14ac:dyDescent="0.2">
      <c r="B515" t="s">
        <v>25</v>
      </c>
      <c r="C515" t="s">
        <v>832</v>
      </c>
      <c r="D515" t="s">
        <v>591</v>
      </c>
      <c r="F515" s="5" t="s">
        <v>30</v>
      </c>
      <c r="G515" s="6" t="s">
        <v>120</v>
      </c>
      <c r="H515" s="35">
        <v>0.22</v>
      </c>
      <c r="I515" s="35">
        <v>0.6</v>
      </c>
      <c r="J515" s="32">
        <v>0.99</v>
      </c>
      <c r="K515" t="s">
        <v>833</v>
      </c>
      <c r="L515" t="s">
        <v>963</v>
      </c>
      <c r="M515" t="s">
        <v>849</v>
      </c>
      <c r="N515" t="s">
        <v>834</v>
      </c>
      <c r="O515" t="s">
        <v>965</v>
      </c>
      <c r="P515" t="s">
        <v>965</v>
      </c>
      <c r="Q515" t="s">
        <v>965</v>
      </c>
      <c r="R515" t="s">
        <v>965</v>
      </c>
      <c r="S515" t="s">
        <v>965</v>
      </c>
      <c r="T515" t="s">
        <v>965</v>
      </c>
      <c r="U515" t="s">
        <v>965</v>
      </c>
      <c r="V515" t="s">
        <v>965</v>
      </c>
      <c r="W515" t="s">
        <v>965</v>
      </c>
      <c r="X515" t="s">
        <v>965</v>
      </c>
      <c r="Y515" t="s">
        <v>965</v>
      </c>
      <c r="Z515" t="s">
        <v>965</v>
      </c>
      <c r="AA515" t="s">
        <v>965</v>
      </c>
      <c r="AB515" t="s">
        <v>965</v>
      </c>
      <c r="AC515" t="s">
        <v>965</v>
      </c>
      <c r="AD515" t="s">
        <v>965</v>
      </c>
      <c r="AE515" t="s">
        <v>965</v>
      </c>
      <c r="AF515" t="s">
        <v>965</v>
      </c>
      <c r="AG515" t="s">
        <v>965</v>
      </c>
      <c r="AH515" t="s">
        <v>965</v>
      </c>
      <c r="AI515" t="s">
        <v>965</v>
      </c>
      <c r="AJ515" t="s">
        <v>965</v>
      </c>
      <c r="AK515" t="s">
        <v>965</v>
      </c>
      <c r="AL515" t="s">
        <v>965</v>
      </c>
      <c r="AM515" t="s">
        <v>965</v>
      </c>
      <c r="AN515" t="s">
        <v>965</v>
      </c>
      <c r="AO515" t="s">
        <v>965</v>
      </c>
      <c r="AP515" t="s">
        <v>965</v>
      </c>
      <c r="AQ515" t="s">
        <v>965</v>
      </c>
      <c r="AR515" t="s">
        <v>965</v>
      </c>
      <c r="AS515" t="s">
        <v>965</v>
      </c>
      <c r="AT515" t="s">
        <v>965</v>
      </c>
      <c r="AU515" t="s">
        <v>965</v>
      </c>
      <c r="AV515" t="s">
        <v>965</v>
      </c>
      <c r="AW515" t="s">
        <v>965</v>
      </c>
      <c r="AX515" t="s">
        <v>965</v>
      </c>
      <c r="AY515" t="s">
        <v>965</v>
      </c>
      <c r="AZ515" t="s">
        <v>965</v>
      </c>
      <c r="BA515" t="s">
        <v>965</v>
      </c>
      <c r="BB515" t="s">
        <v>965</v>
      </c>
      <c r="BC515" t="s">
        <v>833</v>
      </c>
      <c r="BD515" t="s">
        <v>965</v>
      </c>
      <c r="BE515" t="s">
        <v>835</v>
      </c>
      <c r="BF515">
        <v>51</v>
      </c>
      <c r="BG515">
        <v>15</v>
      </c>
      <c r="BH515">
        <v>0</v>
      </c>
      <c r="BI515">
        <v>0</v>
      </c>
      <c r="BJ515">
        <v>0</v>
      </c>
      <c r="BK515">
        <v>155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206</v>
      </c>
      <c r="BR515">
        <v>0</v>
      </c>
      <c r="BS515">
        <v>0</v>
      </c>
      <c r="BU515">
        <v>192</v>
      </c>
      <c r="BV515" s="36" t="e">
        <f>BU515/BT515</f>
        <v>#DIV/0!</v>
      </c>
    </row>
    <row r="516" spans="2:74" x14ac:dyDescent="0.2">
      <c r="B516" t="s">
        <v>25</v>
      </c>
      <c r="C516" t="s">
        <v>832</v>
      </c>
      <c r="D516" t="s">
        <v>619</v>
      </c>
      <c r="F516" s="5" t="s">
        <v>30</v>
      </c>
      <c r="G516" s="6" t="s">
        <v>620</v>
      </c>
      <c r="H516" s="35">
        <v>0.15</v>
      </c>
      <c r="I516" s="35">
        <v>0.81</v>
      </c>
      <c r="J516" s="32">
        <v>0.87</v>
      </c>
      <c r="BT516">
        <v>82</v>
      </c>
    </row>
    <row r="517" spans="2:74" x14ac:dyDescent="0.2">
      <c r="B517" t="s">
        <v>25</v>
      </c>
      <c r="C517" t="s">
        <v>832</v>
      </c>
      <c r="D517" t="s">
        <v>645</v>
      </c>
      <c r="F517" s="5" t="s">
        <v>30</v>
      </c>
      <c r="G517" s="6" t="s">
        <v>120</v>
      </c>
      <c r="H517" s="35">
        <v>0.22</v>
      </c>
      <c r="I517" s="35">
        <v>0.6</v>
      </c>
      <c r="J517" s="32">
        <v>0.99</v>
      </c>
      <c r="K517" t="s">
        <v>833</v>
      </c>
      <c r="L517" t="s">
        <v>963</v>
      </c>
      <c r="M517" t="s">
        <v>849</v>
      </c>
      <c r="N517" t="s">
        <v>834</v>
      </c>
      <c r="O517" t="s">
        <v>965</v>
      </c>
      <c r="P517" t="s">
        <v>965</v>
      </c>
      <c r="Q517" t="s">
        <v>965</v>
      </c>
      <c r="R517" t="s">
        <v>965</v>
      </c>
      <c r="S517" t="s">
        <v>965</v>
      </c>
      <c r="T517" t="s">
        <v>965</v>
      </c>
      <c r="U517" t="s">
        <v>965</v>
      </c>
      <c r="V517" t="s">
        <v>965</v>
      </c>
      <c r="W517" t="s">
        <v>965</v>
      </c>
      <c r="X517" t="s">
        <v>965</v>
      </c>
      <c r="Y517" t="s">
        <v>965</v>
      </c>
      <c r="Z517" t="s">
        <v>965</v>
      </c>
      <c r="AA517" t="s">
        <v>965</v>
      </c>
      <c r="AB517" t="s">
        <v>965</v>
      </c>
      <c r="AC517" t="s">
        <v>965</v>
      </c>
      <c r="AD517" t="s">
        <v>965</v>
      </c>
      <c r="AE517" t="s">
        <v>965</v>
      </c>
      <c r="AF517" t="s">
        <v>965</v>
      </c>
      <c r="AG517" t="s">
        <v>965</v>
      </c>
      <c r="AH517" t="s">
        <v>965</v>
      </c>
      <c r="AI517" t="s">
        <v>965</v>
      </c>
      <c r="AJ517" t="s">
        <v>965</v>
      </c>
      <c r="AK517" t="s">
        <v>965</v>
      </c>
      <c r="AL517" t="s">
        <v>965</v>
      </c>
      <c r="AM517" t="s">
        <v>965</v>
      </c>
      <c r="AN517" t="s">
        <v>965</v>
      </c>
      <c r="AO517" t="s">
        <v>965</v>
      </c>
      <c r="AP517" t="s">
        <v>965</v>
      </c>
      <c r="AQ517" t="s">
        <v>965</v>
      </c>
      <c r="AR517" t="s">
        <v>965</v>
      </c>
      <c r="AS517" t="s">
        <v>965</v>
      </c>
      <c r="AT517" t="s">
        <v>965</v>
      </c>
      <c r="AU517" t="s">
        <v>965</v>
      </c>
      <c r="AV517" t="s">
        <v>965</v>
      </c>
      <c r="AW517" t="s">
        <v>965</v>
      </c>
      <c r="AX517" t="s">
        <v>965</v>
      </c>
      <c r="AY517" t="s">
        <v>965</v>
      </c>
      <c r="AZ517" t="s">
        <v>965</v>
      </c>
      <c r="BA517" t="s">
        <v>965</v>
      </c>
      <c r="BB517" t="s">
        <v>965</v>
      </c>
      <c r="BC517" t="s">
        <v>833</v>
      </c>
      <c r="BD517" t="s">
        <v>965</v>
      </c>
      <c r="BE517" t="s">
        <v>835</v>
      </c>
      <c r="BF517">
        <v>51</v>
      </c>
      <c r="BG517">
        <v>15</v>
      </c>
      <c r="BH517">
        <v>0</v>
      </c>
      <c r="BI517">
        <v>0</v>
      </c>
      <c r="BJ517">
        <v>0</v>
      </c>
      <c r="BK517">
        <v>155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206</v>
      </c>
      <c r="BR517">
        <v>0</v>
      </c>
      <c r="BS517">
        <v>0</v>
      </c>
      <c r="BU517">
        <v>192</v>
      </c>
      <c r="BV517" s="36" t="e">
        <f>BU517/BT517</f>
        <v>#DIV/0!</v>
      </c>
    </row>
    <row r="518" spans="2:74" x14ac:dyDescent="0.2">
      <c r="B518" t="s">
        <v>25</v>
      </c>
      <c r="C518" t="s">
        <v>832</v>
      </c>
      <c r="D518" t="s">
        <v>646</v>
      </c>
      <c r="F518" s="5" t="s">
        <v>30</v>
      </c>
      <c r="G518" s="6" t="s">
        <v>531</v>
      </c>
      <c r="H518" s="35">
        <v>0.22</v>
      </c>
      <c r="I518" s="35">
        <v>0.93</v>
      </c>
      <c r="J518" s="32">
        <v>0.15</v>
      </c>
    </row>
    <row r="519" spans="2:74" x14ac:dyDescent="0.2">
      <c r="B519" t="s">
        <v>25</v>
      </c>
      <c r="C519" t="s">
        <v>832</v>
      </c>
      <c r="D519" t="s">
        <v>674</v>
      </c>
      <c r="F519" s="5" t="s">
        <v>30</v>
      </c>
      <c r="G519" s="6" t="s">
        <v>120</v>
      </c>
      <c r="H519" s="35">
        <v>0.22</v>
      </c>
      <c r="I519" s="35">
        <v>0.6</v>
      </c>
      <c r="J519" s="32">
        <v>0.99</v>
      </c>
      <c r="K519" t="s">
        <v>833</v>
      </c>
      <c r="L519" t="s">
        <v>963</v>
      </c>
      <c r="M519" t="s">
        <v>849</v>
      </c>
      <c r="N519" t="s">
        <v>834</v>
      </c>
      <c r="O519" t="s">
        <v>965</v>
      </c>
      <c r="P519" t="s">
        <v>965</v>
      </c>
      <c r="Q519" t="s">
        <v>965</v>
      </c>
      <c r="R519" t="s">
        <v>965</v>
      </c>
      <c r="S519" t="s">
        <v>965</v>
      </c>
      <c r="T519" t="s">
        <v>965</v>
      </c>
      <c r="U519" t="s">
        <v>965</v>
      </c>
      <c r="V519" t="s">
        <v>965</v>
      </c>
      <c r="W519" t="s">
        <v>965</v>
      </c>
      <c r="X519" t="s">
        <v>965</v>
      </c>
      <c r="Y519" t="s">
        <v>965</v>
      </c>
      <c r="Z519" t="s">
        <v>965</v>
      </c>
      <c r="AA519" t="s">
        <v>965</v>
      </c>
      <c r="AB519" t="s">
        <v>965</v>
      </c>
      <c r="AC519" t="s">
        <v>965</v>
      </c>
      <c r="AD519" t="s">
        <v>965</v>
      </c>
      <c r="AE519" t="s">
        <v>965</v>
      </c>
      <c r="AF519" t="s">
        <v>965</v>
      </c>
      <c r="AG519" t="s">
        <v>965</v>
      </c>
      <c r="AH519" t="s">
        <v>965</v>
      </c>
      <c r="AI519" t="s">
        <v>965</v>
      </c>
      <c r="AJ519" t="s">
        <v>965</v>
      </c>
      <c r="AK519" t="s">
        <v>965</v>
      </c>
      <c r="AL519" t="s">
        <v>965</v>
      </c>
      <c r="AM519" t="s">
        <v>965</v>
      </c>
      <c r="AN519" t="s">
        <v>965</v>
      </c>
      <c r="AO519" t="s">
        <v>965</v>
      </c>
      <c r="AP519" t="s">
        <v>965</v>
      </c>
      <c r="AQ519" t="s">
        <v>965</v>
      </c>
      <c r="AR519" t="s">
        <v>965</v>
      </c>
      <c r="AS519" t="s">
        <v>965</v>
      </c>
      <c r="AT519" t="s">
        <v>965</v>
      </c>
      <c r="AU519" t="s">
        <v>965</v>
      </c>
      <c r="AV519" t="s">
        <v>965</v>
      </c>
      <c r="AW519" t="s">
        <v>965</v>
      </c>
      <c r="AX519" t="s">
        <v>965</v>
      </c>
      <c r="AY519" t="s">
        <v>965</v>
      </c>
      <c r="AZ519" t="s">
        <v>965</v>
      </c>
      <c r="BA519" t="s">
        <v>965</v>
      </c>
      <c r="BB519" t="s">
        <v>965</v>
      </c>
      <c r="BC519" t="s">
        <v>833</v>
      </c>
      <c r="BD519" t="s">
        <v>965</v>
      </c>
      <c r="BE519" t="s">
        <v>835</v>
      </c>
      <c r="BF519">
        <v>51</v>
      </c>
      <c r="BG519">
        <v>15</v>
      </c>
      <c r="BH519">
        <v>0</v>
      </c>
      <c r="BI519">
        <v>0</v>
      </c>
      <c r="BJ519">
        <v>0</v>
      </c>
      <c r="BK519">
        <v>155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206</v>
      </c>
      <c r="BR519">
        <v>0</v>
      </c>
      <c r="BS519">
        <v>0</v>
      </c>
      <c r="BU519">
        <v>192</v>
      </c>
      <c r="BV519" s="36" t="e">
        <f>BU519/BT519</f>
        <v>#DIV/0!</v>
      </c>
    </row>
    <row r="520" spans="2:74" x14ac:dyDescent="0.2">
      <c r="B520" t="s">
        <v>25</v>
      </c>
      <c r="C520" t="s">
        <v>832</v>
      </c>
      <c r="D520" t="s">
        <v>680</v>
      </c>
      <c r="F520" s="5" t="s">
        <v>30</v>
      </c>
      <c r="G520" s="6" t="s">
        <v>120</v>
      </c>
      <c r="H520" s="35">
        <v>0.22</v>
      </c>
      <c r="I520" s="35">
        <v>0.6</v>
      </c>
      <c r="J520" s="32">
        <v>0.99</v>
      </c>
      <c r="K520" t="s">
        <v>833</v>
      </c>
      <c r="L520" t="s">
        <v>963</v>
      </c>
      <c r="M520" t="s">
        <v>849</v>
      </c>
      <c r="N520" t="s">
        <v>834</v>
      </c>
      <c r="O520" t="s">
        <v>965</v>
      </c>
      <c r="P520" t="s">
        <v>965</v>
      </c>
      <c r="Q520" t="s">
        <v>965</v>
      </c>
      <c r="R520" t="s">
        <v>965</v>
      </c>
      <c r="S520" t="s">
        <v>965</v>
      </c>
      <c r="T520" t="s">
        <v>965</v>
      </c>
      <c r="U520" t="s">
        <v>965</v>
      </c>
      <c r="V520" t="s">
        <v>965</v>
      </c>
      <c r="W520" t="s">
        <v>965</v>
      </c>
      <c r="X520" t="s">
        <v>965</v>
      </c>
      <c r="Y520" t="s">
        <v>965</v>
      </c>
      <c r="Z520" t="s">
        <v>965</v>
      </c>
      <c r="AA520" t="s">
        <v>965</v>
      </c>
      <c r="AB520" t="s">
        <v>965</v>
      </c>
      <c r="AC520" t="s">
        <v>965</v>
      </c>
      <c r="AD520" t="s">
        <v>965</v>
      </c>
      <c r="AE520" t="s">
        <v>965</v>
      </c>
      <c r="AF520" t="s">
        <v>965</v>
      </c>
      <c r="AG520" t="s">
        <v>965</v>
      </c>
      <c r="AH520" t="s">
        <v>965</v>
      </c>
      <c r="AI520" t="s">
        <v>965</v>
      </c>
      <c r="AJ520" t="s">
        <v>965</v>
      </c>
      <c r="AK520" t="s">
        <v>965</v>
      </c>
      <c r="AL520" t="s">
        <v>965</v>
      </c>
      <c r="AM520" t="s">
        <v>965</v>
      </c>
      <c r="AN520" t="s">
        <v>965</v>
      </c>
      <c r="AO520" t="s">
        <v>965</v>
      </c>
      <c r="AP520" t="s">
        <v>965</v>
      </c>
      <c r="AQ520" t="s">
        <v>965</v>
      </c>
      <c r="AR520" t="s">
        <v>965</v>
      </c>
      <c r="AS520" t="s">
        <v>965</v>
      </c>
      <c r="AT520" t="s">
        <v>965</v>
      </c>
      <c r="AU520" t="s">
        <v>965</v>
      </c>
      <c r="AV520" t="s">
        <v>965</v>
      </c>
      <c r="AW520" t="s">
        <v>965</v>
      </c>
      <c r="AX520" t="s">
        <v>965</v>
      </c>
      <c r="AY520" t="s">
        <v>965</v>
      </c>
      <c r="AZ520" t="s">
        <v>965</v>
      </c>
      <c r="BA520" t="s">
        <v>965</v>
      </c>
      <c r="BB520" t="s">
        <v>965</v>
      </c>
      <c r="BC520" t="s">
        <v>833</v>
      </c>
      <c r="BD520" t="s">
        <v>965</v>
      </c>
      <c r="BE520" t="s">
        <v>835</v>
      </c>
      <c r="BF520">
        <v>51</v>
      </c>
      <c r="BG520">
        <v>15</v>
      </c>
      <c r="BH520">
        <v>0</v>
      </c>
      <c r="BI520">
        <v>0</v>
      </c>
      <c r="BJ520">
        <v>0</v>
      </c>
      <c r="BK520">
        <v>155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206</v>
      </c>
      <c r="BR520">
        <v>0</v>
      </c>
      <c r="BS520">
        <v>0</v>
      </c>
      <c r="BU520">
        <v>192</v>
      </c>
      <c r="BV520" s="36" t="e">
        <f>BU520/BT520</f>
        <v>#DIV/0!</v>
      </c>
    </row>
    <row r="521" spans="2:74" x14ac:dyDescent="0.2">
      <c r="B521" t="s">
        <v>25</v>
      </c>
      <c r="C521" t="s">
        <v>832</v>
      </c>
      <c r="D521" t="s">
        <v>687</v>
      </c>
      <c r="F521" s="5" t="s">
        <v>30</v>
      </c>
      <c r="G521" s="6" t="s">
        <v>120</v>
      </c>
      <c r="H521" s="35">
        <v>0.22</v>
      </c>
      <c r="I521" s="35">
        <v>0.6</v>
      </c>
      <c r="J521" s="32">
        <v>0.99</v>
      </c>
      <c r="K521" t="s">
        <v>833</v>
      </c>
      <c r="L521" t="s">
        <v>963</v>
      </c>
      <c r="M521" t="s">
        <v>849</v>
      </c>
      <c r="N521" t="s">
        <v>834</v>
      </c>
      <c r="O521" t="s">
        <v>965</v>
      </c>
      <c r="P521" t="s">
        <v>965</v>
      </c>
      <c r="Q521" t="s">
        <v>965</v>
      </c>
      <c r="R521" t="s">
        <v>965</v>
      </c>
      <c r="S521" t="s">
        <v>965</v>
      </c>
      <c r="T521" t="s">
        <v>965</v>
      </c>
      <c r="U521" t="s">
        <v>965</v>
      </c>
      <c r="V521" t="s">
        <v>965</v>
      </c>
      <c r="W521" t="s">
        <v>965</v>
      </c>
      <c r="X521" t="s">
        <v>965</v>
      </c>
      <c r="Y521" t="s">
        <v>965</v>
      </c>
      <c r="Z521" t="s">
        <v>965</v>
      </c>
      <c r="AA521" t="s">
        <v>965</v>
      </c>
      <c r="AB521" t="s">
        <v>965</v>
      </c>
      <c r="AC521" t="s">
        <v>965</v>
      </c>
      <c r="AD521" t="s">
        <v>965</v>
      </c>
      <c r="AE521" t="s">
        <v>965</v>
      </c>
      <c r="AF521" t="s">
        <v>965</v>
      </c>
      <c r="AG521" t="s">
        <v>965</v>
      </c>
      <c r="AH521" t="s">
        <v>965</v>
      </c>
      <c r="AI521" t="s">
        <v>965</v>
      </c>
      <c r="AJ521" t="s">
        <v>965</v>
      </c>
      <c r="AK521" t="s">
        <v>965</v>
      </c>
      <c r="AL521" t="s">
        <v>965</v>
      </c>
      <c r="AM521" t="s">
        <v>965</v>
      </c>
      <c r="AN521" t="s">
        <v>965</v>
      </c>
      <c r="AO521" t="s">
        <v>965</v>
      </c>
      <c r="AP521" t="s">
        <v>965</v>
      </c>
      <c r="AQ521" t="s">
        <v>965</v>
      </c>
      <c r="AR521" t="s">
        <v>965</v>
      </c>
      <c r="AS521" t="s">
        <v>965</v>
      </c>
      <c r="AT521" t="s">
        <v>965</v>
      </c>
      <c r="AU521" t="s">
        <v>965</v>
      </c>
      <c r="AV521" t="s">
        <v>965</v>
      </c>
      <c r="AW521" t="s">
        <v>965</v>
      </c>
      <c r="AX521" t="s">
        <v>965</v>
      </c>
      <c r="AY521" t="s">
        <v>965</v>
      </c>
      <c r="AZ521" t="s">
        <v>965</v>
      </c>
      <c r="BA521" t="s">
        <v>965</v>
      </c>
      <c r="BB521" t="s">
        <v>965</v>
      </c>
      <c r="BC521" t="s">
        <v>833</v>
      </c>
      <c r="BD521" t="s">
        <v>965</v>
      </c>
      <c r="BE521" t="s">
        <v>835</v>
      </c>
      <c r="BF521">
        <v>51</v>
      </c>
      <c r="BG521">
        <v>15</v>
      </c>
      <c r="BH521">
        <v>0</v>
      </c>
      <c r="BI521">
        <v>0</v>
      </c>
      <c r="BJ521">
        <v>0</v>
      </c>
      <c r="BK521">
        <v>155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206</v>
      </c>
      <c r="BR521">
        <v>0</v>
      </c>
      <c r="BS521">
        <v>0</v>
      </c>
      <c r="BU521">
        <v>192</v>
      </c>
      <c r="BV521" s="36" t="e">
        <f>BU521/BT521</f>
        <v>#DIV/0!</v>
      </c>
    </row>
    <row r="522" spans="2:74" x14ac:dyDescent="0.2">
      <c r="B522" t="s">
        <v>25</v>
      </c>
      <c r="C522" t="s">
        <v>832</v>
      </c>
      <c r="D522" t="s">
        <v>697</v>
      </c>
      <c r="F522" s="5" t="s">
        <v>30</v>
      </c>
      <c r="G522" s="6" t="s">
        <v>120</v>
      </c>
      <c r="H522" s="35">
        <v>0.22</v>
      </c>
      <c r="I522" s="35">
        <v>0.6</v>
      </c>
      <c r="J522" s="32">
        <v>0.99</v>
      </c>
      <c r="K522" t="s">
        <v>833</v>
      </c>
      <c r="L522" t="s">
        <v>963</v>
      </c>
      <c r="M522" t="s">
        <v>849</v>
      </c>
      <c r="N522" t="s">
        <v>834</v>
      </c>
      <c r="O522" t="s">
        <v>965</v>
      </c>
      <c r="P522" t="s">
        <v>965</v>
      </c>
      <c r="Q522" t="s">
        <v>965</v>
      </c>
      <c r="R522" t="s">
        <v>965</v>
      </c>
      <c r="S522" t="s">
        <v>965</v>
      </c>
      <c r="T522" t="s">
        <v>965</v>
      </c>
      <c r="U522" t="s">
        <v>965</v>
      </c>
      <c r="V522" t="s">
        <v>965</v>
      </c>
      <c r="W522" t="s">
        <v>965</v>
      </c>
      <c r="X522" t="s">
        <v>965</v>
      </c>
      <c r="Y522" t="s">
        <v>965</v>
      </c>
      <c r="Z522" t="s">
        <v>965</v>
      </c>
      <c r="AA522" t="s">
        <v>965</v>
      </c>
      <c r="AB522" t="s">
        <v>965</v>
      </c>
      <c r="AC522" t="s">
        <v>965</v>
      </c>
      <c r="AD522" t="s">
        <v>965</v>
      </c>
      <c r="AE522" t="s">
        <v>965</v>
      </c>
      <c r="AF522" t="s">
        <v>965</v>
      </c>
      <c r="AG522" t="s">
        <v>965</v>
      </c>
      <c r="AH522" t="s">
        <v>965</v>
      </c>
      <c r="AI522" t="s">
        <v>965</v>
      </c>
      <c r="AJ522" t="s">
        <v>965</v>
      </c>
      <c r="AK522" t="s">
        <v>965</v>
      </c>
      <c r="AL522" t="s">
        <v>965</v>
      </c>
      <c r="AM522" t="s">
        <v>965</v>
      </c>
      <c r="AN522" t="s">
        <v>965</v>
      </c>
      <c r="AO522" t="s">
        <v>965</v>
      </c>
      <c r="AP522" t="s">
        <v>965</v>
      </c>
      <c r="AQ522" t="s">
        <v>965</v>
      </c>
      <c r="AR522" t="s">
        <v>965</v>
      </c>
      <c r="AS522" t="s">
        <v>965</v>
      </c>
      <c r="AT522" t="s">
        <v>965</v>
      </c>
      <c r="AU522" t="s">
        <v>965</v>
      </c>
      <c r="AV522" t="s">
        <v>965</v>
      </c>
      <c r="AW522" t="s">
        <v>965</v>
      </c>
      <c r="AX522" t="s">
        <v>965</v>
      </c>
      <c r="AY522" t="s">
        <v>965</v>
      </c>
      <c r="AZ522" t="s">
        <v>965</v>
      </c>
      <c r="BA522" t="s">
        <v>965</v>
      </c>
      <c r="BB522" t="s">
        <v>965</v>
      </c>
      <c r="BC522" t="s">
        <v>833</v>
      </c>
      <c r="BD522" t="s">
        <v>965</v>
      </c>
      <c r="BE522" t="s">
        <v>835</v>
      </c>
      <c r="BF522">
        <v>51</v>
      </c>
      <c r="BG522">
        <v>15</v>
      </c>
      <c r="BH522">
        <v>0</v>
      </c>
      <c r="BI522">
        <v>0</v>
      </c>
      <c r="BJ522">
        <v>0</v>
      </c>
      <c r="BK522">
        <v>155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206</v>
      </c>
      <c r="BR522">
        <v>0</v>
      </c>
      <c r="BS522">
        <v>0</v>
      </c>
      <c r="BU522">
        <v>192</v>
      </c>
      <c r="BV522" s="36" t="e">
        <f>BU522/BT522</f>
        <v>#DIV/0!</v>
      </c>
    </row>
    <row r="523" spans="2:74" x14ac:dyDescent="0.2">
      <c r="B523" t="s">
        <v>25</v>
      </c>
      <c r="C523" t="s">
        <v>832</v>
      </c>
      <c r="D523" t="s">
        <v>700</v>
      </c>
      <c r="F523" s="5" t="s">
        <v>30</v>
      </c>
      <c r="G523" s="6" t="s">
        <v>221</v>
      </c>
      <c r="H523" s="35">
        <v>0.54</v>
      </c>
      <c r="I523" s="35">
        <v>0.53</v>
      </c>
      <c r="J523" s="32">
        <v>0.97</v>
      </c>
    </row>
    <row r="524" spans="2:74" x14ac:dyDescent="0.2">
      <c r="B524" t="s">
        <v>25</v>
      </c>
      <c r="C524" t="s">
        <v>832</v>
      </c>
      <c r="D524" t="s">
        <v>726</v>
      </c>
      <c r="F524" s="5" t="s">
        <v>30</v>
      </c>
      <c r="G524" s="6" t="s">
        <v>727</v>
      </c>
      <c r="H524" s="35">
        <v>0.54</v>
      </c>
      <c r="I524" s="35">
        <v>0.89</v>
      </c>
      <c r="J524" s="32">
        <v>0.28999999999999998</v>
      </c>
    </row>
    <row r="525" spans="2:74" x14ac:dyDescent="0.2">
      <c r="B525" t="s">
        <v>25</v>
      </c>
      <c r="C525" t="s">
        <v>832</v>
      </c>
      <c r="D525" t="s">
        <v>773</v>
      </c>
      <c r="F525" s="5" t="s">
        <v>30</v>
      </c>
      <c r="G525" s="6" t="s">
        <v>395</v>
      </c>
      <c r="H525" s="35">
        <v>0.55000000000000004</v>
      </c>
      <c r="I525" s="35">
        <v>0.63</v>
      </c>
      <c r="J525" s="32">
        <v>0.5</v>
      </c>
      <c r="BT525">
        <v>174</v>
      </c>
    </row>
    <row r="526" spans="2:74" x14ac:dyDescent="0.2">
      <c r="B526" t="s">
        <v>25</v>
      </c>
      <c r="C526" t="s">
        <v>832</v>
      </c>
      <c r="D526" t="s">
        <v>904</v>
      </c>
      <c r="F526" s="5" t="s">
        <v>30</v>
      </c>
      <c r="G526" s="6" t="s">
        <v>781</v>
      </c>
      <c r="H526" s="35">
        <v>0.22</v>
      </c>
      <c r="I526" s="35">
        <v>0.82</v>
      </c>
      <c r="J526" s="32">
        <v>0.27</v>
      </c>
      <c r="BT526">
        <v>164</v>
      </c>
    </row>
    <row r="527" spans="2:74" x14ac:dyDescent="0.2">
      <c r="B527" t="s">
        <v>25</v>
      </c>
      <c r="C527" t="s">
        <v>832</v>
      </c>
      <c r="D527" t="s">
        <v>786</v>
      </c>
      <c r="F527" s="5" t="s">
        <v>30</v>
      </c>
      <c r="G527" s="6" t="s">
        <v>676</v>
      </c>
      <c r="H527" s="35">
        <v>0.49</v>
      </c>
      <c r="I527" s="35">
        <v>0.72</v>
      </c>
      <c r="J527" s="32">
        <v>0.36</v>
      </c>
      <c r="BT527">
        <v>148</v>
      </c>
    </row>
    <row r="528" spans="2:74" x14ac:dyDescent="0.2">
      <c r="B528" t="s">
        <v>25</v>
      </c>
      <c r="C528" t="s">
        <v>1301</v>
      </c>
      <c r="D528" t="s">
        <v>765</v>
      </c>
      <c r="F528" s="5" t="s">
        <v>15</v>
      </c>
      <c r="G528" s="23" t="s">
        <v>766</v>
      </c>
      <c r="H528" s="35">
        <v>0.27</v>
      </c>
      <c r="I528" s="35">
        <v>0.35</v>
      </c>
      <c r="J528" s="32">
        <v>0.84</v>
      </c>
      <c r="K528" t="s">
        <v>833</v>
      </c>
      <c r="L528" t="s">
        <v>963</v>
      </c>
      <c r="M528" t="s">
        <v>849</v>
      </c>
      <c r="N528" t="s">
        <v>834</v>
      </c>
      <c r="O528" t="s">
        <v>833</v>
      </c>
      <c r="P528" t="s">
        <v>965</v>
      </c>
      <c r="Q528" t="s">
        <v>965</v>
      </c>
      <c r="R528" t="s">
        <v>965</v>
      </c>
      <c r="S528" t="s">
        <v>965</v>
      </c>
      <c r="T528" t="s">
        <v>965</v>
      </c>
      <c r="U528" t="s">
        <v>965</v>
      </c>
      <c r="V528" t="s">
        <v>965</v>
      </c>
      <c r="W528" t="s">
        <v>965</v>
      </c>
      <c r="X528" t="s">
        <v>965</v>
      </c>
      <c r="Y528" t="s">
        <v>965</v>
      </c>
      <c r="Z528" t="s">
        <v>965</v>
      </c>
      <c r="AA528" t="s">
        <v>965</v>
      </c>
      <c r="AB528" t="s">
        <v>965</v>
      </c>
      <c r="AC528" t="s">
        <v>965</v>
      </c>
      <c r="AD528" t="s">
        <v>965</v>
      </c>
      <c r="AE528" t="s">
        <v>965</v>
      </c>
      <c r="AF528" t="s">
        <v>965</v>
      </c>
      <c r="AG528" t="s">
        <v>965</v>
      </c>
      <c r="AH528" t="s">
        <v>965</v>
      </c>
      <c r="AI528" t="s">
        <v>965</v>
      </c>
      <c r="AJ528" t="s">
        <v>965</v>
      </c>
      <c r="AK528" t="s">
        <v>965</v>
      </c>
      <c r="AL528" t="s">
        <v>965</v>
      </c>
      <c r="AM528" t="s">
        <v>965</v>
      </c>
      <c r="AN528" t="s">
        <v>965</v>
      </c>
      <c r="AO528" t="s">
        <v>965</v>
      </c>
      <c r="AP528" t="s">
        <v>965</v>
      </c>
      <c r="AQ528" t="s">
        <v>965</v>
      </c>
      <c r="AR528" t="s">
        <v>965</v>
      </c>
      <c r="AS528" t="s">
        <v>965</v>
      </c>
      <c r="AT528" t="s">
        <v>965</v>
      </c>
      <c r="AU528" t="s">
        <v>965</v>
      </c>
      <c r="AV528" t="s">
        <v>965</v>
      </c>
      <c r="AW528" t="s">
        <v>965</v>
      </c>
      <c r="AX528" t="s">
        <v>965</v>
      </c>
      <c r="AY528" t="s">
        <v>965</v>
      </c>
      <c r="AZ528" t="s">
        <v>965</v>
      </c>
      <c r="BA528" t="s">
        <v>965</v>
      </c>
      <c r="BB528" t="s">
        <v>965</v>
      </c>
      <c r="BC528" t="s">
        <v>833</v>
      </c>
      <c r="BD528" t="s">
        <v>965</v>
      </c>
      <c r="BE528" t="s">
        <v>835</v>
      </c>
      <c r="BF528">
        <v>52</v>
      </c>
      <c r="BG528">
        <v>9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52</v>
      </c>
      <c r="BR528">
        <v>0</v>
      </c>
      <c r="BS528">
        <v>0</v>
      </c>
      <c r="BT528">
        <v>11</v>
      </c>
      <c r="BU528">
        <v>42</v>
      </c>
      <c r="BV528" s="36">
        <f>BU528/BT528</f>
        <v>3.8181818181818183</v>
      </c>
    </row>
    <row r="529" spans="2:72" x14ac:dyDescent="0.2">
      <c r="B529" t="s">
        <v>25</v>
      </c>
      <c r="C529" t="s">
        <v>1301</v>
      </c>
      <c r="D529" t="s">
        <v>49</v>
      </c>
      <c r="F529" s="5" t="s">
        <v>15</v>
      </c>
      <c r="G529" s="6" t="s">
        <v>50</v>
      </c>
      <c r="H529" s="35">
        <v>0.77</v>
      </c>
      <c r="I529" s="35">
        <v>0.21</v>
      </c>
      <c r="J529" s="32">
        <v>0.98</v>
      </c>
      <c r="BT529">
        <v>40</v>
      </c>
    </row>
    <row r="530" spans="2:72" x14ac:dyDescent="0.2">
      <c r="B530" t="s">
        <v>25</v>
      </c>
      <c r="C530" t="s">
        <v>1301</v>
      </c>
      <c r="D530" t="s">
        <v>529</v>
      </c>
      <c r="F530" s="5" t="s">
        <v>530</v>
      </c>
      <c r="G530" s="6" t="s">
        <v>531</v>
      </c>
      <c r="H530" s="35">
        <v>0.22</v>
      </c>
      <c r="I530" s="35">
        <v>0.93</v>
      </c>
      <c r="J530" s="32">
        <v>0.15</v>
      </c>
    </row>
    <row r="531" spans="2:72" x14ac:dyDescent="0.2">
      <c r="B531" t="s">
        <v>25</v>
      </c>
      <c r="C531" t="s">
        <v>1301</v>
      </c>
      <c r="D531" t="s">
        <v>286</v>
      </c>
      <c r="F531" s="5" t="s">
        <v>42</v>
      </c>
      <c r="G531" s="6" t="s">
        <v>124</v>
      </c>
      <c r="H531" s="35">
        <v>0.18</v>
      </c>
      <c r="I531" s="35">
        <v>0.6</v>
      </c>
      <c r="J531" s="32">
        <v>0.73</v>
      </c>
      <c r="BT531">
        <v>6</v>
      </c>
    </row>
    <row r="532" spans="2:72" x14ac:dyDescent="0.2">
      <c r="B532" t="s">
        <v>25</v>
      </c>
      <c r="C532" t="s">
        <v>1301</v>
      </c>
      <c r="D532" t="s">
        <v>578</v>
      </c>
      <c r="F532" s="5" t="s">
        <v>42</v>
      </c>
      <c r="G532" s="6" t="s">
        <v>385</v>
      </c>
      <c r="H532" s="35">
        <v>0.15</v>
      </c>
      <c r="I532" s="35">
        <v>0.41</v>
      </c>
      <c r="J532" s="32">
        <v>0.21</v>
      </c>
      <c r="BT532">
        <v>6</v>
      </c>
    </row>
    <row r="533" spans="2:72" x14ac:dyDescent="0.2">
      <c r="B533" t="s">
        <v>25</v>
      </c>
      <c r="C533" t="s">
        <v>1301</v>
      </c>
      <c r="D533" t="s">
        <v>756</v>
      </c>
      <c r="F533" s="5" t="s">
        <v>95</v>
      </c>
      <c r="G533" s="6" t="s">
        <v>755</v>
      </c>
      <c r="H533" s="35">
        <v>0.32</v>
      </c>
      <c r="I533" s="35">
        <v>0.6</v>
      </c>
      <c r="J533" s="32">
        <v>0.69</v>
      </c>
      <c r="BT533">
        <v>22</v>
      </c>
    </row>
    <row r="534" spans="2:72" x14ac:dyDescent="0.2">
      <c r="B534" t="s">
        <v>25</v>
      </c>
      <c r="C534" t="s">
        <v>1301</v>
      </c>
      <c r="D534" t="s">
        <v>867</v>
      </c>
      <c r="F534" s="5" t="s">
        <v>103</v>
      </c>
      <c r="G534" s="6" t="s">
        <v>162</v>
      </c>
      <c r="H534" s="35">
        <v>0.7</v>
      </c>
      <c r="I534" s="35">
        <v>0.28999999999999998</v>
      </c>
      <c r="J534" s="32">
        <v>0.6</v>
      </c>
      <c r="BT534">
        <v>58</v>
      </c>
    </row>
    <row r="535" spans="2:72" x14ac:dyDescent="0.2">
      <c r="B535" t="s">
        <v>25</v>
      </c>
      <c r="C535" t="s">
        <v>1301</v>
      </c>
      <c r="D535" t="s">
        <v>420</v>
      </c>
      <c r="F535" s="5" t="s">
        <v>33</v>
      </c>
      <c r="G535" s="6" t="s">
        <v>421</v>
      </c>
      <c r="H535" s="35">
        <v>0.67</v>
      </c>
      <c r="I535" s="35">
        <v>0.48</v>
      </c>
      <c r="J535" s="32">
        <v>0.06</v>
      </c>
      <c r="BT535">
        <v>155</v>
      </c>
    </row>
    <row r="536" spans="2:72" x14ac:dyDescent="0.2">
      <c r="B536" t="s">
        <v>25</v>
      </c>
      <c r="C536" t="s">
        <v>1301</v>
      </c>
      <c r="D536" t="s">
        <v>119</v>
      </c>
      <c r="F536" s="5" t="s">
        <v>30</v>
      </c>
      <c r="G536" s="6" t="s">
        <v>120</v>
      </c>
      <c r="H536" s="35">
        <v>0.22</v>
      </c>
      <c r="I536" s="35">
        <v>0.6</v>
      </c>
      <c r="J536" s="32">
        <v>0.99</v>
      </c>
      <c r="BT536">
        <v>192</v>
      </c>
    </row>
    <row r="537" spans="2:72" x14ac:dyDescent="0.2">
      <c r="B537" t="s">
        <v>25</v>
      </c>
      <c r="C537" t="s">
        <v>1301</v>
      </c>
      <c r="D537" t="s">
        <v>536</v>
      </c>
      <c r="F537" s="5" t="s">
        <v>139</v>
      </c>
      <c r="G537" s="6" t="s">
        <v>537</v>
      </c>
      <c r="H537" s="35">
        <v>0.9</v>
      </c>
      <c r="I537" s="35">
        <v>0.03</v>
      </c>
      <c r="J537" s="32">
        <v>0.88</v>
      </c>
      <c r="BT537">
        <v>335</v>
      </c>
    </row>
    <row r="538" spans="2:72" x14ac:dyDescent="0.2">
      <c r="B538" t="s">
        <v>25</v>
      </c>
      <c r="C538" t="s">
        <v>1301</v>
      </c>
      <c r="D538" t="s">
        <v>598</v>
      </c>
      <c r="F538" s="5" t="s">
        <v>183</v>
      </c>
      <c r="G538" s="6" t="s">
        <v>599</v>
      </c>
      <c r="H538" s="35">
        <v>0.53</v>
      </c>
      <c r="I538" s="35">
        <v>0.05</v>
      </c>
      <c r="J538" s="32">
        <v>0.91</v>
      </c>
      <c r="BT538">
        <v>132</v>
      </c>
    </row>
    <row r="539" spans="2:72" x14ac:dyDescent="0.2">
      <c r="B539" t="s">
        <v>25</v>
      </c>
      <c r="C539" t="s">
        <v>1301</v>
      </c>
      <c r="D539" t="s">
        <v>317</v>
      </c>
      <c r="F539" s="5" t="s">
        <v>242</v>
      </c>
      <c r="G539" s="6" t="s">
        <v>243</v>
      </c>
      <c r="H539" s="35">
        <v>0.78</v>
      </c>
      <c r="I539" s="35">
        <v>0.81</v>
      </c>
      <c r="J539" s="32">
        <v>0.1</v>
      </c>
      <c r="BT539">
        <v>128</v>
      </c>
    </row>
    <row r="540" spans="2:72" x14ac:dyDescent="0.2">
      <c r="B540" t="s">
        <v>25</v>
      </c>
      <c r="C540" t="s">
        <v>1301</v>
      </c>
      <c r="D540" t="s">
        <v>279</v>
      </c>
      <c r="F540" s="5" t="s">
        <v>42</v>
      </c>
      <c r="G540" s="6" t="s">
        <v>280</v>
      </c>
      <c r="H540" s="35">
        <v>0.61</v>
      </c>
      <c r="I540" s="35">
        <v>0.49</v>
      </c>
      <c r="J540" s="32">
        <v>0.7</v>
      </c>
      <c r="BT540">
        <v>274</v>
      </c>
    </row>
    <row r="541" spans="2:72" x14ac:dyDescent="0.2">
      <c r="B541" t="s">
        <v>25</v>
      </c>
      <c r="C541" t="s">
        <v>1301</v>
      </c>
      <c r="D541" t="s">
        <v>688</v>
      </c>
      <c r="F541" s="5" t="s">
        <v>95</v>
      </c>
      <c r="G541" s="6" t="s">
        <v>662</v>
      </c>
      <c r="H541" s="35">
        <v>0.31</v>
      </c>
      <c r="I541" s="35">
        <v>0.49</v>
      </c>
      <c r="J541" s="32">
        <v>0.44</v>
      </c>
      <c r="BT541">
        <v>260</v>
      </c>
    </row>
    <row r="542" spans="2:72" x14ac:dyDescent="0.2">
      <c r="B542" t="s">
        <v>25</v>
      </c>
      <c r="C542" t="s">
        <v>1301</v>
      </c>
      <c r="D542" t="s">
        <v>758</v>
      </c>
      <c r="F542" s="5" t="s">
        <v>42</v>
      </c>
      <c r="G542" s="6" t="s">
        <v>558</v>
      </c>
      <c r="H542" s="35">
        <v>0.19</v>
      </c>
      <c r="I542" s="35">
        <v>0.05</v>
      </c>
      <c r="J542" s="32">
        <v>0.78</v>
      </c>
      <c r="BT542">
        <v>500</v>
      </c>
    </row>
    <row r="543" spans="2:72" x14ac:dyDescent="0.2">
      <c r="B543" t="s">
        <v>25</v>
      </c>
      <c r="C543" t="s">
        <v>1301</v>
      </c>
      <c r="D543" t="s">
        <v>303</v>
      </c>
      <c r="F543" s="5" t="s">
        <v>95</v>
      </c>
      <c r="G543" s="6" t="s">
        <v>304</v>
      </c>
      <c r="H543" s="35">
        <v>0.71</v>
      </c>
      <c r="I543" s="35">
        <v>0.28000000000000003</v>
      </c>
      <c r="J543" s="32">
        <v>0.36</v>
      </c>
      <c r="BT543">
        <v>49</v>
      </c>
    </row>
    <row r="544" spans="2:72" x14ac:dyDescent="0.2">
      <c r="B544" t="s">
        <v>25</v>
      </c>
      <c r="C544" t="s">
        <v>1301</v>
      </c>
      <c r="D544" t="s">
        <v>131</v>
      </c>
      <c r="F544" s="5" t="s">
        <v>103</v>
      </c>
      <c r="G544" s="6" t="s">
        <v>132</v>
      </c>
      <c r="H544" s="35">
        <v>0.64</v>
      </c>
      <c r="I544" s="35">
        <v>0.27</v>
      </c>
      <c r="J544" s="32">
        <v>0.86</v>
      </c>
      <c r="BT544">
        <v>27</v>
      </c>
    </row>
    <row r="545" spans="2:74" x14ac:dyDescent="0.2">
      <c r="B545" t="s">
        <v>25</v>
      </c>
      <c r="C545" t="s">
        <v>1301</v>
      </c>
      <c r="D545" t="s">
        <v>150</v>
      </c>
      <c r="F545" s="5" t="s">
        <v>58</v>
      </c>
      <c r="G545" s="6" t="s">
        <v>151</v>
      </c>
      <c r="H545" s="35">
        <v>0.56999999999999995</v>
      </c>
      <c r="I545" s="35">
        <v>0.2</v>
      </c>
      <c r="J545" s="32">
        <v>0.4</v>
      </c>
      <c r="BT545">
        <v>58</v>
      </c>
    </row>
    <row r="546" spans="2:74" x14ac:dyDescent="0.2">
      <c r="B546" t="s">
        <v>25</v>
      </c>
      <c r="C546" t="s">
        <v>1301</v>
      </c>
      <c r="D546" t="s">
        <v>637</v>
      </c>
      <c r="F546" s="5" t="s">
        <v>610</v>
      </c>
      <c r="G546" s="6" t="s">
        <v>611</v>
      </c>
      <c r="H546" s="35">
        <v>0.25</v>
      </c>
      <c r="I546" s="35">
        <v>0.66</v>
      </c>
      <c r="J546" s="32">
        <v>0.49</v>
      </c>
      <c r="BT546">
        <v>112</v>
      </c>
    </row>
    <row r="547" spans="2:74" x14ac:dyDescent="0.2">
      <c r="B547" t="s">
        <v>25</v>
      </c>
      <c r="C547" t="s">
        <v>1301</v>
      </c>
      <c r="D547" t="s">
        <v>851</v>
      </c>
      <c r="F547" s="5" t="s">
        <v>139</v>
      </c>
      <c r="G547" s="6" t="s">
        <v>342</v>
      </c>
      <c r="H547" s="35">
        <v>0.56999999999999995</v>
      </c>
      <c r="I547" s="35">
        <v>0.11</v>
      </c>
      <c r="J547" s="32">
        <v>0.68</v>
      </c>
      <c r="BT547">
        <v>298</v>
      </c>
    </row>
    <row r="548" spans="2:74" x14ac:dyDescent="0.2">
      <c r="B548" t="s">
        <v>25</v>
      </c>
      <c r="C548" t="s">
        <v>1301</v>
      </c>
      <c r="D548" t="s">
        <v>174</v>
      </c>
      <c r="F548" s="5" t="s">
        <v>103</v>
      </c>
      <c r="G548" s="6" t="s">
        <v>175</v>
      </c>
      <c r="H548" s="35">
        <v>0.86</v>
      </c>
      <c r="I548" s="35">
        <v>0.02</v>
      </c>
      <c r="J548" s="32">
        <v>1</v>
      </c>
      <c r="BT548">
        <v>17</v>
      </c>
    </row>
    <row r="549" spans="2:74" x14ac:dyDescent="0.2">
      <c r="B549" t="s">
        <v>25</v>
      </c>
      <c r="C549" t="s">
        <v>1301</v>
      </c>
      <c r="D549" t="s">
        <v>163</v>
      </c>
      <c r="F549" s="5" t="s">
        <v>136</v>
      </c>
      <c r="G549" s="6" t="s">
        <v>164</v>
      </c>
      <c r="H549" s="35">
        <v>0.78</v>
      </c>
      <c r="I549" s="35">
        <v>0.05</v>
      </c>
      <c r="J549" s="32">
        <v>0.88</v>
      </c>
      <c r="BT549">
        <v>212</v>
      </c>
    </row>
    <row r="550" spans="2:74" x14ac:dyDescent="0.2">
      <c r="B550" t="s">
        <v>25</v>
      </c>
      <c r="C550" t="s">
        <v>1301</v>
      </c>
      <c r="D550" t="s">
        <v>366</v>
      </c>
      <c r="F550" s="5" t="s">
        <v>95</v>
      </c>
      <c r="G550" s="6" t="s">
        <v>304</v>
      </c>
      <c r="H550" s="35">
        <v>0.71</v>
      </c>
      <c r="I550" s="35">
        <v>0.28000000000000003</v>
      </c>
      <c r="J550" s="32">
        <v>0.36</v>
      </c>
      <c r="BT550">
        <v>83</v>
      </c>
    </row>
    <row r="551" spans="2:74" x14ac:dyDescent="0.2">
      <c r="B551" t="s">
        <v>25</v>
      </c>
      <c r="C551" t="s">
        <v>1301</v>
      </c>
      <c r="D551" t="s">
        <v>315</v>
      </c>
      <c r="F551" s="5" t="s">
        <v>23</v>
      </c>
      <c r="G551" s="6" t="s">
        <v>316</v>
      </c>
      <c r="H551" s="35">
        <v>0.13</v>
      </c>
      <c r="I551" s="35">
        <v>0.27</v>
      </c>
      <c r="J551" s="32">
        <v>0.63</v>
      </c>
      <c r="BT551">
        <v>125</v>
      </c>
    </row>
    <row r="552" spans="2:74" x14ac:dyDescent="0.2">
      <c r="B552" t="s">
        <v>25</v>
      </c>
      <c r="C552" t="s">
        <v>1301</v>
      </c>
      <c r="D552" t="s">
        <v>1302</v>
      </c>
      <c r="F552" s="5" t="s">
        <v>23</v>
      </c>
      <c r="G552" s="6" t="s">
        <v>451</v>
      </c>
      <c r="H552" s="35">
        <v>0.25</v>
      </c>
      <c r="I552" s="35">
        <v>0.35</v>
      </c>
      <c r="J552" s="32">
        <v>0.71</v>
      </c>
      <c r="K552" t="s">
        <v>833</v>
      </c>
      <c r="L552" t="s">
        <v>963</v>
      </c>
      <c r="N552" t="s">
        <v>834</v>
      </c>
      <c r="O552" t="s">
        <v>965</v>
      </c>
      <c r="P552" t="s">
        <v>965</v>
      </c>
      <c r="Q552" t="s">
        <v>965</v>
      </c>
      <c r="R552" t="s">
        <v>965</v>
      </c>
      <c r="S552" t="s">
        <v>965</v>
      </c>
      <c r="T552" t="s">
        <v>965</v>
      </c>
      <c r="U552" t="s">
        <v>965</v>
      </c>
      <c r="V552" t="s">
        <v>965</v>
      </c>
      <c r="W552" t="s">
        <v>965</v>
      </c>
      <c r="X552" t="s">
        <v>965</v>
      </c>
      <c r="Y552" t="s">
        <v>965</v>
      </c>
      <c r="Z552" t="s">
        <v>965</v>
      </c>
      <c r="AA552" t="s">
        <v>965</v>
      </c>
      <c r="AB552" t="s">
        <v>965</v>
      </c>
      <c r="AC552" t="s">
        <v>965</v>
      </c>
      <c r="AD552" t="s">
        <v>965</v>
      </c>
      <c r="AE552" t="s">
        <v>965</v>
      </c>
      <c r="AF552" t="s">
        <v>965</v>
      </c>
      <c r="AG552" t="s">
        <v>965</v>
      </c>
      <c r="AH552" t="s">
        <v>965</v>
      </c>
      <c r="AI552" t="s">
        <v>965</v>
      </c>
      <c r="AJ552" t="s">
        <v>965</v>
      </c>
      <c r="AK552" t="s">
        <v>965</v>
      </c>
      <c r="AL552" t="s">
        <v>965</v>
      </c>
      <c r="AM552" t="s">
        <v>965</v>
      </c>
      <c r="AN552" t="s">
        <v>965</v>
      </c>
      <c r="AO552" t="s">
        <v>965</v>
      </c>
      <c r="AP552" t="s">
        <v>965</v>
      </c>
      <c r="AQ552" t="s">
        <v>965</v>
      </c>
      <c r="AR552" t="s">
        <v>965</v>
      </c>
      <c r="AS552" t="s">
        <v>965</v>
      </c>
      <c r="AT552" t="s">
        <v>965</v>
      </c>
      <c r="AU552" t="s">
        <v>965</v>
      </c>
      <c r="AV552" t="s">
        <v>965</v>
      </c>
      <c r="AW552" t="s">
        <v>965</v>
      </c>
      <c r="AX552" t="s">
        <v>965</v>
      </c>
      <c r="AY552" t="s">
        <v>965</v>
      </c>
      <c r="AZ552" t="s">
        <v>965</v>
      </c>
      <c r="BA552" t="s">
        <v>833</v>
      </c>
      <c r="BB552" t="s">
        <v>965</v>
      </c>
      <c r="BC552" t="s">
        <v>965</v>
      </c>
      <c r="BD552" t="s">
        <v>965</v>
      </c>
      <c r="BE552" t="s">
        <v>835</v>
      </c>
      <c r="BF552">
        <v>21</v>
      </c>
      <c r="BG552">
        <v>7</v>
      </c>
      <c r="BH552">
        <v>0</v>
      </c>
      <c r="BI552">
        <v>0</v>
      </c>
      <c r="BJ552">
        <v>21</v>
      </c>
      <c r="BK552">
        <v>3</v>
      </c>
      <c r="BL552">
        <v>0</v>
      </c>
      <c r="BM552">
        <v>0</v>
      </c>
      <c r="BN552">
        <v>3</v>
      </c>
      <c r="BO552">
        <v>0</v>
      </c>
      <c r="BP552">
        <v>0</v>
      </c>
      <c r="BQ552">
        <v>24</v>
      </c>
      <c r="BR552">
        <v>0</v>
      </c>
      <c r="BS552">
        <v>0</v>
      </c>
      <c r="BT552">
        <v>239</v>
      </c>
      <c r="BU552">
        <v>12</v>
      </c>
      <c r="BV552" s="36">
        <f>BU552/BT552</f>
        <v>5.0209205020920501E-2</v>
      </c>
    </row>
    <row r="553" spans="2:74" x14ac:dyDescent="0.2">
      <c r="B553" t="s">
        <v>25</v>
      </c>
      <c r="C553" t="s">
        <v>1301</v>
      </c>
      <c r="D553" s="21" t="s">
        <v>757</v>
      </c>
      <c r="F553" s="5" t="s">
        <v>64</v>
      </c>
      <c r="G553" s="6" t="s">
        <v>65</v>
      </c>
      <c r="H553" s="6" t="s">
        <v>66</v>
      </c>
      <c r="I553" s="35">
        <v>0.33</v>
      </c>
      <c r="J553" s="32">
        <v>0.88</v>
      </c>
      <c r="BT553">
        <v>46</v>
      </c>
    </row>
    <row r="554" spans="2:74" x14ac:dyDescent="0.2">
      <c r="B554" t="s">
        <v>25</v>
      </c>
      <c r="C554" t="s">
        <v>1301</v>
      </c>
      <c r="D554" t="s">
        <v>480</v>
      </c>
      <c r="F554" s="5" t="s">
        <v>465</v>
      </c>
      <c r="G554" s="6" t="s">
        <v>466</v>
      </c>
      <c r="H554" s="35">
        <v>0.9</v>
      </c>
      <c r="I554" s="35">
        <v>0.41</v>
      </c>
      <c r="J554" s="32">
        <v>0.28999999999999998</v>
      </c>
      <c r="BT554">
        <v>269</v>
      </c>
    </row>
    <row r="555" spans="2:74" x14ac:dyDescent="0.2">
      <c r="B555" t="s">
        <v>25</v>
      </c>
      <c r="C555" t="s">
        <v>1301</v>
      </c>
      <c r="D555" t="s">
        <v>528</v>
      </c>
      <c r="F555" s="5" t="s">
        <v>15</v>
      </c>
      <c r="G555" s="6" t="s">
        <v>466</v>
      </c>
      <c r="H555" s="35">
        <v>0.9</v>
      </c>
      <c r="I555" s="35">
        <v>0.41</v>
      </c>
      <c r="J555" s="32">
        <v>0.28999999999999998</v>
      </c>
      <c r="BT555">
        <v>58</v>
      </c>
    </row>
    <row r="556" spans="2:74" x14ac:dyDescent="0.2">
      <c r="B556" t="s">
        <v>25</v>
      </c>
      <c r="C556" t="s">
        <v>1301</v>
      </c>
      <c r="D556" t="s">
        <v>585</v>
      </c>
      <c r="F556" s="5" t="s">
        <v>15</v>
      </c>
      <c r="G556" s="6" t="s">
        <v>28</v>
      </c>
      <c r="H556" s="35">
        <v>0.76</v>
      </c>
      <c r="I556" s="35">
        <v>0.01</v>
      </c>
      <c r="J556" s="32">
        <v>0.96</v>
      </c>
      <c r="BT556">
        <v>125</v>
      </c>
    </row>
    <row r="557" spans="2:74" x14ac:dyDescent="0.2">
      <c r="B557" t="s">
        <v>25</v>
      </c>
      <c r="C557" t="s">
        <v>1301</v>
      </c>
      <c r="D557" t="s">
        <v>903</v>
      </c>
      <c r="F557" s="5" t="s">
        <v>136</v>
      </c>
      <c r="G557" s="6" t="s">
        <v>411</v>
      </c>
      <c r="H557" s="35">
        <v>0.43</v>
      </c>
      <c r="I557" s="35">
        <v>0.38</v>
      </c>
      <c r="J557" s="32">
        <v>0.33</v>
      </c>
      <c r="BT557">
        <v>149</v>
      </c>
    </row>
    <row r="558" spans="2:74" x14ac:dyDescent="0.2">
      <c r="B558" t="s">
        <v>25</v>
      </c>
      <c r="C558" t="s">
        <v>1301</v>
      </c>
      <c r="D558" t="s">
        <v>553</v>
      </c>
      <c r="F558" s="5" t="s">
        <v>139</v>
      </c>
      <c r="G558" s="6" t="s">
        <v>537</v>
      </c>
      <c r="H558" s="35">
        <v>0.9</v>
      </c>
      <c r="I558" s="35">
        <v>0.03</v>
      </c>
      <c r="J558" s="32">
        <v>0.88</v>
      </c>
      <c r="BT558">
        <v>103</v>
      </c>
    </row>
    <row r="559" spans="2:74" x14ac:dyDescent="0.2">
      <c r="B559" t="s">
        <v>25</v>
      </c>
      <c r="C559" t="s">
        <v>1301</v>
      </c>
      <c r="D559" t="s">
        <v>516</v>
      </c>
      <c r="F559" s="5" t="s">
        <v>95</v>
      </c>
      <c r="G559" s="6" t="s">
        <v>397</v>
      </c>
      <c r="H559" s="35">
        <v>0.39</v>
      </c>
      <c r="I559" s="32">
        <v>0.73</v>
      </c>
      <c r="J559" s="32">
        <v>0.57999999999999996</v>
      </c>
      <c r="BT559">
        <v>64</v>
      </c>
    </row>
    <row r="560" spans="2:74" x14ac:dyDescent="0.2">
      <c r="B560" t="s">
        <v>25</v>
      </c>
      <c r="C560" t="s">
        <v>1301</v>
      </c>
      <c r="D560" t="s">
        <v>858</v>
      </c>
      <c r="F560" s="5" t="s">
        <v>103</v>
      </c>
      <c r="G560" s="6" t="s">
        <v>162</v>
      </c>
      <c r="H560" s="35">
        <v>0.7</v>
      </c>
      <c r="I560" s="35">
        <v>0.28999999999999998</v>
      </c>
      <c r="J560" s="32">
        <v>0.6</v>
      </c>
      <c r="BT560">
        <v>134</v>
      </c>
    </row>
    <row r="561" spans="2:74" x14ac:dyDescent="0.2">
      <c r="B561" t="s">
        <v>25</v>
      </c>
      <c r="C561" t="s">
        <v>1301</v>
      </c>
      <c r="D561" t="s">
        <v>272</v>
      </c>
      <c r="F561" s="5" t="s">
        <v>273</v>
      </c>
      <c r="G561" s="6" t="s">
        <v>274</v>
      </c>
      <c r="H561" s="35">
        <v>0.28000000000000003</v>
      </c>
      <c r="I561" s="35">
        <v>0.61</v>
      </c>
      <c r="J561" s="32">
        <v>0.2</v>
      </c>
      <c r="BT561">
        <v>74</v>
      </c>
    </row>
    <row r="562" spans="2:74" x14ac:dyDescent="0.2">
      <c r="B562" t="s">
        <v>25</v>
      </c>
      <c r="C562" t="s">
        <v>1301</v>
      </c>
      <c r="D562" t="s">
        <v>527</v>
      </c>
      <c r="F562" s="5" t="s">
        <v>103</v>
      </c>
      <c r="G562" s="6" t="s">
        <v>195</v>
      </c>
      <c r="H562" s="35">
        <v>0.72</v>
      </c>
      <c r="I562" s="35">
        <v>0.17</v>
      </c>
      <c r="J562" s="32">
        <v>0.98</v>
      </c>
      <c r="BT562">
        <v>223</v>
      </c>
    </row>
    <row r="563" spans="2:74" x14ac:dyDescent="0.2">
      <c r="B563" t="s">
        <v>25</v>
      </c>
      <c r="C563" t="s">
        <v>1301</v>
      </c>
      <c r="D563" t="s">
        <v>743</v>
      </c>
      <c r="F563" s="5" t="s">
        <v>64</v>
      </c>
      <c r="G563" s="6" t="s">
        <v>744</v>
      </c>
      <c r="H563" s="35">
        <v>0.56000000000000005</v>
      </c>
      <c r="I563" s="35">
        <v>0.59</v>
      </c>
      <c r="J563" s="32">
        <v>0.34</v>
      </c>
      <c r="BT563">
        <v>105</v>
      </c>
    </row>
    <row r="564" spans="2:74" x14ac:dyDescent="0.2">
      <c r="B564" t="s">
        <v>25</v>
      </c>
      <c r="C564" t="s">
        <v>1301</v>
      </c>
      <c r="D564" t="s">
        <v>488</v>
      </c>
      <c r="F564" s="5" t="s">
        <v>95</v>
      </c>
      <c r="G564" s="6" t="s">
        <v>96</v>
      </c>
      <c r="H564" s="35">
        <v>0.28999999999999998</v>
      </c>
      <c r="I564" s="35">
        <v>0.44</v>
      </c>
      <c r="J564" s="32">
        <v>0.87</v>
      </c>
      <c r="BT564">
        <v>74</v>
      </c>
    </row>
    <row r="565" spans="2:74" x14ac:dyDescent="0.2">
      <c r="B565" t="s">
        <v>25</v>
      </c>
      <c r="C565" t="s">
        <v>1301</v>
      </c>
      <c r="D565" t="s">
        <v>494</v>
      </c>
      <c r="F565" s="5" t="s">
        <v>103</v>
      </c>
      <c r="G565" s="6" t="s">
        <v>495</v>
      </c>
      <c r="H565" s="35">
        <v>0.08</v>
      </c>
      <c r="I565" s="35">
        <v>0.9</v>
      </c>
      <c r="J565" s="32">
        <v>0.75</v>
      </c>
      <c r="BT565">
        <v>203</v>
      </c>
    </row>
    <row r="566" spans="2:74" x14ac:dyDescent="0.2">
      <c r="B566" t="s">
        <v>25</v>
      </c>
      <c r="C566" t="s">
        <v>1301</v>
      </c>
      <c r="D566" t="s">
        <v>728</v>
      </c>
      <c r="F566" s="5" t="s">
        <v>68</v>
      </c>
      <c r="G566" s="6" t="s">
        <v>729</v>
      </c>
      <c r="H566" s="35">
        <v>0.92</v>
      </c>
      <c r="I566" s="35">
        <v>0.05</v>
      </c>
      <c r="J566" s="32">
        <v>0.96</v>
      </c>
      <c r="BT566">
        <v>54</v>
      </c>
    </row>
    <row r="567" spans="2:74" x14ac:dyDescent="0.2">
      <c r="B567" t="s">
        <v>25</v>
      </c>
      <c r="C567" t="s">
        <v>1301</v>
      </c>
      <c r="D567" t="s">
        <v>305</v>
      </c>
      <c r="F567" s="5" t="s">
        <v>15</v>
      </c>
      <c r="G567" s="6" t="s">
        <v>1303</v>
      </c>
      <c r="H567" s="35">
        <v>0.17</v>
      </c>
      <c r="I567" s="35">
        <v>0.34</v>
      </c>
      <c r="J567" s="32">
        <v>0.66</v>
      </c>
      <c r="BT567">
        <v>63</v>
      </c>
    </row>
    <row r="568" spans="2:74" x14ac:dyDescent="0.2">
      <c r="B568" t="s">
        <v>25</v>
      </c>
      <c r="C568" t="s">
        <v>1301</v>
      </c>
      <c r="D568" t="s">
        <v>51</v>
      </c>
      <c r="F568" s="5" t="s">
        <v>52</v>
      </c>
      <c r="G568" s="6" t="s">
        <v>53</v>
      </c>
      <c r="H568" s="35">
        <v>0.46</v>
      </c>
      <c r="I568" s="35">
        <v>0.17</v>
      </c>
      <c r="J568" s="32">
        <v>0.86</v>
      </c>
      <c r="BT568">
        <v>71</v>
      </c>
    </row>
    <row r="569" spans="2:74" x14ac:dyDescent="0.2">
      <c r="B569" t="s">
        <v>25</v>
      </c>
      <c r="C569" t="s">
        <v>1301</v>
      </c>
      <c r="D569" t="s">
        <v>752</v>
      </c>
      <c r="F569" s="5" t="s">
        <v>58</v>
      </c>
      <c r="G569" s="6" t="s">
        <v>151</v>
      </c>
      <c r="H569" s="35">
        <v>0.56999999999999995</v>
      </c>
      <c r="I569" s="35">
        <v>0.2</v>
      </c>
      <c r="J569" s="32">
        <v>0.4</v>
      </c>
      <c r="BT569">
        <v>185</v>
      </c>
    </row>
    <row r="570" spans="2:74" x14ac:dyDescent="0.2">
      <c r="B570" t="s">
        <v>25</v>
      </c>
      <c r="C570" t="s">
        <v>1301</v>
      </c>
      <c r="D570" t="s">
        <v>262</v>
      </c>
      <c r="F570" s="5" t="s">
        <v>42</v>
      </c>
      <c r="G570" s="6" t="s">
        <v>238</v>
      </c>
      <c r="H570" s="35">
        <v>0.3</v>
      </c>
      <c r="I570" s="35">
        <v>0.02</v>
      </c>
      <c r="J570" s="32">
        <v>0.94</v>
      </c>
      <c r="BT570">
        <v>57</v>
      </c>
    </row>
    <row r="571" spans="2:74" x14ac:dyDescent="0.2">
      <c r="B571" t="s">
        <v>25</v>
      </c>
      <c r="C571" t="s">
        <v>1301</v>
      </c>
      <c r="D571" t="s">
        <v>265</v>
      </c>
      <c r="F571" s="5" t="s">
        <v>15</v>
      </c>
      <c r="G571" s="6" t="s">
        <v>16</v>
      </c>
      <c r="H571" s="35">
        <v>0.47</v>
      </c>
      <c r="I571" s="35">
        <v>0.02</v>
      </c>
      <c r="J571" s="32">
        <v>1</v>
      </c>
      <c r="BT571">
        <v>192</v>
      </c>
    </row>
    <row r="572" spans="2:74" x14ac:dyDescent="0.2">
      <c r="B572" t="s">
        <v>25</v>
      </c>
      <c r="C572" t="s">
        <v>1301</v>
      </c>
      <c r="D572" t="s">
        <v>266</v>
      </c>
      <c r="F572" s="5" t="s">
        <v>15</v>
      </c>
      <c r="G572" s="6" t="s">
        <v>16</v>
      </c>
      <c r="H572" s="35">
        <v>0.47</v>
      </c>
      <c r="I572" s="35">
        <v>0.02</v>
      </c>
      <c r="J572" s="32">
        <v>1</v>
      </c>
      <c r="BT572">
        <v>99</v>
      </c>
    </row>
    <row r="573" spans="2:74" x14ac:dyDescent="0.2">
      <c r="B573" t="s">
        <v>25</v>
      </c>
      <c r="C573" t="s">
        <v>1301</v>
      </c>
      <c r="D573" s="41" t="s">
        <v>874</v>
      </c>
      <c r="F573" s="5" t="s">
        <v>15</v>
      </c>
      <c r="G573" s="6" t="s">
        <v>387</v>
      </c>
      <c r="H573" s="35">
        <v>0.95</v>
      </c>
      <c r="I573" s="35">
        <v>0.06</v>
      </c>
      <c r="J573" s="32">
        <v>0.81</v>
      </c>
      <c r="BT573">
        <v>392</v>
      </c>
    </row>
    <row r="574" spans="2:74" x14ac:dyDescent="0.2">
      <c r="B574" t="s">
        <v>25</v>
      </c>
      <c r="C574" t="s">
        <v>1301</v>
      </c>
      <c r="D574" t="s">
        <v>626</v>
      </c>
      <c r="F574" s="5" t="s">
        <v>42</v>
      </c>
      <c r="G574" s="6" t="s">
        <v>238</v>
      </c>
      <c r="H574" s="35">
        <v>0.3</v>
      </c>
      <c r="I574" s="35">
        <v>0.02</v>
      </c>
      <c r="J574" s="32">
        <v>0.94</v>
      </c>
      <c r="K574" t="s">
        <v>833</v>
      </c>
      <c r="L574" t="s">
        <v>963</v>
      </c>
      <c r="N574" t="s">
        <v>834</v>
      </c>
      <c r="O574" t="s">
        <v>965</v>
      </c>
      <c r="P574" t="s">
        <v>965</v>
      </c>
      <c r="Q574" t="s">
        <v>965</v>
      </c>
      <c r="R574" t="s">
        <v>965</v>
      </c>
      <c r="S574" t="s">
        <v>965</v>
      </c>
      <c r="T574" t="s">
        <v>965</v>
      </c>
      <c r="U574" t="s">
        <v>833</v>
      </c>
      <c r="V574" t="s">
        <v>965</v>
      </c>
      <c r="W574" t="s">
        <v>965</v>
      </c>
      <c r="X574" t="s">
        <v>965</v>
      </c>
      <c r="Y574" t="s">
        <v>965</v>
      </c>
      <c r="Z574" t="s">
        <v>965</v>
      </c>
      <c r="AA574" t="s">
        <v>965</v>
      </c>
      <c r="AB574" t="s">
        <v>965</v>
      </c>
      <c r="AC574" t="s">
        <v>965</v>
      </c>
      <c r="AD574" t="s">
        <v>965</v>
      </c>
      <c r="AE574" t="s">
        <v>965</v>
      </c>
      <c r="AF574" t="s">
        <v>965</v>
      </c>
      <c r="AG574" t="s">
        <v>965</v>
      </c>
      <c r="AH574" t="s">
        <v>965</v>
      </c>
      <c r="AI574" t="s">
        <v>965</v>
      </c>
      <c r="AJ574" t="s">
        <v>965</v>
      </c>
      <c r="AK574" t="s">
        <v>965</v>
      </c>
      <c r="AL574" t="s">
        <v>965</v>
      </c>
      <c r="AM574" t="s">
        <v>965</v>
      </c>
      <c r="AN574" t="s">
        <v>965</v>
      </c>
      <c r="AO574" t="s">
        <v>965</v>
      </c>
      <c r="AP574" t="s">
        <v>965</v>
      </c>
      <c r="AQ574" t="s">
        <v>965</v>
      </c>
      <c r="AR574" t="s">
        <v>965</v>
      </c>
      <c r="AS574" t="s">
        <v>965</v>
      </c>
      <c r="AT574" t="s">
        <v>965</v>
      </c>
      <c r="AU574" t="s">
        <v>965</v>
      </c>
      <c r="AV574" t="s">
        <v>965</v>
      </c>
      <c r="AW574" t="s">
        <v>965</v>
      </c>
      <c r="AX574" t="s">
        <v>965</v>
      </c>
      <c r="AY574" t="s">
        <v>965</v>
      </c>
      <c r="AZ574" t="s">
        <v>965</v>
      </c>
      <c r="BA574" t="s">
        <v>965</v>
      </c>
      <c r="BB574" t="s">
        <v>965</v>
      </c>
      <c r="BC574" t="s">
        <v>965</v>
      </c>
      <c r="BD574" t="s">
        <v>965</v>
      </c>
      <c r="BE574" t="s">
        <v>835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17</v>
      </c>
      <c r="BL574">
        <v>0</v>
      </c>
      <c r="BM574">
        <v>0</v>
      </c>
      <c r="BN574">
        <v>17</v>
      </c>
      <c r="BO574">
        <v>0</v>
      </c>
      <c r="BP574">
        <v>0</v>
      </c>
      <c r="BQ574">
        <v>17</v>
      </c>
      <c r="BR574">
        <v>0</v>
      </c>
      <c r="BS574">
        <v>0</v>
      </c>
      <c r="BT574">
        <v>199</v>
      </c>
      <c r="BU574">
        <v>18</v>
      </c>
      <c r="BV574" s="36">
        <f>BU574/BT574</f>
        <v>9.0452261306532666E-2</v>
      </c>
    </row>
    <row r="575" spans="2:74" x14ac:dyDescent="0.2">
      <c r="B575" t="s">
        <v>25</v>
      </c>
      <c r="C575" t="s">
        <v>1301</v>
      </c>
      <c r="D575" t="s">
        <v>632</v>
      </c>
      <c r="F575" s="5" t="s">
        <v>15</v>
      </c>
      <c r="G575" s="6" t="s">
        <v>118</v>
      </c>
      <c r="H575" s="35">
        <v>0.8</v>
      </c>
      <c r="I575" s="35">
        <v>0.08</v>
      </c>
      <c r="J575" s="32">
        <v>0.74</v>
      </c>
      <c r="BT575">
        <v>90</v>
      </c>
    </row>
    <row r="576" spans="2:74" x14ac:dyDescent="0.2">
      <c r="B576" t="s">
        <v>25</v>
      </c>
      <c r="C576" t="s">
        <v>1301</v>
      </c>
      <c r="D576" t="s">
        <v>446</v>
      </c>
      <c r="F576" s="5" t="s">
        <v>45</v>
      </c>
      <c r="G576" s="6" t="s">
        <v>447</v>
      </c>
      <c r="H576" s="35">
        <v>0.48</v>
      </c>
      <c r="I576" s="35">
        <v>0.37</v>
      </c>
      <c r="J576" s="32">
        <v>0.66</v>
      </c>
      <c r="BT576">
        <v>20</v>
      </c>
    </row>
    <row r="577" spans="2:74" x14ac:dyDescent="0.2">
      <c r="B577" t="s">
        <v>25</v>
      </c>
      <c r="C577" t="s">
        <v>1301</v>
      </c>
      <c r="D577" t="s">
        <v>364</v>
      </c>
      <c r="F577" s="5" t="s">
        <v>95</v>
      </c>
      <c r="G577" s="6" t="s">
        <v>365</v>
      </c>
      <c r="H577" s="35">
        <v>0.45</v>
      </c>
      <c r="I577" s="35">
        <v>0.15</v>
      </c>
      <c r="J577" s="32">
        <v>0.64</v>
      </c>
      <c r="BT577">
        <v>332</v>
      </c>
    </row>
    <row r="578" spans="2:74" x14ac:dyDescent="0.2">
      <c r="B578" t="s">
        <v>25</v>
      </c>
      <c r="C578" t="s">
        <v>1301</v>
      </c>
      <c r="D578" t="s">
        <v>856</v>
      </c>
      <c r="F578" s="5" t="s">
        <v>58</v>
      </c>
      <c r="G578" s="6" t="s">
        <v>160</v>
      </c>
      <c r="H578" s="35">
        <v>1</v>
      </c>
      <c r="I578" s="35">
        <v>0.21</v>
      </c>
      <c r="J578" s="32">
        <v>0.93</v>
      </c>
      <c r="BT578">
        <v>108</v>
      </c>
    </row>
    <row r="579" spans="2:74" x14ac:dyDescent="0.2">
      <c r="B579" t="s">
        <v>25</v>
      </c>
      <c r="C579" t="s">
        <v>1301</v>
      </c>
      <c r="D579" t="s">
        <v>732</v>
      </c>
      <c r="F579" s="5" t="s">
        <v>610</v>
      </c>
      <c r="G579" s="6" t="s">
        <v>611</v>
      </c>
      <c r="H579" s="35">
        <v>0.25</v>
      </c>
      <c r="I579" s="35">
        <v>0.66</v>
      </c>
      <c r="J579" s="32">
        <v>0.49</v>
      </c>
      <c r="K579" t="s">
        <v>833</v>
      </c>
      <c r="L579" t="s">
        <v>963</v>
      </c>
      <c r="N579" t="s">
        <v>834</v>
      </c>
      <c r="O579" t="s">
        <v>965</v>
      </c>
      <c r="P579" t="s">
        <v>965</v>
      </c>
      <c r="Q579" t="s">
        <v>965</v>
      </c>
      <c r="R579" t="s">
        <v>965</v>
      </c>
      <c r="S579" t="s">
        <v>965</v>
      </c>
      <c r="T579" t="s">
        <v>965</v>
      </c>
      <c r="U579" t="s">
        <v>965</v>
      </c>
      <c r="V579" t="s">
        <v>965</v>
      </c>
      <c r="W579" t="s">
        <v>965</v>
      </c>
      <c r="X579" t="s">
        <v>965</v>
      </c>
      <c r="Y579" t="s">
        <v>965</v>
      </c>
      <c r="Z579" t="s">
        <v>965</v>
      </c>
      <c r="AA579" t="s">
        <v>965</v>
      </c>
      <c r="AB579" t="s">
        <v>965</v>
      </c>
      <c r="AC579" t="s">
        <v>965</v>
      </c>
      <c r="AD579" t="s">
        <v>965</v>
      </c>
      <c r="AE579" t="s">
        <v>965</v>
      </c>
      <c r="AF579" t="s">
        <v>965</v>
      </c>
      <c r="AG579" t="s">
        <v>965</v>
      </c>
      <c r="AH579" t="s">
        <v>965</v>
      </c>
      <c r="AI579" t="s">
        <v>965</v>
      </c>
      <c r="AJ579" t="s">
        <v>965</v>
      </c>
      <c r="AK579" t="s">
        <v>965</v>
      </c>
      <c r="AL579" t="s">
        <v>965</v>
      </c>
      <c r="AM579" t="s">
        <v>965</v>
      </c>
      <c r="AN579" t="s">
        <v>965</v>
      </c>
      <c r="AO579" t="s">
        <v>965</v>
      </c>
      <c r="AP579" t="s">
        <v>965</v>
      </c>
      <c r="AQ579" t="s">
        <v>965</v>
      </c>
      <c r="AR579" t="s">
        <v>965</v>
      </c>
      <c r="AS579" t="s">
        <v>965</v>
      </c>
      <c r="AT579" t="s">
        <v>965</v>
      </c>
      <c r="AU579" t="s">
        <v>965</v>
      </c>
      <c r="AV579" t="s">
        <v>965</v>
      </c>
      <c r="AW579" t="s">
        <v>965</v>
      </c>
      <c r="AX579" t="s">
        <v>965</v>
      </c>
      <c r="AY579" t="s">
        <v>965</v>
      </c>
      <c r="AZ579" t="s">
        <v>965</v>
      </c>
      <c r="BA579" t="s">
        <v>965</v>
      </c>
      <c r="BB579" t="s">
        <v>965</v>
      </c>
      <c r="BC579" t="s">
        <v>833</v>
      </c>
      <c r="BD579" t="s">
        <v>965</v>
      </c>
      <c r="BE579" t="s">
        <v>835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2</v>
      </c>
      <c r="BR579">
        <v>0</v>
      </c>
      <c r="BS579">
        <v>0</v>
      </c>
      <c r="BT579">
        <v>66</v>
      </c>
      <c r="BU579">
        <v>2</v>
      </c>
      <c r="BV579" s="36">
        <f>BU579/BT579</f>
        <v>3.0303030303030304E-2</v>
      </c>
    </row>
    <row r="580" spans="2:74" x14ac:dyDescent="0.2">
      <c r="B580" t="s">
        <v>25</v>
      </c>
      <c r="C580" t="s">
        <v>1301</v>
      </c>
      <c r="D580" t="s">
        <v>746</v>
      </c>
      <c r="F580" s="5" t="s">
        <v>90</v>
      </c>
      <c r="G580" s="6" t="s">
        <v>747</v>
      </c>
      <c r="H580" s="35">
        <v>0.94</v>
      </c>
      <c r="I580" s="35">
        <v>0.41</v>
      </c>
      <c r="J580" s="32">
        <v>0.09</v>
      </c>
      <c r="BT580">
        <v>120</v>
      </c>
    </row>
    <row r="581" spans="2:74" x14ac:dyDescent="0.2">
      <c r="B581" t="s">
        <v>25</v>
      </c>
      <c r="C581" t="s">
        <v>1301</v>
      </c>
      <c r="D581" t="s">
        <v>460</v>
      </c>
      <c r="F581" s="5" t="s">
        <v>15</v>
      </c>
      <c r="G581" s="6" t="s">
        <v>50</v>
      </c>
      <c r="H581" s="35">
        <v>0.77</v>
      </c>
      <c r="I581" s="35">
        <v>0.21</v>
      </c>
      <c r="J581" s="32">
        <v>0.98</v>
      </c>
      <c r="BT581">
        <v>33</v>
      </c>
    </row>
    <row r="582" spans="2:74" x14ac:dyDescent="0.2">
      <c r="B582" t="s">
        <v>25</v>
      </c>
      <c r="C582" t="s">
        <v>1301</v>
      </c>
      <c r="D582" t="s">
        <v>1304</v>
      </c>
      <c r="F582" s="5" t="s">
        <v>183</v>
      </c>
      <c r="G582" s="6" t="s">
        <v>278</v>
      </c>
      <c r="H582" s="35">
        <v>0.77</v>
      </c>
      <c r="I582" s="35">
        <v>0</v>
      </c>
      <c r="J582" s="32">
        <v>0.98</v>
      </c>
      <c r="BT582">
        <v>21</v>
      </c>
    </row>
    <row r="583" spans="2:74" x14ac:dyDescent="0.2">
      <c r="B583" t="s">
        <v>25</v>
      </c>
      <c r="C583" t="s">
        <v>1301</v>
      </c>
      <c r="D583" t="s">
        <v>470</v>
      </c>
      <c r="F583" s="5" t="s">
        <v>15</v>
      </c>
      <c r="G583" s="6" t="s">
        <v>471</v>
      </c>
      <c r="H583" s="35">
        <v>0.94</v>
      </c>
      <c r="I583" s="35">
        <v>0.05</v>
      </c>
      <c r="J583" s="32">
        <v>0.99</v>
      </c>
      <c r="BT583">
        <v>22</v>
      </c>
    </row>
    <row r="584" spans="2:74" x14ac:dyDescent="0.2">
      <c r="B584" t="s">
        <v>25</v>
      </c>
      <c r="C584" t="s">
        <v>1301</v>
      </c>
      <c r="D584" t="s">
        <v>319</v>
      </c>
      <c r="F584" s="5" t="s">
        <v>183</v>
      </c>
      <c r="G584" s="6" t="s">
        <v>278</v>
      </c>
      <c r="H584" s="35">
        <v>0.77</v>
      </c>
      <c r="I584" s="35">
        <v>0</v>
      </c>
      <c r="J584" s="32">
        <v>0.98</v>
      </c>
      <c r="BT584">
        <v>75</v>
      </c>
    </row>
    <row r="585" spans="2:74" x14ac:dyDescent="0.2">
      <c r="B585" t="s">
        <v>25</v>
      </c>
      <c r="C585" t="s">
        <v>1301</v>
      </c>
      <c r="D585" t="s">
        <v>350</v>
      </c>
      <c r="F585" s="5" t="s">
        <v>136</v>
      </c>
      <c r="G585" s="6" t="s">
        <v>351</v>
      </c>
      <c r="H585" s="35">
        <v>0.33</v>
      </c>
      <c r="I585" s="35">
        <v>0.44</v>
      </c>
      <c r="J585" s="32">
        <v>0.99</v>
      </c>
      <c r="BT585">
        <v>53</v>
      </c>
    </row>
    <row r="586" spans="2:74" x14ac:dyDescent="0.2">
      <c r="B586" t="s">
        <v>25</v>
      </c>
      <c r="C586" t="s">
        <v>1301</v>
      </c>
      <c r="D586" t="s">
        <v>865</v>
      </c>
      <c r="F586" s="5" t="s">
        <v>169</v>
      </c>
      <c r="G586" s="6" t="s">
        <v>170</v>
      </c>
      <c r="H586" s="35">
        <v>0.69</v>
      </c>
      <c r="I586" s="35">
        <v>0.08</v>
      </c>
      <c r="J586" s="32">
        <v>1</v>
      </c>
      <c r="K586" t="s">
        <v>833</v>
      </c>
      <c r="L586" t="s">
        <v>963</v>
      </c>
      <c r="N586" t="s">
        <v>834</v>
      </c>
      <c r="O586" t="s">
        <v>965</v>
      </c>
      <c r="P586" t="s">
        <v>965</v>
      </c>
      <c r="Q586" t="s">
        <v>965</v>
      </c>
      <c r="R586" t="s">
        <v>965</v>
      </c>
      <c r="S586" t="s">
        <v>965</v>
      </c>
      <c r="T586" t="s">
        <v>965</v>
      </c>
      <c r="U586" t="s">
        <v>965</v>
      </c>
      <c r="V586" t="s">
        <v>965</v>
      </c>
      <c r="W586" t="s">
        <v>965</v>
      </c>
      <c r="X586" t="s">
        <v>965</v>
      </c>
      <c r="Y586" t="s">
        <v>965</v>
      </c>
      <c r="Z586" t="s">
        <v>965</v>
      </c>
      <c r="AA586" t="s">
        <v>965</v>
      </c>
      <c r="AB586" t="s">
        <v>965</v>
      </c>
      <c r="AC586" t="s">
        <v>965</v>
      </c>
      <c r="AD586" t="s">
        <v>965</v>
      </c>
      <c r="AE586" t="s">
        <v>965</v>
      </c>
      <c r="AF586" t="s">
        <v>965</v>
      </c>
      <c r="AG586" t="s">
        <v>965</v>
      </c>
      <c r="AH586" t="s">
        <v>965</v>
      </c>
      <c r="AI586" t="s">
        <v>965</v>
      </c>
      <c r="AJ586" t="s">
        <v>965</v>
      </c>
      <c r="AK586" t="s">
        <v>965</v>
      </c>
      <c r="AL586" t="s">
        <v>965</v>
      </c>
      <c r="AM586" t="s">
        <v>965</v>
      </c>
      <c r="AN586" t="s">
        <v>965</v>
      </c>
      <c r="AO586" t="s">
        <v>965</v>
      </c>
      <c r="AP586" t="s">
        <v>965</v>
      </c>
      <c r="AQ586" t="s">
        <v>965</v>
      </c>
      <c r="AR586" t="s">
        <v>965</v>
      </c>
      <c r="AS586" t="s">
        <v>965</v>
      </c>
      <c r="AT586" t="s">
        <v>965</v>
      </c>
      <c r="AU586" t="s">
        <v>965</v>
      </c>
      <c r="AV586" t="s">
        <v>965</v>
      </c>
      <c r="AW586" t="s">
        <v>965</v>
      </c>
      <c r="AX586" t="s">
        <v>965</v>
      </c>
      <c r="AY586" t="s">
        <v>833</v>
      </c>
      <c r="AZ586" t="s">
        <v>965</v>
      </c>
      <c r="BA586" t="s">
        <v>965</v>
      </c>
      <c r="BB586" t="s">
        <v>965</v>
      </c>
      <c r="BC586" t="s">
        <v>833</v>
      </c>
      <c r="BD586" t="s">
        <v>965</v>
      </c>
      <c r="BE586" t="s">
        <v>835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8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8</v>
      </c>
      <c r="BR586">
        <v>0</v>
      </c>
      <c r="BS586">
        <v>0</v>
      </c>
      <c r="BT586">
        <v>29</v>
      </c>
      <c r="BU586">
        <v>7</v>
      </c>
      <c r="BV586" s="36">
        <f>BU586/BT586</f>
        <v>0.2413793103448276</v>
      </c>
    </row>
    <row r="587" spans="2:74" x14ac:dyDescent="0.2">
      <c r="B587" t="s">
        <v>25</v>
      </c>
      <c r="C587" t="s">
        <v>1301</v>
      </c>
      <c r="D587" t="s">
        <v>337</v>
      </c>
      <c r="F587" s="5" t="s">
        <v>15</v>
      </c>
      <c r="G587" s="6" t="s">
        <v>292</v>
      </c>
      <c r="H587" s="35">
        <v>0.45</v>
      </c>
      <c r="I587" s="35">
        <v>0.18</v>
      </c>
      <c r="J587" s="32">
        <v>0.79</v>
      </c>
      <c r="BT587">
        <v>80</v>
      </c>
    </row>
    <row r="588" spans="2:74" x14ac:dyDescent="0.2">
      <c r="B588" t="s">
        <v>25</v>
      </c>
      <c r="C588" t="s">
        <v>1301</v>
      </c>
      <c r="D588" t="s">
        <v>647</v>
      </c>
      <c r="F588" s="5" t="s">
        <v>15</v>
      </c>
      <c r="G588" s="6" t="s">
        <v>160</v>
      </c>
      <c r="H588" s="35">
        <v>1</v>
      </c>
      <c r="I588" s="35">
        <v>0.21</v>
      </c>
      <c r="J588" s="32">
        <v>0.93</v>
      </c>
      <c r="BT588">
        <v>132</v>
      </c>
    </row>
    <row r="589" spans="2:74" x14ac:dyDescent="0.2">
      <c r="B589" t="s">
        <v>25</v>
      </c>
      <c r="C589" t="s">
        <v>1301</v>
      </c>
      <c r="D589" t="s">
        <v>661</v>
      </c>
      <c r="F589" s="5" t="s">
        <v>95</v>
      </c>
      <c r="G589" s="6" t="s">
        <v>662</v>
      </c>
      <c r="H589" s="35">
        <v>0.31</v>
      </c>
      <c r="I589" s="35">
        <v>0.49</v>
      </c>
      <c r="J589" s="32">
        <v>0.44</v>
      </c>
      <c r="BT589">
        <v>19</v>
      </c>
    </row>
    <row r="590" spans="2:74" x14ac:dyDescent="0.2">
      <c r="B590" t="s">
        <v>25</v>
      </c>
      <c r="C590" t="s">
        <v>1301</v>
      </c>
      <c r="D590" t="s">
        <v>668</v>
      </c>
      <c r="F590" s="5" t="s">
        <v>23</v>
      </c>
      <c r="G590" s="6" t="s">
        <v>325</v>
      </c>
      <c r="H590" s="35">
        <v>0.77</v>
      </c>
      <c r="I590" s="35">
        <v>0.32</v>
      </c>
      <c r="J590" s="32">
        <v>0.77</v>
      </c>
      <c r="BT590">
        <v>80</v>
      </c>
    </row>
    <row r="591" spans="2:74" x14ac:dyDescent="0.2">
      <c r="B591" t="s">
        <v>25</v>
      </c>
      <c r="C591" t="s">
        <v>1301</v>
      </c>
      <c r="D591" t="s">
        <v>669</v>
      </c>
      <c r="F591" s="5" t="s">
        <v>90</v>
      </c>
      <c r="G591" s="6" t="s">
        <v>91</v>
      </c>
      <c r="H591" s="35">
        <v>0.26</v>
      </c>
      <c r="I591" s="35">
        <v>0.9</v>
      </c>
      <c r="J591" s="32">
        <v>0.14000000000000001</v>
      </c>
      <c r="BT591">
        <v>123</v>
      </c>
    </row>
    <row r="592" spans="2:74" x14ac:dyDescent="0.2">
      <c r="B592" t="s">
        <v>25</v>
      </c>
      <c r="C592" t="s">
        <v>1301</v>
      </c>
      <c r="D592" t="s">
        <v>670</v>
      </c>
      <c r="F592" s="5" t="s">
        <v>90</v>
      </c>
      <c r="G592" s="6" t="s">
        <v>91</v>
      </c>
      <c r="H592" s="35">
        <v>0.26</v>
      </c>
      <c r="I592" s="35">
        <v>0.9</v>
      </c>
      <c r="J592" s="32">
        <v>0.14000000000000001</v>
      </c>
      <c r="BT592">
        <v>61</v>
      </c>
    </row>
    <row r="593" spans="2:74" x14ac:dyDescent="0.2">
      <c r="B593" t="s">
        <v>25</v>
      </c>
      <c r="C593" t="s">
        <v>1301</v>
      </c>
      <c r="D593" t="s">
        <v>367</v>
      </c>
      <c r="F593" s="5" t="s">
        <v>145</v>
      </c>
      <c r="G593" s="6" t="s">
        <v>368</v>
      </c>
      <c r="H593" s="35">
        <v>0.99</v>
      </c>
      <c r="I593" s="35">
        <v>0.43</v>
      </c>
      <c r="J593" s="32">
        <v>0.36</v>
      </c>
      <c r="BT593">
        <v>154</v>
      </c>
    </row>
    <row r="594" spans="2:74" x14ac:dyDescent="0.2">
      <c r="B594" t="s">
        <v>25</v>
      </c>
      <c r="C594" t="s">
        <v>1301</v>
      </c>
      <c r="D594" t="s">
        <v>359</v>
      </c>
      <c r="F594" s="5" t="s">
        <v>148</v>
      </c>
      <c r="G594" s="6" t="s">
        <v>149</v>
      </c>
      <c r="H594" s="35">
        <v>0.56999999999999995</v>
      </c>
      <c r="I594" s="35">
        <v>0.4</v>
      </c>
      <c r="J594" s="32">
        <v>0.65</v>
      </c>
      <c r="BT594">
        <v>26</v>
      </c>
    </row>
    <row r="595" spans="2:74" x14ac:dyDescent="0.2">
      <c r="B595" t="s">
        <v>25</v>
      </c>
      <c r="C595" t="s">
        <v>1301</v>
      </c>
      <c r="D595" t="s">
        <v>764</v>
      </c>
      <c r="F595" s="5" t="s">
        <v>183</v>
      </c>
      <c r="G595" s="6" t="s">
        <v>278</v>
      </c>
      <c r="H595" s="35">
        <v>0.77</v>
      </c>
      <c r="I595" s="35">
        <v>0</v>
      </c>
      <c r="J595" s="32">
        <v>0.98</v>
      </c>
      <c r="BT595">
        <v>91</v>
      </c>
    </row>
    <row r="596" spans="2:74" x14ac:dyDescent="0.2">
      <c r="B596" t="s">
        <v>25</v>
      </c>
      <c r="C596" t="s">
        <v>1301</v>
      </c>
      <c r="D596" t="s">
        <v>199</v>
      </c>
      <c r="F596" s="5" t="s">
        <v>45</v>
      </c>
      <c r="G596" s="6" t="s">
        <v>200</v>
      </c>
      <c r="H596" s="35">
        <v>0.19</v>
      </c>
      <c r="I596" s="35">
        <v>0.9</v>
      </c>
      <c r="J596" s="32">
        <v>0.31</v>
      </c>
      <c r="BT596">
        <v>87</v>
      </c>
    </row>
    <row r="597" spans="2:74" x14ac:dyDescent="0.2">
      <c r="B597" t="s">
        <v>25</v>
      </c>
      <c r="C597" t="s">
        <v>1301</v>
      </c>
      <c r="D597" t="s">
        <v>360</v>
      </c>
      <c r="F597" s="5" t="s">
        <v>273</v>
      </c>
      <c r="G597" s="6" t="s">
        <v>361</v>
      </c>
      <c r="H597" s="35">
        <v>0.71</v>
      </c>
      <c r="I597" s="35">
        <v>0.71</v>
      </c>
      <c r="J597" s="32">
        <v>0.28000000000000003</v>
      </c>
      <c r="BT597">
        <v>119</v>
      </c>
    </row>
    <row r="598" spans="2:74" x14ac:dyDescent="0.2">
      <c r="B598" t="s">
        <v>25</v>
      </c>
      <c r="C598" t="s">
        <v>1301</v>
      </c>
      <c r="D598" t="s">
        <v>331</v>
      </c>
      <c r="F598" s="5" t="s">
        <v>45</v>
      </c>
      <c r="G598" s="6" t="s">
        <v>128</v>
      </c>
      <c r="H598" s="35">
        <v>0.25</v>
      </c>
      <c r="I598" s="35">
        <v>0.6</v>
      </c>
      <c r="J598" s="32">
        <v>0.55000000000000004</v>
      </c>
      <c r="BT598">
        <v>106</v>
      </c>
    </row>
    <row r="599" spans="2:74" x14ac:dyDescent="0.2">
      <c r="B599" t="s">
        <v>25</v>
      </c>
      <c r="C599" t="s">
        <v>1301</v>
      </c>
      <c r="D599" t="s">
        <v>541</v>
      </c>
      <c r="F599" s="5" t="s">
        <v>225</v>
      </c>
      <c r="G599" s="6" t="s">
        <v>542</v>
      </c>
      <c r="H599" s="35">
        <v>0.3</v>
      </c>
      <c r="I599" s="35">
        <v>0.69</v>
      </c>
      <c r="J599" s="32">
        <v>0.32</v>
      </c>
      <c r="BT599">
        <v>100</v>
      </c>
    </row>
    <row r="600" spans="2:74" x14ac:dyDescent="0.2">
      <c r="B600" t="s">
        <v>25</v>
      </c>
      <c r="C600" t="s">
        <v>1301</v>
      </c>
      <c r="D600" t="s">
        <v>1305</v>
      </c>
      <c r="F600" s="5" t="s">
        <v>55</v>
      </c>
      <c r="G600" s="6" t="s">
        <v>56</v>
      </c>
      <c r="H600" s="35">
        <v>0.82</v>
      </c>
      <c r="I600" s="35">
        <v>0.35</v>
      </c>
      <c r="J600" s="32">
        <v>0.12</v>
      </c>
      <c r="BT600">
        <v>168</v>
      </c>
    </row>
    <row r="601" spans="2:74" x14ac:dyDescent="0.2">
      <c r="B601" t="s">
        <v>25</v>
      </c>
      <c r="C601" t="s">
        <v>1301</v>
      </c>
      <c r="D601" t="s">
        <v>775</v>
      </c>
      <c r="F601" s="5" t="s">
        <v>183</v>
      </c>
      <c r="G601" s="6" t="s">
        <v>599</v>
      </c>
      <c r="H601" s="35">
        <v>0.53</v>
      </c>
      <c r="I601" s="35">
        <v>0.05</v>
      </c>
      <c r="J601" s="32">
        <v>0.91</v>
      </c>
      <c r="BT601">
        <v>85</v>
      </c>
    </row>
    <row r="602" spans="2:74" x14ac:dyDescent="0.2">
      <c r="B602" t="s">
        <v>25</v>
      </c>
      <c r="C602" t="s">
        <v>1301</v>
      </c>
      <c r="D602" t="s">
        <v>584</v>
      </c>
      <c r="F602" s="5" t="s">
        <v>582</v>
      </c>
      <c r="G602" s="6" t="s">
        <v>583</v>
      </c>
      <c r="H602" s="35">
        <v>0.81</v>
      </c>
      <c r="I602" s="35">
        <v>0.12</v>
      </c>
      <c r="J602" s="32">
        <v>0.66</v>
      </c>
      <c r="BT602">
        <v>50</v>
      </c>
    </row>
    <row r="603" spans="2:74" x14ac:dyDescent="0.2">
      <c r="B603" t="s">
        <v>25</v>
      </c>
      <c r="C603" t="s">
        <v>1301</v>
      </c>
      <c r="D603" t="s">
        <v>787</v>
      </c>
      <c r="F603" s="5" t="s">
        <v>225</v>
      </c>
      <c r="G603" s="6" t="s">
        <v>226</v>
      </c>
      <c r="H603" s="35">
        <v>0.44</v>
      </c>
      <c r="I603" s="35">
        <v>0.8</v>
      </c>
      <c r="J603" s="32">
        <v>0.31</v>
      </c>
      <c r="K603" t="s">
        <v>833</v>
      </c>
      <c r="L603" t="s">
        <v>963</v>
      </c>
      <c r="N603" t="s">
        <v>834</v>
      </c>
      <c r="O603" t="s">
        <v>965</v>
      </c>
      <c r="P603" t="s">
        <v>965</v>
      </c>
      <c r="Q603" t="s">
        <v>965</v>
      </c>
      <c r="R603" t="s">
        <v>965</v>
      </c>
      <c r="S603" t="s">
        <v>965</v>
      </c>
      <c r="T603" t="s">
        <v>965</v>
      </c>
      <c r="U603" t="s">
        <v>965</v>
      </c>
      <c r="V603" t="s">
        <v>965</v>
      </c>
      <c r="W603" t="s">
        <v>965</v>
      </c>
      <c r="X603" t="s">
        <v>965</v>
      </c>
      <c r="Y603" t="s">
        <v>965</v>
      </c>
      <c r="Z603" t="s">
        <v>965</v>
      </c>
      <c r="AA603" t="s">
        <v>965</v>
      </c>
      <c r="AB603" t="s">
        <v>965</v>
      </c>
      <c r="AC603" t="s">
        <v>965</v>
      </c>
      <c r="AD603" t="s">
        <v>965</v>
      </c>
      <c r="AE603" t="s">
        <v>965</v>
      </c>
      <c r="AF603" t="s">
        <v>965</v>
      </c>
      <c r="AG603" t="s">
        <v>965</v>
      </c>
      <c r="AH603" t="s">
        <v>965</v>
      </c>
      <c r="AI603" t="s">
        <v>965</v>
      </c>
      <c r="AJ603" t="s">
        <v>965</v>
      </c>
      <c r="AK603" t="s">
        <v>965</v>
      </c>
      <c r="AL603" t="s">
        <v>965</v>
      </c>
      <c r="AM603" t="s">
        <v>965</v>
      </c>
      <c r="AN603" t="s">
        <v>965</v>
      </c>
      <c r="AO603" t="s">
        <v>965</v>
      </c>
      <c r="AP603" t="s">
        <v>965</v>
      </c>
      <c r="AQ603" t="s">
        <v>965</v>
      </c>
      <c r="AR603" t="s">
        <v>965</v>
      </c>
      <c r="AS603" t="s">
        <v>965</v>
      </c>
      <c r="AT603" t="s">
        <v>965</v>
      </c>
      <c r="AU603" t="s">
        <v>965</v>
      </c>
      <c r="AV603" t="s">
        <v>965</v>
      </c>
      <c r="AW603" t="s">
        <v>965</v>
      </c>
      <c r="AX603" t="s">
        <v>965</v>
      </c>
      <c r="AY603" t="s">
        <v>965</v>
      </c>
      <c r="AZ603" t="s">
        <v>965</v>
      </c>
      <c r="BA603" t="s">
        <v>965</v>
      </c>
      <c r="BB603" t="s">
        <v>965</v>
      </c>
      <c r="BC603" t="s">
        <v>833</v>
      </c>
      <c r="BD603" t="s">
        <v>965</v>
      </c>
      <c r="BE603" t="s">
        <v>835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2</v>
      </c>
      <c r="BR603">
        <v>0</v>
      </c>
      <c r="BS603">
        <v>0</v>
      </c>
      <c r="BT603">
        <v>43</v>
      </c>
      <c r="BU603">
        <v>2</v>
      </c>
      <c r="BV603" s="36">
        <f>BU603/BT603</f>
        <v>4.6511627906976744E-2</v>
      </c>
    </row>
    <row r="604" spans="2:74" x14ac:dyDescent="0.2">
      <c r="B604" t="s">
        <v>25</v>
      </c>
      <c r="C604" t="s">
        <v>1301</v>
      </c>
      <c r="D604" t="s">
        <v>57</v>
      </c>
      <c r="F604" s="5" t="s">
        <v>58</v>
      </c>
      <c r="G604" s="6" t="s">
        <v>59</v>
      </c>
      <c r="H604" s="35">
        <v>0.44</v>
      </c>
      <c r="I604" s="35">
        <v>0.45</v>
      </c>
      <c r="J604" s="32">
        <v>0.57999999999999996</v>
      </c>
      <c r="BT604">
        <v>148</v>
      </c>
    </row>
    <row r="605" spans="2:74" x14ac:dyDescent="0.2">
      <c r="B605" t="s">
        <v>25</v>
      </c>
      <c r="C605" t="s">
        <v>1301</v>
      </c>
      <c r="D605" t="s">
        <v>41</v>
      </c>
      <c r="F605" s="5" t="s">
        <v>42</v>
      </c>
      <c r="G605" s="6" t="s">
        <v>43</v>
      </c>
      <c r="H605" s="35">
        <v>0.27</v>
      </c>
      <c r="I605" s="35">
        <v>0.17</v>
      </c>
      <c r="J605" s="32">
        <v>0.82</v>
      </c>
      <c r="BT605">
        <v>198</v>
      </c>
    </row>
    <row r="606" spans="2:74" x14ac:dyDescent="0.2">
      <c r="B606" t="s">
        <v>25</v>
      </c>
      <c r="C606" t="s">
        <v>1301</v>
      </c>
      <c r="D606" t="s">
        <v>853</v>
      </c>
      <c r="F606" s="5" t="s">
        <v>55</v>
      </c>
      <c r="G606" s="6" t="s">
        <v>56</v>
      </c>
      <c r="H606" s="35">
        <v>0.82</v>
      </c>
      <c r="I606" s="35">
        <v>0.35</v>
      </c>
      <c r="J606" s="32">
        <v>0.12</v>
      </c>
      <c r="BT606">
        <v>74</v>
      </c>
    </row>
    <row r="607" spans="2:74" x14ac:dyDescent="0.2">
      <c r="B607" t="s">
        <v>25</v>
      </c>
      <c r="C607" t="s">
        <v>1301</v>
      </c>
      <c r="D607" t="s">
        <v>326</v>
      </c>
      <c r="F607" s="5" t="s">
        <v>15</v>
      </c>
      <c r="G607" s="6" t="s">
        <v>16</v>
      </c>
      <c r="H607" s="35">
        <v>0.47</v>
      </c>
      <c r="I607" s="35">
        <v>0.02</v>
      </c>
      <c r="J607" s="32">
        <v>1</v>
      </c>
      <c r="BT607">
        <v>76</v>
      </c>
    </row>
    <row r="608" spans="2:74" x14ac:dyDescent="0.2">
      <c r="B608" t="s">
        <v>25</v>
      </c>
      <c r="C608" t="s">
        <v>1301</v>
      </c>
      <c r="D608" t="s">
        <v>324</v>
      </c>
      <c r="F608" s="5" t="s">
        <v>23</v>
      </c>
      <c r="G608" s="6" t="s">
        <v>325</v>
      </c>
      <c r="H608" s="35">
        <v>0.77</v>
      </c>
      <c r="I608" s="35">
        <v>0.32</v>
      </c>
      <c r="J608" s="32">
        <v>0.77</v>
      </c>
      <c r="BT608">
        <v>84</v>
      </c>
    </row>
    <row r="609" spans="2:74" x14ac:dyDescent="0.2">
      <c r="B609" t="s">
        <v>25</v>
      </c>
      <c r="C609" t="s">
        <v>1301</v>
      </c>
      <c r="D609" t="s">
        <v>340</v>
      </c>
      <c r="F609" s="5" t="s">
        <v>15</v>
      </c>
      <c r="G609" s="6" t="s">
        <v>16</v>
      </c>
      <c r="H609" s="35">
        <v>0.47</v>
      </c>
      <c r="I609" s="35">
        <v>0.02</v>
      </c>
      <c r="J609" s="32">
        <v>1</v>
      </c>
      <c r="BT609">
        <v>36</v>
      </c>
    </row>
    <row r="610" spans="2:74" x14ac:dyDescent="0.2">
      <c r="B610" t="s">
        <v>25</v>
      </c>
      <c r="C610" t="s">
        <v>1301</v>
      </c>
      <c r="D610" t="s">
        <v>600</v>
      </c>
      <c r="F610" s="5" t="s">
        <v>42</v>
      </c>
      <c r="G610" s="6" t="s">
        <v>601</v>
      </c>
      <c r="H610" s="35">
        <v>0.59</v>
      </c>
      <c r="I610" s="35">
        <v>0.04</v>
      </c>
      <c r="J610" s="32">
        <v>1</v>
      </c>
      <c r="BT610">
        <v>48</v>
      </c>
    </row>
    <row r="611" spans="2:74" x14ac:dyDescent="0.2">
      <c r="B611" t="s">
        <v>25</v>
      </c>
      <c r="C611" t="s">
        <v>1301</v>
      </c>
      <c r="D611" t="s">
        <v>889</v>
      </c>
      <c r="F611" s="5" t="s">
        <v>20</v>
      </c>
      <c r="G611" s="6" t="s">
        <v>1125</v>
      </c>
      <c r="H611" s="35">
        <v>0.51</v>
      </c>
      <c r="I611" s="35">
        <v>0.4</v>
      </c>
      <c r="J611" s="32">
        <v>0.2</v>
      </c>
      <c r="BT611">
        <v>36</v>
      </c>
    </row>
    <row r="612" spans="2:74" x14ac:dyDescent="0.2">
      <c r="B612" t="s">
        <v>25</v>
      </c>
      <c r="C612" t="s">
        <v>1301</v>
      </c>
      <c r="D612" t="s">
        <v>902</v>
      </c>
      <c r="F612" s="5" t="s">
        <v>15</v>
      </c>
      <c r="G612" s="6" t="s">
        <v>134</v>
      </c>
      <c r="H612" s="35">
        <v>0.4</v>
      </c>
      <c r="I612" s="35">
        <v>0.18</v>
      </c>
      <c r="J612" s="32">
        <v>0.2</v>
      </c>
      <c r="BT612">
        <v>59</v>
      </c>
    </row>
    <row r="613" spans="2:74" x14ac:dyDescent="0.2">
      <c r="B613" t="s">
        <v>25</v>
      </c>
      <c r="C613" t="s">
        <v>1301</v>
      </c>
      <c r="D613" t="s">
        <v>1306</v>
      </c>
      <c r="F613" s="5" t="s">
        <v>15</v>
      </c>
      <c r="G613" s="6" t="s">
        <v>437</v>
      </c>
      <c r="H613" s="35">
        <v>0.31</v>
      </c>
      <c r="I613" s="35">
        <v>0.55000000000000004</v>
      </c>
      <c r="J613" s="32">
        <v>0.26</v>
      </c>
      <c r="BT613">
        <v>177</v>
      </c>
    </row>
    <row r="614" spans="2:74" x14ac:dyDescent="0.2">
      <c r="B614" t="s">
        <v>25</v>
      </c>
      <c r="C614" t="s">
        <v>1301</v>
      </c>
      <c r="D614" t="s">
        <v>454</v>
      </c>
      <c r="F614" s="5" t="s">
        <v>15</v>
      </c>
      <c r="G614" s="6" t="s">
        <v>72</v>
      </c>
      <c r="H614" s="35">
        <v>0.09</v>
      </c>
      <c r="I614" s="35">
        <v>0.34</v>
      </c>
      <c r="J614" s="32">
        <v>0.59</v>
      </c>
      <c r="K614" t="s">
        <v>833</v>
      </c>
      <c r="L614" t="s">
        <v>963</v>
      </c>
      <c r="N614" t="s">
        <v>834</v>
      </c>
      <c r="O614" t="s">
        <v>965</v>
      </c>
      <c r="P614" t="s">
        <v>965</v>
      </c>
      <c r="Q614" t="s">
        <v>965</v>
      </c>
      <c r="R614" t="s">
        <v>965</v>
      </c>
      <c r="S614" t="s">
        <v>965</v>
      </c>
      <c r="T614" t="s">
        <v>965</v>
      </c>
      <c r="U614" t="s">
        <v>833</v>
      </c>
      <c r="V614" t="s">
        <v>965</v>
      </c>
      <c r="W614" t="s">
        <v>965</v>
      </c>
      <c r="X614" t="s">
        <v>965</v>
      </c>
      <c r="Y614" t="s">
        <v>965</v>
      </c>
      <c r="Z614" t="s">
        <v>965</v>
      </c>
      <c r="AA614" t="s">
        <v>965</v>
      </c>
      <c r="AB614" t="s">
        <v>965</v>
      </c>
      <c r="AC614" t="s">
        <v>965</v>
      </c>
      <c r="AD614" t="s">
        <v>965</v>
      </c>
      <c r="AE614" t="s">
        <v>965</v>
      </c>
      <c r="AF614" t="s">
        <v>965</v>
      </c>
      <c r="AG614" t="s">
        <v>965</v>
      </c>
      <c r="AH614" t="s">
        <v>965</v>
      </c>
      <c r="AI614" t="s">
        <v>965</v>
      </c>
      <c r="AJ614" t="s">
        <v>965</v>
      </c>
      <c r="AK614" t="s">
        <v>965</v>
      </c>
      <c r="AL614" t="s">
        <v>965</v>
      </c>
      <c r="AM614" t="s">
        <v>965</v>
      </c>
      <c r="AN614" t="s">
        <v>965</v>
      </c>
      <c r="AO614" t="s">
        <v>965</v>
      </c>
      <c r="AP614" t="s">
        <v>965</v>
      </c>
      <c r="AQ614" t="s">
        <v>965</v>
      </c>
      <c r="AR614" t="s">
        <v>965</v>
      </c>
      <c r="AS614" t="s">
        <v>965</v>
      </c>
      <c r="AT614" t="s">
        <v>965</v>
      </c>
      <c r="AU614" t="s">
        <v>965</v>
      </c>
      <c r="AV614" t="s">
        <v>965</v>
      </c>
      <c r="AW614" t="s">
        <v>965</v>
      </c>
      <c r="AX614" t="s">
        <v>965</v>
      </c>
      <c r="AY614" t="s">
        <v>965</v>
      </c>
      <c r="AZ614" t="s">
        <v>965</v>
      </c>
      <c r="BA614" t="s">
        <v>965</v>
      </c>
      <c r="BB614" t="s">
        <v>965</v>
      </c>
      <c r="BC614" t="s">
        <v>965</v>
      </c>
      <c r="BD614" t="s">
        <v>965</v>
      </c>
      <c r="BE614" t="s">
        <v>835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14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14</v>
      </c>
      <c r="BR614">
        <v>0</v>
      </c>
      <c r="BS614">
        <v>0</v>
      </c>
      <c r="BT614">
        <v>45</v>
      </c>
      <c r="BU614">
        <v>13</v>
      </c>
      <c r="BV614" s="36">
        <f>BU614/BT614</f>
        <v>0.28888888888888886</v>
      </c>
    </row>
    <row r="615" spans="2:74" x14ac:dyDescent="0.2">
      <c r="B615" t="s">
        <v>25</v>
      </c>
      <c r="C615" t="s">
        <v>1301</v>
      </c>
      <c r="D615" t="s">
        <v>99</v>
      </c>
      <c r="F615" s="5" t="s">
        <v>15</v>
      </c>
      <c r="G615" s="6" t="s">
        <v>100</v>
      </c>
      <c r="H615" s="35">
        <v>0.53</v>
      </c>
      <c r="I615" s="35">
        <v>0.2</v>
      </c>
      <c r="J615" s="32">
        <v>0.89</v>
      </c>
      <c r="BT615">
        <v>24</v>
      </c>
    </row>
    <row r="616" spans="2:74" x14ac:dyDescent="0.2">
      <c r="B616" t="s">
        <v>25</v>
      </c>
      <c r="C616" t="s">
        <v>1301</v>
      </c>
      <c r="D616" t="s">
        <v>133</v>
      </c>
      <c r="F616" s="5" t="s">
        <v>15</v>
      </c>
      <c r="G616" s="6" t="s">
        <v>134</v>
      </c>
      <c r="H616" s="35">
        <v>0.4</v>
      </c>
      <c r="I616" s="35">
        <v>0.18</v>
      </c>
      <c r="J616" s="32">
        <v>0.2</v>
      </c>
      <c r="BT616">
        <v>51</v>
      </c>
    </row>
    <row r="617" spans="2:74" x14ac:dyDescent="0.2">
      <c r="B617" t="s">
        <v>25</v>
      </c>
      <c r="C617" t="s">
        <v>1301</v>
      </c>
      <c r="D617" t="s">
        <v>864</v>
      </c>
      <c r="F617" s="5" t="s">
        <v>64</v>
      </c>
      <c r="G617" s="6" t="s">
        <v>65</v>
      </c>
      <c r="H617" s="6" t="s">
        <v>66</v>
      </c>
      <c r="I617" s="35">
        <v>0.33</v>
      </c>
      <c r="J617" s="32">
        <v>0.88</v>
      </c>
      <c r="BT617">
        <v>91</v>
      </c>
    </row>
    <row r="618" spans="2:74" x14ac:dyDescent="0.2">
      <c r="B618" t="s">
        <v>25</v>
      </c>
      <c r="C618" t="s">
        <v>1301</v>
      </c>
      <c r="D618" t="s">
        <v>768</v>
      </c>
      <c r="F618" s="5" t="s">
        <v>42</v>
      </c>
      <c r="G618" s="6" t="s">
        <v>769</v>
      </c>
      <c r="H618" s="35">
        <v>0.6</v>
      </c>
      <c r="I618" s="35">
        <v>0.18</v>
      </c>
      <c r="J618" s="32">
        <v>0.56000000000000005</v>
      </c>
      <c r="BT618">
        <v>143</v>
      </c>
    </row>
    <row r="619" spans="2:74" x14ac:dyDescent="0.2">
      <c r="B619" t="s">
        <v>25</v>
      </c>
      <c r="C619" t="s">
        <v>1301</v>
      </c>
      <c r="D619" t="s">
        <v>218</v>
      </c>
      <c r="F619" s="5" t="s">
        <v>15</v>
      </c>
      <c r="G619" s="6" t="s">
        <v>219</v>
      </c>
      <c r="H619" s="35">
        <v>0.97</v>
      </c>
      <c r="I619" s="35">
        <v>0.08</v>
      </c>
      <c r="J619" s="32">
        <v>0.99</v>
      </c>
      <c r="BT619">
        <v>48</v>
      </c>
    </row>
    <row r="620" spans="2:74" x14ac:dyDescent="0.2">
      <c r="B620" t="s">
        <v>25</v>
      </c>
      <c r="C620" t="s">
        <v>1301</v>
      </c>
      <c r="D620" t="s">
        <v>634</v>
      </c>
      <c r="F620" s="5" t="s">
        <v>610</v>
      </c>
      <c r="G620" s="6" t="s">
        <v>611</v>
      </c>
      <c r="H620" s="35">
        <v>0.25</v>
      </c>
      <c r="I620" s="35">
        <v>0.66</v>
      </c>
      <c r="J620" s="32">
        <v>0.49</v>
      </c>
      <c r="K620" t="s">
        <v>833</v>
      </c>
      <c r="L620" t="s">
        <v>963</v>
      </c>
      <c r="N620" t="s">
        <v>834</v>
      </c>
      <c r="O620" t="s">
        <v>965</v>
      </c>
      <c r="P620" t="s">
        <v>965</v>
      </c>
      <c r="Q620" t="s">
        <v>965</v>
      </c>
      <c r="R620" t="s">
        <v>965</v>
      </c>
      <c r="S620" t="s">
        <v>965</v>
      </c>
      <c r="T620" t="s">
        <v>965</v>
      </c>
      <c r="U620" t="s">
        <v>965</v>
      </c>
      <c r="V620" t="s">
        <v>965</v>
      </c>
      <c r="W620" t="s">
        <v>965</v>
      </c>
      <c r="X620" t="s">
        <v>965</v>
      </c>
      <c r="Y620" t="s">
        <v>965</v>
      </c>
      <c r="Z620" t="s">
        <v>965</v>
      </c>
      <c r="AA620" t="s">
        <v>965</v>
      </c>
      <c r="AB620" t="s">
        <v>965</v>
      </c>
      <c r="AC620" t="s">
        <v>965</v>
      </c>
      <c r="AD620" t="s">
        <v>965</v>
      </c>
      <c r="AE620" t="s">
        <v>965</v>
      </c>
      <c r="AF620" t="s">
        <v>965</v>
      </c>
      <c r="AG620" t="s">
        <v>965</v>
      </c>
      <c r="AH620" t="s">
        <v>965</v>
      </c>
      <c r="AI620" t="s">
        <v>965</v>
      </c>
      <c r="AJ620" t="s">
        <v>965</v>
      </c>
      <c r="AK620" t="s">
        <v>965</v>
      </c>
      <c r="AL620" t="s">
        <v>965</v>
      </c>
      <c r="AM620" t="s">
        <v>965</v>
      </c>
      <c r="AN620" t="s">
        <v>965</v>
      </c>
      <c r="AO620" t="s">
        <v>965</v>
      </c>
      <c r="AP620" t="s">
        <v>965</v>
      </c>
      <c r="AQ620" t="s">
        <v>965</v>
      </c>
      <c r="AR620" t="s">
        <v>965</v>
      </c>
      <c r="AS620" t="s">
        <v>965</v>
      </c>
      <c r="AT620" t="s">
        <v>965</v>
      </c>
      <c r="AU620" t="s">
        <v>965</v>
      </c>
      <c r="AV620" t="s">
        <v>965</v>
      </c>
      <c r="AW620" t="s">
        <v>965</v>
      </c>
      <c r="AX620" t="s">
        <v>965</v>
      </c>
      <c r="AY620" t="s">
        <v>965</v>
      </c>
      <c r="AZ620" t="s">
        <v>965</v>
      </c>
      <c r="BA620" t="s">
        <v>965</v>
      </c>
      <c r="BB620" t="s">
        <v>965</v>
      </c>
      <c r="BC620" t="s">
        <v>833</v>
      </c>
      <c r="BD620" t="s">
        <v>965</v>
      </c>
      <c r="BE620" t="s">
        <v>835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2</v>
      </c>
      <c r="BR620">
        <v>0</v>
      </c>
      <c r="BS620">
        <v>0</v>
      </c>
      <c r="BT620">
        <v>37</v>
      </c>
      <c r="BU620">
        <v>2</v>
      </c>
      <c r="BV620" s="36">
        <f>BU620/BT620</f>
        <v>5.4054054054054057E-2</v>
      </c>
    </row>
    <row r="621" spans="2:74" x14ac:dyDescent="0.2">
      <c r="B621" t="s">
        <v>25</v>
      </c>
      <c r="C621" t="s">
        <v>1301</v>
      </c>
      <c r="D621" t="s">
        <v>836</v>
      </c>
      <c r="F621" s="5" t="s">
        <v>15</v>
      </c>
      <c r="G621" s="6" t="s">
        <v>50</v>
      </c>
      <c r="H621" s="35">
        <v>0.77</v>
      </c>
      <c r="I621" s="35">
        <v>0.21</v>
      </c>
      <c r="J621" s="32">
        <v>0.98</v>
      </c>
      <c r="BT621">
        <v>45</v>
      </c>
    </row>
    <row r="622" spans="2:74" x14ac:dyDescent="0.2">
      <c r="B622" t="s">
        <v>25</v>
      </c>
      <c r="C622" t="s">
        <v>1301</v>
      </c>
      <c r="D622" t="s">
        <v>493</v>
      </c>
      <c r="F622" s="5" t="s">
        <v>95</v>
      </c>
      <c r="G622" s="6" t="s">
        <v>313</v>
      </c>
      <c r="H622" s="35">
        <v>0.53</v>
      </c>
      <c r="I622" s="35">
        <v>0.26</v>
      </c>
      <c r="J622" s="32">
        <v>0.93</v>
      </c>
      <c r="BT622">
        <v>56</v>
      </c>
    </row>
    <row r="623" spans="2:74" x14ac:dyDescent="0.2">
      <c r="B623" t="s">
        <v>25</v>
      </c>
      <c r="C623" t="s">
        <v>1301</v>
      </c>
      <c r="D623" t="s">
        <v>152</v>
      </c>
      <c r="F623" s="5" t="s">
        <v>23</v>
      </c>
      <c r="G623" s="6" t="s">
        <v>153</v>
      </c>
      <c r="H623" s="35">
        <v>0.6</v>
      </c>
      <c r="I623" s="35">
        <v>0.03</v>
      </c>
      <c r="J623" s="32">
        <v>0.95</v>
      </c>
      <c r="BT623">
        <v>103</v>
      </c>
    </row>
    <row r="624" spans="2:74" x14ac:dyDescent="0.2">
      <c r="B624" t="s">
        <v>25</v>
      </c>
      <c r="C624" t="s">
        <v>1301</v>
      </c>
      <c r="D624" t="s">
        <v>254</v>
      </c>
      <c r="F624" s="5" t="s">
        <v>42</v>
      </c>
      <c r="G624" s="6" t="s">
        <v>98</v>
      </c>
      <c r="H624" s="35">
        <v>0.39</v>
      </c>
      <c r="I624" s="35">
        <v>7.0000000000000007E-2</v>
      </c>
      <c r="J624" s="32">
        <v>0.89</v>
      </c>
      <c r="BT624">
        <v>34</v>
      </c>
    </row>
    <row r="625" spans="2:74" x14ac:dyDescent="0.2">
      <c r="B625" t="s">
        <v>25</v>
      </c>
      <c r="C625" t="s">
        <v>1301</v>
      </c>
      <c r="D625" t="s">
        <v>358</v>
      </c>
      <c r="F625" s="5" t="s">
        <v>15</v>
      </c>
      <c r="G625" s="6" t="s">
        <v>210</v>
      </c>
      <c r="H625" s="35">
        <v>0.42</v>
      </c>
      <c r="I625" s="35">
        <v>0.23</v>
      </c>
      <c r="J625" s="32">
        <v>0.65</v>
      </c>
      <c r="BT625">
        <v>71</v>
      </c>
    </row>
    <row r="626" spans="2:74" x14ac:dyDescent="0.2">
      <c r="B626" t="s">
        <v>25</v>
      </c>
      <c r="C626" t="s">
        <v>1301</v>
      </c>
      <c r="D626" t="s">
        <v>215</v>
      </c>
      <c r="F626" s="5" t="s">
        <v>15</v>
      </c>
      <c r="G626" s="6" t="s">
        <v>210</v>
      </c>
      <c r="H626" s="35">
        <v>0.42</v>
      </c>
      <c r="I626" s="35">
        <v>0.23</v>
      </c>
      <c r="J626" s="32">
        <v>0.65</v>
      </c>
      <c r="BT626">
        <v>73</v>
      </c>
    </row>
    <row r="627" spans="2:74" x14ac:dyDescent="0.2">
      <c r="B627" t="s">
        <v>25</v>
      </c>
      <c r="C627" t="s">
        <v>1301</v>
      </c>
      <c r="D627" t="s">
        <v>522</v>
      </c>
      <c r="F627" s="5" t="s">
        <v>45</v>
      </c>
      <c r="G627" s="6" t="s">
        <v>447</v>
      </c>
      <c r="H627" s="35">
        <v>0.48</v>
      </c>
      <c r="I627" s="35">
        <v>0.37</v>
      </c>
      <c r="J627" s="32">
        <v>0.66</v>
      </c>
      <c r="BT627">
        <v>47</v>
      </c>
    </row>
    <row r="628" spans="2:74" x14ac:dyDescent="0.2">
      <c r="B628" t="s">
        <v>25</v>
      </c>
      <c r="C628" t="s">
        <v>1301</v>
      </c>
      <c r="D628" t="s">
        <v>523</v>
      </c>
      <c r="F628" s="5" t="s">
        <v>45</v>
      </c>
      <c r="G628" s="6" t="s">
        <v>505</v>
      </c>
      <c r="H628" s="35">
        <v>0.36</v>
      </c>
      <c r="I628" s="35">
        <v>0.11</v>
      </c>
      <c r="J628" s="32">
        <v>0.87</v>
      </c>
      <c r="K628" t="s">
        <v>833</v>
      </c>
      <c r="L628" t="s">
        <v>963</v>
      </c>
      <c r="M628" t="s">
        <v>849</v>
      </c>
      <c r="N628" t="s">
        <v>834</v>
      </c>
      <c r="O628" t="s">
        <v>965</v>
      </c>
      <c r="P628" t="s">
        <v>965</v>
      </c>
      <c r="Q628" t="s">
        <v>965</v>
      </c>
      <c r="R628" t="s">
        <v>965</v>
      </c>
      <c r="S628" t="s">
        <v>965</v>
      </c>
      <c r="T628" t="s">
        <v>965</v>
      </c>
      <c r="U628" t="s">
        <v>965</v>
      </c>
      <c r="V628" t="s">
        <v>965</v>
      </c>
      <c r="W628" t="s">
        <v>965</v>
      </c>
      <c r="X628" t="s">
        <v>965</v>
      </c>
      <c r="Y628" t="s">
        <v>965</v>
      </c>
      <c r="Z628" t="s">
        <v>965</v>
      </c>
      <c r="AA628" t="s">
        <v>965</v>
      </c>
      <c r="AB628" t="s">
        <v>965</v>
      </c>
      <c r="AC628" t="s">
        <v>965</v>
      </c>
      <c r="AD628" t="s">
        <v>965</v>
      </c>
      <c r="AE628" t="s">
        <v>965</v>
      </c>
      <c r="AF628" t="s">
        <v>965</v>
      </c>
      <c r="AG628" t="s">
        <v>965</v>
      </c>
      <c r="AH628" t="s">
        <v>965</v>
      </c>
      <c r="AI628" t="s">
        <v>965</v>
      </c>
      <c r="AJ628" t="s">
        <v>965</v>
      </c>
      <c r="AK628" t="s">
        <v>965</v>
      </c>
      <c r="AL628" t="s">
        <v>965</v>
      </c>
      <c r="AM628" t="s">
        <v>965</v>
      </c>
      <c r="AN628" t="s">
        <v>965</v>
      </c>
      <c r="AO628" t="s">
        <v>965</v>
      </c>
      <c r="AP628" t="s">
        <v>965</v>
      </c>
      <c r="AQ628" t="s">
        <v>965</v>
      </c>
      <c r="AR628" t="s">
        <v>965</v>
      </c>
      <c r="AS628" t="s">
        <v>965</v>
      </c>
      <c r="AT628" t="s">
        <v>965</v>
      </c>
      <c r="AU628" t="s">
        <v>965</v>
      </c>
      <c r="AV628" t="s">
        <v>965</v>
      </c>
      <c r="AW628" t="s">
        <v>965</v>
      </c>
      <c r="AX628" t="s">
        <v>965</v>
      </c>
      <c r="AY628" t="s">
        <v>965</v>
      </c>
      <c r="AZ628" t="s">
        <v>965</v>
      </c>
      <c r="BA628" t="s">
        <v>965</v>
      </c>
      <c r="BB628" t="s">
        <v>965</v>
      </c>
      <c r="BC628" t="s">
        <v>833</v>
      </c>
      <c r="BD628" t="s">
        <v>965</v>
      </c>
      <c r="BE628" t="s">
        <v>835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62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62</v>
      </c>
      <c r="BR628">
        <v>0</v>
      </c>
      <c r="BS628">
        <v>0</v>
      </c>
      <c r="BT628">
        <v>6</v>
      </c>
      <c r="BU628">
        <v>31</v>
      </c>
      <c r="BV628" s="36">
        <f>BU628/BT628</f>
        <v>5.166666666666667</v>
      </c>
    </row>
    <row r="629" spans="2:74" x14ac:dyDescent="0.2">
      <c r="B629" t="s">
        <v>25</v>
      </c>
      <c r="C629" t="s">
        <v>1301</v>
      </c>
      <c r="D629" t="s">
        <v>603</v>
      </c>
      <c r="F629" s="5" t="s">
        <v>183</v>
      </c>
      <c r="G629" s="6" t="s">
        <v>604</v>
      </c>
      <c r="H629" s="35">
        <v>0.88</v>
      </c>
      <c r="I629" s="35">
        <v>0.21</v>
      </c>
      <c r="J629" s="32">
        <v>0.79</v>
      </c>
      <c r="BT629">
        <v>35</v>
      </c>
    </row>
    <row r="630" spans="2:74" x14ac:dyDescent="0.2">
      <c r="B630" t="s">
        <v>25</v>
      </c>
      <c r="C630" t="s">
        <v>1301</v>
      </c>
      <c r="D630" t="s">
        <v>456</v>
      </c>
      <c r="F630" s="5" t="s">
        <v>95</v>
      </c>
      <c r="G630" s="6" t="s">
        <v>457</v>
      </c>
      <c r="H630" s="35">
        <v>0.45</v>
      </c>
      <c r="I630" s="35">
        <v>0.7</v>
      </c>
      <c r="J630" s="32">
        <v>0.51</v>
      </c>
      <c r="BT630">
        <v>17</v>
      </c>
    </row>
    <row r="631" spans="2:74" x14ac:dyDescent="0.2">
      <c r="B631" t="s">
        <v>25</v>
      </c>
      <c r="C631" t="s">
        <v>1301</v>
      </c>
      <c r="D631" t="s">
        <v>203</v>
      </c>
      <c r="F631" s="5" t="s">
        <v>136</v>
      </c>
      <c r="G631" s="6" t="s">
        <v>204</v>
      </c>
      <c r="H631" s="35">
        <v>0.85</v>
      </c>
      <c r="I631" s="35">
        <v>0.85</v>
      </c>
      <c r="J631" s="32">
        <v>0.68</v>
      </c>
      <c r="BT631">
        <v>97</v>
      </c>
    </row>
    <row r="632" spans="2:74" x14ac:dyDescent="0.2">
      <c r="B632" t="s">
        <v>25</v>
      </c>
      <c r="C632" t="s">
        <v>1301</v>
      </c>
      <c r="D632" t="s">
        <v>622</v>
      </c>
      <c r="F632" s="5" t="s">
        <v>42</v>
      </c>
      <c r="G632" s="6" t="s">
        <v>98</v>
      </c>
      <c r="H632" s="35">
        <v>0.39</v>
      </c>
      <c r="I632" s="35">
        <v>7.0000000000000007E-2</v>
      </c>
      <c r="J632" s="32">
        <v>0.89</v>
      </c>
      <c r="BT632">
        <v>50</v>
      </c>
    </row>
    <row r="633" spans="2:74" x14ac:dyDescent="0.2">
      <c r="B633" t="s">
        <v>25</v>
      </c>
      <c r="C633" t="s">
        <v>1301</v>
      </c>
      <c r="D633" t="s">
        <v>625</v>
      </c>
      <c r="F633" s="5" t="s">
        <v>42</v>
      </c>
      <c r="G633" s="6" t="s">
        <v>98</v>
      </c>
      <c r="H633" s="35">
        <v>0.39</v>
      </c>
      <c r="I633" s="35">
        <v>7.0000000000000007E-2</v>
      </c>
      <c r="J633" s="32">
        <v>0.89</v>
      </c>
      <c r="BT633">
        <v>39</v>
      </c>
    </row>
    <row r="634" spans="2:74" x14ac:dyDescent="0.2">
      <c r="B634" t="s">
        <v>25</v>
      </c>
      <c r="C634" t="s">
        <v>1301</v>
      </c>
      <c r="D634" t="s">
        <v>1221</v>
      </c>
      <c r="F634" s="5" t="s">
        <v>15</v>
      </c>
      <c r="G634" s="6" t="s">
        <v>76</v>
      </c>
      <c r="H634" s="35">
        <v>0.64</v>
      </c>
      <c r="I634" s="35">
        <v>0.42</v>
      </c>
      <c r="J634" s="32">
        <v>0.36</v>
      </c>
      <c r="BT634">
        <v>29</v>
      </c>
    </row>
    <row r="635" spans="2:74" x14ac:dyDescent="0.2">
      <c r="B635" t="s">
        <v>25</v>
      </c>
      <c r="C635" t="s">
        <v>1301</v>
      </c>
      <c r="D635" t="s">
        <v>651</v>
      </c>
      <c r="F635" s="5" t="s">
        <v>15</v>
      </c>
      <c r="G635" s="6" t="s">
        <v>333</v>
      </c>
      <c r="H635" s="35">
        <v>0.79</v>
      </c>
      <c r="I635" s="35">
        <v>7.0000000000000007E-2</v>
      </c>
      <c r="J635" s="32">
        <v>0.76</v>
      </c>
      <c r="BT635">
        <v>91</v>
      </c>
    </row>
    <row r="636" spans="2:74" x14ac:dyDescent="0.2">
      <c r="B636" t="s">
        <v>25</v>
      </c>
      <c r="C636" t="s">
        <v>1301</v>
      </c>
      <c r="D636" t="s">
        <v>543</v>
      </c>
      <c r="F636" s="5" t="s">
        <v>15</v>
      </c>
      <c r="G636" s="6" t="s">
        <v>387</v>
      </c>
      <c r="H636" s="35">
        <v>0.95</v>
      </c>
      <c r="I636" s="35">
        <v>0.06</v>
      </c>
      <c r="J636" s="32">
        <v>0.81</v>
      </c>
      <c r="K636" t="s">
        <v>833</v>
      </c>
      <c r="L636" t="s">
        <v>963</v>
      </c>
      <c r="M636" t="s">
        <v>854</v>
      </c>
      <c r="N636" t="s">
        <v>834</v>
      </c>
      <c r="O636" t="s">
        <v>965</v>
      </c>
      <c r="P636" t="s">
        <v>965</v>
      </c>
      <c r="Q636" t="s">
        <v>965</v>
      </c>
      <c r="R636" t="s">
        <v>965</v>
      </c>
      <c r="S636" t="s">
        <v>965</v>
      </c>
      <c r="T636" t="s">
        <v>965</v>
      </c>
      <c r="U636" t="s">
        <v>965</v>
      </c>
      <c r="V636" t="s">
        <v>965</v>
      </c>
      <c r="W636" t="s">
        <v>965</v>
      </c>
      <c r="X636" t="s">
        <v>965</v>
      </c>
      <c r="Y636" t="s">
        <v>965</v>
      </c>
      <c r="Z636" t="s">
        <v>965</v>
      </c>
      <c r="AA636" t="s">
        <v>965</v>
      </c>
      <c r="AB636" t="s">
        <v>965</v>
      </c>
      <c r="AC636" t="s">
        <v>965</v>
      </c>
      <c r="AD636" t="s">
        <v>965</v>
      </c>
      <c r="AE636" t="s">
        <v>965</v>
      </c>
      <c r="AF636" t="s">
        <v>965</v>
      </c>
      <c r="AG636" t="s">
        <v>965</v>
      </c>
      <c r="AH636" t="s">
        <v>965</v>
      </c>
      <c r="AI636" t="s">
        <v>965</v>
      </c>
      <c r="AJ636" t="s">
        <v>965</v>
      </c>
      <c r="AK636" t="s">
        <v>965</v>
      </c>
      <c r="AL636" t="s">
        <v>965</v>
      </c>
      <c r="AM636" t="s">
        <v>965</v>
      </c>
      <c r="AN636" t="s">
        <v>965</v>
      </c>
      <c r="AO636" t="s">
        <v>965</v>
      </c>
      <c r="AP636" t="s">
        <v>965</v>
      </c>
      <c r="AQ636" t="s">
        <v>965</v>
      </c>
      <c r="AR636" t="s">
        <v>965</v>
      </c>
      <c r="AS636" t="s">
        <v>965</v>
      </c>
      <c r="AT636" t="s">
        <v>965</v>
      </c>
      <c r="AU636" t="s">
        <v>965</v>
      </c>
      <c r="AV636" t="s">
        <v>965</v>
      </c>
      <c r="AW636" t="s">
        <v>965</v>
      </c>
      <c r="AX636" t="s">
        <v>965</v>
      </c>
      <c r="AY636" t="s">
        <v>965</v>
      </c>
      <c r="AZ636" t="s">
        <v>965</v>
      </c>
      <c r="BA636" t="s">
        <v>965</v>
      </c>
      <c r="BB636" t="s">
        <v>965</v>
      </c>
      <c r="BC636" t="s">
        <v>833</v>
      </c>
      <c r="BD636" t="s">
        <v>965</v>
      </c>
      <c r="BE636" t="s">
        <v>855</v>
      </c>
      <c r="BF636">
        <v>6</v>
      </c>
      <c r="BG636">
        <v>1</v>
      </c>
      <c r="BH636">
        <v>0</v>
      </c>
      <c r="BI636">
        <v>0</v>
      </c>
      <c r="BJ636">
        <v>0</v>
      </c>
      <c r="BK636">
        <v>3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9</v>
      </c>
      <c r="BR636">
        <v>0</v>
      </c>
      <c r="BS636">
        <v>0</v>
      </c>
      <c r="BT636">
        <v>174</v>
      </c>
      <c r="BU636">
        <v>8</v>
      </c>
      <c r="BV636" s="36">
        <f>BU636/BT636</f>
        <v>4.5977011494252873E-2</v>
      </c>
    </row>
    <row r="637" spans="2:74" x14ac:dyDescent="0.2">
      <c r="B637" t="s">
        <v>25</v>
      </c>
      <c r="C637" t="s">
        <v>1301</v>
      </c>
      <c r="D637" t="s">
        <v>624</v>
      </c>
      <c r="F637" s="5" t="s">
        <v>42</v>
      </c>
      <c r="G637" s="6" t="s">
        <v>98</v>
      </c>
      <c r="H637" s="35">
        <v>0.39</v>
      </c>
      <c r="I637" s="35">
        <v>7.0000000000000007E-2</v>
      </c>
      <c r="J637" s="32">
        <v>0.89</v>
      </c>
      <c r="BT637">
        <v>73</v>
      </c>
    </row>
    <row r="638" spans="2:74" x14ac:dyDescent="0.2">
      <c r="B638" t="s">
        <v>25</v>
      </c>
      <c r="C638" t="s">
        <v>1301</v>
      </c>
      <c r="D638" t="s">
        <v>888</v>
      </c>
      <c r="F638" s="5" t="s">
        <v>95</v>
      </c>
      <c r="G638" s="6" t="s">
        <v>642</v>
      </c>
      <c r="H638" s="35">
        <v>0.28999999999999998</v>
      </c>
      <c r="I638" s="35">
        <v>0.74</v>
      </c>
      <c r="J638" s="32">
        <v>0.53</v>
      </c>
      <c r="BT638">
        <v>62</v>
      </c>
    </row>
    <row r="639" spans="2:74" x14ac:dyDescent="0.2">
      <c r="B639" t="s">
        <v>25</v>
      </c>
      <c r="C639" t="s">
        <v>1301</v>
      </c>
      <c r="D639" t="s">
        <v>681</v>
      </c>
      <c r="F639" s="5" t="s">
        <v>15</v>
      </c>
      <c r="G639" s="6" t="s">
        <v>471</v>
      </c>
      <c r="H639" s="35">
        <v>0.94</v>
      </c>
      <c r="I639" s="35">
        <v>0.05</v>
      </c>
      <c r="J639" s="32">
        <v>0.99</v>
      </c>
      <c r="BT639">
        <v>44</v>
      </c>
    </row>
    <row r="640" spans="2:74" x14ac:dyDescent="0.2">
      <c r="B640" t="s">
        <v>25</v>
      </c>
      <c r="C640" t="s">
        <v>1301</v>
      </c>
      <c r="D640" t="s">
        <v>742</v>
      </c>
      <c r="F640" s="5" t="s">
        <v>225</v>
      </c>
      <c r="G640" s="6" t="s">
        <v>716</v>
      </c>
      <c r="H640" s="35">
        <v>0.39</v>
      </c>
      <c r="I640" s="35">
        <v>0.81</v>
      </c>
      <c r="J640" s="32">
        <v>0.37</v>
      </c>
      <c r="BT640">
        <v>124</v>
      </c>
    </row>
    <row r="641" spans="2:74" x14ac:dyDescent="0.2">
      <c r="B641" t="s">
        <v>25</v>
      </c>
      <c r="C641" t="s">
        <v>1301</v>
      </c>
      <c r="D641" t="s">
        <v>750</v>
      </c>
      <c r="F641" s="5" t="s">
        <v>42</v>
      </c>
      <c r="G641" s="6" t="s">
        <v>751</v>
      </c>
      <c r="H641" s="35">
        <v>0.55000000000000004</v>
      </c>
      <c r="I641" s="35">
        <v>0.67</v>
      </c>
      <c r="J641" s="32">
        <v>0.53</v>
      </c>
      <c r="BT641">
        <v>40</v>
      </c>
    </row>
    <row r="642" spans="2:74" x14ac:dyDescent="0.2">
      <c r="B642" t="s">
        <v>25</v>
      </c>
      <c r="C642" t="s">
        <v>1301</v>
      </c>
      <c r="D642" t="s">
        <v>332</v>
      </c>
      <c r="F642" s="5" t="s">
        <v>15</v>
      </c>
      <c r="G642" s="6" t="s">
        <v>333</v>
      </c>
      <c r="H642" s="35">
        <v>0.79</v>
      </c>
      <c r="I642" s="35">
        <v>7.0000000000000007E-2</v>
      </c>
      <c r="J642" s="32">
        <v>0.76</v>
      </c>
      <c r="BT642">
        <v>15</v>
      </c>
    </row>
    <row r="643" spans="2:74" x14ac:dyDescent="0.2">
      <c r="B643" t="s">
        <v>25</v>
      </c>
      <c r="C643" t="s">
        <v>1301</v>
      </c>
      <c r="D643" t="s">
        <v>60</v>
      </c>
      <c r="F643" s="5" t="s">
        <v>42</v>
      </c>
      <c r="G643" s="6" t="s">
        <v>61</v>
      </c>
      <c r="H643" s="35">
        <v>0.09</v>
      </c>
      <c r="I643" s="35">
        <v>0.3</v>
      </c>
      <c r="J643" s="32">
        <v>0.62</v>
      </c>
      <c r="BT643">
        <v>148</v>
      </c>
    </row>
    <row r="644" spans="2:74" x14ac:dyDescent="0.2">
      <c r="B644" t="s">
        <v>25</v>
      </c>
      <c r="C644" t="s">
        <v>1301</v>
      </c>
      <c r="D644" t="s">
        <v>720</v>
      </c>
      <c r="F644" s="5" t="s">
        <v>15</v>
      </c>
      <c r="G644" s="6" t="s">
        <v>160</v>
      </c>
      <c r="H644" s="35">
        <v>1</v>
      </c>
      <c r="I644" s="35">
        <v>0.21</v>
      </c>
      <c r="J644" s="32">
        <v>0.93</v>
      </c>
      <c r="BT644">
        <v>134</v>
      </c>
    </row>
    <row r="645" spans="2:74" x14ac:dyDescent="0.2">
      <c r="B645" t="s">
        <v>25</v>
      </c>
      <c r="C645" t="s">
        <v>1301</v>
      </c>
      <c r="D645" t="s">
        <v>412</v>
      </c>
      <c r="F645" s="5" t="s">
        <v>15</v>
      </c>
      <c r="G645" s="6" t="s">
        <v>413</v>
      </c>
      <c r="H645" s="35">
        <v>0.46</v>
      </c>
      <c r="I645" s="35">
        <v>0.09</v>
      </c>
      <c r="J645" s="32">
        <v>0.94</v>
      </c>
      <c r="BT645">
        <v>229</v>
      </c>
    </row>
    <row r="646" spans="2:74" x14ac:dyDescent="0.2">
      <c r="B646" t="s">
        <v>25</v>
      </c>
      <c r="C646" t="s">
        <v>1301</v>
      </c>
      <c r="D646" t="s">
        <v>75</v>
      </c>
      <c r="F646" s="5" t="s">
        <v>15</v>
      </c>
      <c r="G646" s="6" t="s">
        <v>76</v>
      </c>
      <c r="H646" s="35">
        <v>0.64</v>
      </c>
      <c r="I646" s="35">
        <v>0.42</v>
      </c>
      <c r="J646" s="32">
        <v>0.36</v>
      </c>
      <c r="K646" t="s">
        <v>833</v>
      </c>
      <c r="L646" t="s">
        <v>963</v>
      </c>
      <c r="N646" t="s">
        <v>834</v>
      </c>
      <c r="O646" t="s">
        <v>965</v>
      </c>
      <c r="P646" t="s">
        <v>965</v>
      </c>
      <c r="Q646" t="s">
        <v>965</v>
      </c>
      <c r="R646" t="s">
        <v>965</v>
      </c>
      <c r="S646" t="s">
        <v>965</v>
      </c>
      <c r="T646" t="s">
        <v>965</v>
      </c>
      <c r="U646" t="s">
        <v>965</v>
      </c>
      <c r="V646" t="s">
        <v>965</v>
      </c>
      <c r="W646" t="s">
        <v>965</v>
      </c>
      <c r="X646" t="s">
        <v>965</v>
      </c>
      <c r="Y646" t="s">
        <v>965</v>
      </c>
      <c r="Z646" t="s">
        <v>965</v>
      </c>
      <c r="AA646" t="s">
        <v>965</v>
      </c>
      <c r="AB646" t="s">
        <v>965</v>
      </c>
      <c r="AC646" t="s">
        <v>965</v>
      </c>
      <c r="AD646" t="s">
        <v>965</v>
      </c>
      <c r="AE646" t="s">
        <v>965</v>
      </c>
      <c r="AF646" t="s">
        <v>965</v>
      </c>
      <c r="AG646" t="s">
        <v>965</v>
      </c>
      <c r="AH646" t="s">
        <v>965</v>
      </c>
      <c r="AI646" t="s">
        <v>965</v>
      </c>
      <c r="AJ646" t="s">
        <v>965</v>
      </c>
      <c r="AK646" t="s">
        <v>965</v>
      </c>
      <c r="AL646" t="s">
        <v>965</v>
      </c>
      <c r="AM646" t="s">
        <v>965</v>
      </c>
      <c r="AN646" t="s">
        <v>965</v>
      </c>
      <c r="AO646" t="s">
        <v>965</v>
      </c>
      <c r="AP646" t="s">
        <v>965</v>
      </c>
      <c r="AQ646" t="s">
        <v>965</v>
      </c>
      <c r="AR646" t="s">
        <v>965</v>
      </c>
      <c r="AS646" t="s">
        <v>965</v>
      </c>
      <c r="AT646" t="s">
        <v>965</v>
      </c>
      <c r="AU646" t="s">
        <v>965</v>
      </c>
      <c r="AV646" t="s">
        <v>965</v>
      </c>
      <c r="AW646" t="s">
        <v>965</v>
      </c>
      <c r="AX646" t="s">
        <v>965</v>
      </c>
      <c r="AY646" t="s">
        <v>833</v>
      </c>
      <c r="AZ646" t="s">
        <v>965</v>
      </c>
      <c r="BA646" t="s">
        <v>965</v>
      </c>
      <c r="BB646" t="s">
        <v>965</v>
      </c>
      <c r="BC646" t="s">
        <v>965</v>
      </c>
      <c r="BD646" t="s">
        <v>965</v>
      </c>
      <c r="BE646" t="s">
        <v>835</v>
      </c>
      <c r="BF646">
        <v>12</v>
      </c>
      <c r="BG646">
        <v>4</v>
      </c>
      <c r="BH646">
        <v>0</v>
      </c>
      <c r="BI646">
        <v>0</v>
      </c>
      <c r="BJ646">
        <v>0</v>
      </c>
      <c r="BK646">
        <v>24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36</v>
      </c>
      <c r="BR646">
        <v>0</v>
      </c>
      <c r="BS646">
        <v>0</v>
      </c>
      <c r="BT646">
        <v>59</v>
      </c>
      <c r="BU646">
        <v>28</v>
      </c>
      <c r="BV646" s="36">
        <f>BU646/BT646</f>
        <v>0.47457627118644069</v>
      </c>
    </row>
    <row r="647" spans="2:74" x14ac:dyDescent="0.2">
      <c r="B647" t="s">
        <v>25</v>
      </c>
      <c r="C647" t="s">
        <v>1301</v>
      </c>
      <c r="D647" t="s">
        <v>630</v>
      </c>
      <c r="F647" s="5" t="s">
        <v>90</v>
      </c>
      <c r="G647" s="6" t="s">
        <v>298</v>
      </c>
      <c r="H647" s="35">
        <v>0.64</v>
      </c>
      <c r="I647" s="35">
        <v>0.53</v>
      </c>
      <c r="J647" s="32">
        <v>0.37</v>
      </c>
      <c r="BT647">
        <v>75</v>
      </c>
    </row>
    <row r="648" spans="2:74" x14ac:dyDescent="0.2">
      <c r="B648" t="s">
        <v>25</v>
      </c>
      <c r="C648" t="s">
        <v>1301</v>
      </c>
      <c r="D648" t="s">
        <v>890</v>
      </c>
      <c r="F648" s="5" t="s">
        <v>15</v>
      </c>
      <c r="G648" s="6" t="s">
        <v>546</v>
      </c>
      <c r="H648" s="35">
        <v>0.57999999999999996</v>
      </c>
      <c r="I648" s="35">
        <v>0.12</v>
      </c>
      <c r="J648" s="32">
        <v>0.89</v>
      </c>
      <c r="BT648">
        <v>37</v>
      </c>
    </row>
    <row r="649" spans="2:74" x14ac:dyDescent="0.2">
      <c r="B649" t="s">
        <v>25</v>
      </c>
      <c r="C649" t="s">
        <v>1301</v>
      </c>
      <c r="D649" t="s">
        <v>891</v>
      </c>
      <c r="F649" s="5" t="s">
        <v>15</v>
      </c>
      <c r="G649" s="6" t="s">
        <v>660</v>
      </c>
      <c r="H649" s="35">
        <v>0.65</v>
      </c>
      <c r="I649" s="35">
        <v>0.12</v>
      </c>
      <c r="J649" s="32">
        <v>0.82</v>
      </c>
      <c r="BT649">
        <v>25</v>
      </c>
    </row>
    <row r="650" spans="2:74" x14ac:dyDescent="0.2">
      <c r="B650" t="s">
        <v>25</v>
      </c>
      <c r="C650" t="s">
        <v>1301</v>
      </c>
      <c r="D650" t="s">
        <v>892</v>
      </c>
      <c r="F650" s="5" t="s">
        <v>42</v>
      </c>
      <c r="G650" s="6" t="s">
        <v>378</v>
      </c>
      <c r="H650" s="35">
        <v>0.06</v>
      </c>
      <c r="I650" s="35">
        <v>0.33</v>
      </c>
      <c r="J650" s="32">
        <v>0.84</v>
      </c>
      <c r="BT650">
        <v>53</v>
      </c>
    </row>
    <row r="651" spans="2:74" x14ac:dyDescent="0.2">
      <c r="B651" t="s">
        <v>25</v>
      </c>
      <c r="C651" t="s">
        <v>1301</v>
      </c>
      <c r="D651" t="s">
        <v>1307</v>
      </c>
      <c r="F651" s="5" t="s">
        <v>20</v>
      </c>
      <c r="G651" s="6" t="s">
        <v>61</v>
      </c>
      <c r="H651" s="35">
        <v>0.09</v>
      </c>
      <c r="I651" s="35">
        <v>0.3</v>
      </c>
      <c r="J651" s="32">
        <v>0.62</v>
      </c>
      <c r="BT651">
        <v>266</v>
      </c>
    </row>
    <row r="652" spans="2:74" x14ac:dyDescent="0.2">
      <c r="B652" t="s">
        <v>25</v>
      </c>
      <c r="C652" t="s">
        <v>1301</v>
      </c>
      <c r="D652" t="s">
        <v>459</v>
      </c>
      <c r="F652" s="5" t="s">
        <v>15</v>
      </c>
      <c r="G652" s="6" t="s">
        <v>50</v>
      </c>
      <c r="H652" s="35">
        <v>0.77</v>
      </c>
      <c r="I652" s="35">
        <v>0.21</v>
      </c>
      <c r="J652" s="32">
        <v>0.98</v>
      </c>
      <c r="BT652">
        <v>31</v>
      </c>
    </row>
    <row r="653" spans="2:74" x14ac:dyDescent="0.2">
      <c r="B653" t="s">
        <v>25</v>
      </c>
      <c r="C653" t="s">
        <v>1301</v>
      </c>
      <c r="D653" t="s">
        <v>863</v>
      </c>
      <c r="F653" s="5" t="s">
        <v>45</v>
      </c>
      <c r="G653" s="6" t="s">
        <v>46</v>
      </c>
      <c r="H653" s="35">
        <v>0.67</v>
      </c>
      <c r="I653" s="35">
        <v>0.25</v>
      </c>
      <c r="J653" s="32">
        <v>0.56000000000000005</v>
      </c>
      <c r="BT653">
        <v>195</v>
      </c>
    </row>
    <row r="654" spans="2:74" x14ac:dyDescent="0.2">
      <c r="B654" t="s">
        <v>25</v>
      </c>
      <c r="C654" t="s">
        <v>1301</v>
      </c>
      <c r="D654" t="s">
        <v>736</v>
      </c>
      <c r="F654" s="5" t="s">
        <v>15</v>
      </c>
      <c r="G654" s="6" t="s">
        <v>134</v>
      </c>
      <c r="H654" s="35">
        <v>0.4</v>
      </c>
      <c r="I654" s="35">
        <v>0.18</v>
      </c>
      <c r="J654" s="32">
        <v>0.2</v>
      </c>
      <c r="BT654">
        <v>99</v>
      </c>
    </row>
    <row r="655" spans="2:74" x14ac:dyDescent="0.2">
      <c r="B655" t="s">
        <v>25</v>
      </c>
      <c r="C655" t="s">
        <v>1301</v>
      </c>
      <c r="D655" t="s">
        <v>410</v>
      </c>
      <c r="F655" s="5" t="s">
        <v>136</v>
      </c>
      <c r="G655" s="6" t="s">
        <v>411</v>
      </c>
      <c r="H655" s="35">
        <v>0.43</v>
      </c>
      <c r="I655" s="35">
        <v>0.38</v>
      </c>
      <c r="J655" s="32">
        <v>0.33</v>
      </c>
      <c r="BT655">
        <v>161</v>
      </c>
    </row>
    <row r="656" spans="2:74" x14ac:dyDescent="0.2">
      <c r="B656" t="s">
        <v>25</v>
      </c>
      <c r="C656" t="s">
        <v>1301</v>
      </c>
      <c r="D656" t="s">
        <v>431</v>
      </c>
      <c r="F656" s="5" t="s">
        <v>418</v>
      </c>
      <c r="G656" s="6" t="s">
        <v>432</v>
      </c>
      <c r="H656" s="35">
        <v>0.34</v>
      </c>
      <c r="I656" s="35">
        <v>0.85</v>
      </c>
      <c r="J656" s="32">
        <v>7.0000000000000007E-2</v>
      </c>
      <c r="BT656">
        <v>187</v>
      </c>
    </row>
    <row r="657" spans="2:74" x14ac:dyDescent="0.2">
      <c r="B657" t="s">
        <v>25</v>
      </c>
      <c r="C657" t="s">
        <v>1301</v>
      </c>
      <c r="D657" t="s">
        <v>513</v>
      </c>
      <c r="F657" s="5" t="s">
        <v>45</v>
      </c>
      <c r="G657" s="6" t="s">
        <v>82</v>
      </c>
      <c r="H657" s="35">
        <v>0.27</v>
      </c>
      <c r="I657" s="35">
        <v>0.77</v>
      </c>
      <c r="J657" s="32">
        <v>0.11</v>
      </c>
      <c r="BT657">
        <v>77</v>
      </c>
    </row>
    <row r="658" spans="2:74" x14ac:dyDescent="0.2">
      <c r="B658" t="s">
        <v>25</v>
      </c>
      <c r="C658" t="s">
        <v>1301</v>
      </c>
      <c r="D658" t="s">
        <v>544</v>
      </c>
      <c r="F658" s="5" t="s">
        <v>30</v>
      </c>
      <c r="G658" s="6" t="s">
        <v>531</v>
      </c>
      <c r="H658" s="35">
        <v>0.22</v>
      </c>
      <c r="I658" s="35">
        <v>0.93</v>
      </c>
      <c r="J658" s="32">
        <v>0.15</v>
      </c>
      <c r="BT658">
        <v>219</v>
      </c>
    </row>
    <row r="659" spans="2:74" x14ac:dyDescent="0.2">
      <c r="B659" t="s">
        <v>25</v>
      </c>
      <c r="C659" t="s">
        <v>1301</v>
      </c>
      <c r="D659" t="s">
        <v>696</v>
      </c>
      <c r="F659" s="5" t="s">
        <v>90</v>
      </c>
      <c r="G659" s="6" t="s">
        <v>298</v>
      </c>
      <c r="H659" s="35">
        <v>0.64</v>
      </c>
      <c r="I659" s="35">
        <v>0.53</v>
      </c>
      <c r="J659" s="32">
        <v>0.37</v>
      </c>
      <c r="BT659">
        <v>71</v>
      </c>
    </row>
    <row r="660" spans="2:74" x14ac:dyDescent="0.2">
      <c r="B660" t="s">
        <v>25</v>
      </c>
      <c r="C660" t="s">
        <v>1301</v>
      </c>
      <c r="D660" t="s">
        <v>673</v>
      </c>
      <c r="F660" s="5" t="s">
        <v>103</v>
      </c>
      <c r="G660" s="6" t="s">
        <v>162</v>
      </c>
      <c r="H660" s="35">
        <v>0.7</v>
      </c>
      <c r="I660" s="35">
        <v>0.28999999999999998</v>
      </c>
      <c r="J660" s="32">
        <v>0.6</v>
      </c>
      <c r="BT660">
        <v>94</v>
      </c>
    </row>
    <row r="661" spans="2:74" x14ac:dyDescent="0.2">
      <c r="B661" t="s">
        <v>25</v>
      </c>
      <c r="C661" t="s">
        <v>1301</v>
      </c>
      <c r="D661" t="s">
        <v>875</v>
      </c>
      <c r="F661" s="5" t="s">
        <v>15</v>
      </c>
      <c r="G661" s="6" t="s">
        <v>546</v>
      </c>
      <c r="H661" s="35">
        <v>0.57999999999999996</v>
      </c>
      <c r="I661" s="35">
        <v>0.12</v>
      </c>
      <c r="J661" s="32">
        <v>0.89</v>
      </c>
      <c r="BT661">
        <v>110</v>
      </c>
    </row>
    <row r="662" spans="2:74" x14ac:dyDescent="0.2">
      <c r="B662" t="s">
        <v>25</v>
      </c>
      <c r="C662" t="s">
        <v>1301</v>
      </c>
      <c r="D662" t="s">
        <v>247</v>
      </c>
      <c r="F662" s="5" t="s">
        <v>42</v>
      </c>
      <c r="G662" s="6" t="s">
        <v>606</v>
      </c>
      <c r="H662" s="35">
        <v>0.86</v>
      </c>
      <c r="I662" s="35">
        <v>0.09</v>
      </c>
      <c r="J662" s="32">
        <v>0.05</v>
      </c>
      <c r="BT662">
        <v>56</v>
      </c>
    </row>
    <row r="663" spans="2:74" x14ac:dyDescent="0.2">
      <c r="B663" t="s">
        <v>25</v>
      </c>
      <c r="C663" t="s">
        <v>1301</v>
      </c>
      <c r="D663" t="s">
        <v>458</v>
      </c>
      <c r="F663" s="5" t="s">
        <v>30</v>
      </c>
      <c r="G663" s="6" t="s">
        <v>84</v>
      </c>
      <c r="H663" s="35">
        <v>0.25</v>
      </c>
      <c r="I663" s="35">
        <v>0.93</v>
      </c>
      <c r="J663" s="32">
        <v>0.67</v>
      </c>
      <c r="BT663">
        <v>81</v>
      </c>
    </row>
    <row r="664" spans="2:74" x14ac:dyDescent="0.2">
      <c r="B664" t="s">
        <v>25</v>
      </c>
      <c r="C664" t="s">
        <v>1301</v>
      </c>
      <c r="D664" t="s">
        <v>1308</v>
      </c>
      <c r="F664" s="5" t="s">
        <v>95</v>
      </c>
      <c r="G664" s="6" t="s">
        <v>357</v>
      </c>
      <c r="H664" s="35">
        <v>0.2</v>
      </c>
      <c r="I664" s="35">
        <v>0.21</v>
      </c>
      <c r="J664" s="32">
        <v>0.7</v>
      </c>
      <c r="BT664">
        <v>75</v>
      </c>
    </row>
    <row r="665" spans="2:74" x14ac:dyDescent="0.2">
      <c r="B665" t="s">
        <v>25</v>
      </c>
      <c r="C665" t="s">
        <v>1301</v>
      </c>
      <c r="D665" t="s">
        <v>1309</v>
      </c>
      <c r="F665" s="5" t="s">
        <v>103</v>
      </c>
      <c r="G665" s="6" t="s">
        <v>162</v>
      </c>
      <c r="H665" s="35">
        <v>0.7</v>
      </c>
      <c r="I665" s="35">
        <v>0.28999999999999998</v>
      </c>
      <c r="J665" s="32">
        <v>0.6</v>
      </c>
      <c r="BT665">
        <v>54</v>
      </c>
    </row>
    <row r="666" spans="2:74" x14ac:dyDescent="0.2">
      <c r="B666" t="s">
        <v>25</v>
      </c>
      <c r="C666" t="s">
        <v>1301</v>
      </c>
      <c r="D666" t="s">
        <v>429</v>
      </c>
      <c r="F666" s="5" t="s">
        <v>15</v>
      </c>
      <c r="G666" s="6" t="s">
        <v>333</v>
      </c>
      <c r="H666" s="35">
        <v>0.79</v>
      </c>
      <c r="I666" s="35">
        <v>7.0000000000000007E-2</v>
      </c>
      <c r="J666" s="32">
        <v>0.76</v>
      </c>
      <c r="BT666">
        <v>21</v>
      </c>
    </row>
    <row r="667" spans="2:74" x14ac:dyDescent="0.2">
      <c r="B667" t="s">
        <v>25</v>
      </c>
      <c r="C667" t="s">
        <v>1301</v>
      </c>
      <c r="D667" t="s">
        <v>293</v>
      </c>
      <c r="F667" s="5" t="s">
        <v>103</v>
      </c>
      <c r="G667" s="6" t="s">
        <v>294</v>
      </c>
      <c r="H667" s="35">
        <v>0.75</v>
      </c>
      <c r="I667" s="35">
        <v>0.15</v>
      </c>
      <c r="J667" s="32">
        <v>0.88</v>
      </c>
      <c r="BT667">
        <v>106</v>
      </c>
    </row>
    <row r="668" spans="2:74" x14ac:dyDescent="0.2">
      <c r="B668" t="s">
        <v>25</v>
      </c>
      <c r="C668" t="s">
        <v>1301</v>
      </c>
      <c r="D668" t="s">
        <v>241</v>
      </c>
      <c r="F668" s="5" t="s">
        <v>242</v>
      </c>
      <c r="G668" s="6" t="s">
        <v>243</v>
      </c>
      <c r="H668" s="35">
        <v>0.78</v>
      </c>
      <c r="I668" s="35">
        <v>0.81</v>
      </c>
      <c r="J668" s="32">
        <v>0.1</v>
      </c>
      <c r="BT668">
        <v>198</v>
      </c>
    </row>
    <row r="669" spans="2:74" x14ac:dyDescent="0.2">
      <c r="B669" t="s">
        <v>25</v>
      </c>
      <c r="C669" t="s">
        <v>1301</v>
      </c>
      <c r="D669" t="s">
        <v>230</v>
      </c>
      <c r="F669" s="5" t="s">
        <v>42</v>
      </c>
      <c r="G669" s="6" t="s">
        <v>231</v>
      </c>
      <c r="H669" s="35">
        <v>0.5</v>
      </c>
      <c r="I669" s="35">
        <v>0.56999999999999995</v>
      </c>
      <c r="J669" s="32">
        <v>0.18</v>
      </c>
      <c r="BT669">
        <v>68</v>
      </c>
    </row>
    <row r="670" spans="2:74" x14ac:dyDescent="0.2">
      <c r="B670" t="s">
        <v>25</v>
      </c>
      <c r="C670" t="s">
        <v>1301</v>
      </c>
      <c r="D670" t="s">
        <v>710</v>
      </c>
      <c r="F670" s="5" t="s">
        <v>273</v>
      </c>
      <c r="G670" s="6" t="s">
        <v>221</v>
      </c>
      <c r="H670" s="35">
        <v>0.54</v>
      </c>
      <c r="I670" s="35">
        <v>0.53</v>
      </c>
      <c r="J670" s="32">
        <v>0.97</v>
      </c>
      <c r="K670" t="s">
        <v>833</v>
      </c>
      <c r="L670" t="s">
        <v>963</v>
      </c>
      <c r="M670" t="s">
        <v>849</v>
      </c>
      <c r="N670" t="s">
        <v>834</v>
      </c>
      <c r="O670" t="s">
        <v>965</v>
      </c>
      <c r="P670" t="s">
        <v>965</v>
      </c>
      <c r="Q670" t="s">
        <v>965</v>
      </c>
      <c r="R670" t="s">
        <v>965</v>
      </c>
      <c r="S670" t="s">
        <v>965</v>
      </c>
      <c r="T670" t="s">
        <v>965</v>
      </c>
      <c r="U670" t="s">
        <v>965</v>
      </c>
      <c r="V670" t="s">
        <v>965</v>
      </c>
      <c r="W670" t="s">
        <v>965</v>
      </c>
      <c r="X670" t="s">
        <v>965</v>
      </c>
      <c r="Y670" t="s">
        <v>965</v>
      </c>
      <c r="Z670" t="s">
        <v>965</v>
      </c>
      <c r="AA670" t="s">
        <v>965</v>
      </c>
      <c r="AB670" t="s">
        <v>965</v>
      </c>
      <c r="AC670" t="s">
        <v>965</v>
      </c>
      <c r="AD670" t="s">
        <v>965</v>
      </c>
      <c r="AE670" t="s">
        <v>965</v>
      </c>
      <c r="AF670" t="s">
        <v>965</v>
      </c>
      <c r="AG670" t="s">
        <v>965</v>
      </c>
      <c r="AH670" t="s">
        <v>965</v>
      </c>
      <c r="AI670" t="s">
        <v>965</v>
      </c>
      <c r="AJ670" t="s">
        <v>965</v>
      </c>
      <c r="AK670" t="s">
        <v>965</v>
      </c>
      <c r="AL670" t="s">
        <v>965</v>
      </c>
      <c r="AM670" t="s">
        <v>965</v>
      </c>
      <c r="AN670" t="s">
        <v>965</v>
      </c>
      <c r="AO670" t="s">
        <v>965</v>
      </c>
      <c r="AP670" t="s">
        <v>965</v>
      </c>
      <c r="AQ670" t="s">
        <v>965</v>
      </c>
      <c r="AR670" t="s">
        <v>965</v>
      </c>
      <c r="AS670" t="s">
        <v>965</v>
      </c>
      <c r="AT670" t="s">
        <v>965</v>
      </c>
      <c r="AU670" t="s">
        <v>965</v>
      </c>
      <c r="AV670" t="s">
        <v>965</v>
      </c>
      <c r="AW670" t="s">
        <v>965</v>
      </c>
      <c r="AX670" t="s">
        <v>965</v>
      </c>
      <c r="AY670" t="s">
        <v>965</v>
      </c>
      <c r="AZ670" t="s">
        <v>965</v>
      </c>
      <c r="BA670" t="s">
        <v>965</v>
      </c>
      <c r="BB670" t="s">
        <v>965</v>
      </c>
      <c r="BC670" t="s">
        <v>833</v>
      </c>
      <c r="BD670" t="s">
        <v>965</v>
      </c>
      <c r="BE670" t="s">
        <v>835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100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100</v>
      </c>
      <c r="BR670">
        <v>0</v>
      </c>
      <c r="BS670">
        <v>0</v>
      </c>
      <c r="BT670">
        <v>45</v>
      </c>
      <c r="BU670">
        <v>91</v>
      </c>
      <c r="BV670" s="36">
        <f>BU670/BT670</f>
        <v>2.0222222222222221</v>
      </c>
    </row>
    <row r="671" spans="2:74" x14ac:dyDescent="0.2">
      <c r="B671" t="s">
        <v>25</v>
      </c>
      <c r="C671" t="s">
        <v>1301</v>
      </c>
      <c r="D671" t="s">
        <v>71</v>
      </c>
      <c r="F671" s="5" t="s">
        <v>15</v>
      </c>
      <c r="G671" s="6" t="s">
        <v>72</v>
      </c>
      <c r="H671" s="35">
        <v>0.09</v>
      </c>
      <c r="I671" s="35">
        <v>0.34</v>
      </c>
      <c r="J671" s="32">
        <v>0.59</v>
      </c>
      <c r="K671" t="s">
        <v>833</v>
      </c>
      <c r="L671" t="s">
        <v>963</v>
      </c>
      <c r="N671" t="s">
        <v>834</v>
      </c>
      <c r="O671" t="s">
        <v>965</v>
      </c>
      <c r="P671" t="s">
        <v>965</v>
      </c>
      <c r="Q671" t="s">
        <v>965</v>
      </c>
      <c r="R671" t="s">
        <v>965</v>
      </c>
      <c r="S671" t="s">
        <v>965</v>
      </c>
      <c r="T671" t="s">
        <v>965</v>
      </c>
      <c r="U671" t="s">
        <v>833</v>
      </c>
      <c r="V671" t="s">
        <v>965</v>
      </c>
      <c r="W671" t="s">
        <v>965</v>
      </c>
      <c r="X671" t="s">
        <v>965</v>
      </c>
      <c r="Y671" t="s">
        <v>965</v>
      </c>
      <c r="Z671" t="s">
        <v>965</v>
      </c>
      <c r="AA671" t="s">
        <v>965</v>
      </c>
      <c r="AB671" t="s">
        <v>965</v>
      </c>
      <c r="AC671" t="s">
        <v>965</v>
      </c>
      <c r="AD671" t="s">
        <v>965</v>
      </c>
      <c r="AE671" t="s">
        <v>965</v>
      </c>
      <c r="AF671" t="s">
        <v>965</v>
      </c>
      <c r="AG671" t="s">
        <v>965</v>
      </c>
      <c r="AH671" t="s">
        <v>965</v>
      </c>
      <c r="AI671" t="s">
        <v>965</v>
      </c>
      <c r="AJ671" t="s">
        <v>965</v>
      </c>
      <c r="AK671" t="s">
        <v>965</v>
      </c>
      <c r="AL671" t="s">
        <v>965</v>
      </c>
      <c r="AM671" t="s">
        <v>965</v>
      </c>
      <c r="AN671" t="s">
        <v>965</v>
      </c>
      <c r="AO671" t="s">
        <v>965</v>
      </c>
      <c r="AP671" t="s">
        <v>965</v>
      </c>
      <c r="AQ671" t="s">
        <v>965</v>
      </c>
      <c r="AR671" t="s">
        <v>965</v>
      </c>
      <c r="AS671" t="s">
        <v>965</v>
      </c>
      <c r="AT671" t="s">
        <v>965</v>
      </c>
      <c r="AU671" t="s">
        <v>965</v>
      </c>
      <c r="AV671" t="s">
        <v>965</v>
      </c>
      <c r="AW671" t="s">
        <v>965</v>
      </c>
      <c r="AX671" t="s">
        <v>965</v>
      </c>
      <c r="AY671" t="s">
        <v>965</v>
      </c>
      <c r="AZ671" t="s">
        <v>965</v>
      </c>
      <c r="BA671" t="s">
        <v>965</v>
      </c>
      <c r="BB671" t="s">
        <v>965</v>
      </c>
      <c r="BC671" t="s">
        <v>965</v>
      </c>
      <c r="BD671" t="s">
        <v>965</v>
      </c>
      <c r="BE671" t="s">
        <v>835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14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14</v>
      </c>
      <c r="BR671">
        <v>0</v>
      </c>
      <c r="BS671">
        <v>0</v>
      </c>
      <c r="BT671">
        <v>53</v>
      </c>
      <c r="BU671">
        <v>13</v>
      </c>
      <c r="BV671" s="36">
        <f>BU671/BT671</f>
        <v>0.24528301886792453</v>
      </c>
    </row>
    <row r="672" spans="2:74" x14ac:dyDescent="0.2">
      <c r="B672" t="s">
        <v>25</v>
      </c>
      <c r="C672" t="s">
        <v>1301</v>
      </c>
      <c r="D672" t="s">
        <v>709</v>
      </c>
      <c r="F672" s="5" t="s">
        <v>273</v>
      </c>
      <c r="G672" s="6" t="s">
        <v>221</v>
      </c>
      <c r="H672" s="35">
        <v>0.54</v>
      </c>
      <c r="I672" s="35">
        <v>0.53</v>
      </c>
      <c r="J672" s="32">
        <v>0.97</v>
      </c>
      <c r="K672" t="s">
        <v>833</v>
      </c>
      <c r="L672" t="s">
        <v>963</v>
      </c>
      <c r="M672" t="s">
        <v>849</v>
      </c>
      <c r="N672" t="s">
        <v>834</v>
      </c>
      <c r="O672" t="s">
        <v>965</v>
      </c>
      <c r="P672" t="s">
        <v>965</v>
      </c>
      <c r="Q672" t="s">
        <v>965</v>
      </c>
      <c r="R672" t="s">
        <v>965</v>
      </c>
      <c r="S672" t="s">
        <v>965</v>
      </c>
      <c r="T672" t="s">
        <v>965</v>
      </c>
      <c r="U672" t="s">
        <v>965</v>
      </c>
      <c r="V672" t="s">
        <v>965</v>
      </c>
      <c r="W672" t="s">
        <v>965</v>
      </c>
      <c r="X672" t="s">
        <v>965</v>
      </c>
      <c r="Y672" t="s">
        <v>965</v>
      </c>
      <c r="Z672" t="s">
        <v>965</v>
      </c>
      <c r="AA672" t="s">
        <v>965</v>
      </c>
      <c r="AB672" t="s">
        <v>965</v>
      </c>
      <c r="AC672" t="s">
        <v>965</v>
      </c>
      <c r="AD672" t="s">
        <v>965</v>
      </c>
      <c r="AE672" t="s">
        <v>965</v>
      </c>
      <c r="AF672" t="s">
        <v>965</v>
      </c>
      <c r="AG672" t="s">
        <v>965</v>
      </c>
      <c r="AH672" t="s">
        <v>965</v>
      </c>
      <c r="AI672" t="s">
        <v>965</v>
      </c>
      <c r="AJ672" t="s">
        <v>965</v>
      </c>
      <c r="AK672" t="s">
        <v>965</v>
      </c>
      <c r="AL672" t="s">
        <v>965</v>
      </c>
      <c r="AM672" t="s">
        <v>965</v>
      </c>
      <c r="AN672" t="s">
        <v>965</v>
      </c>
      <c r="AO672" t="s">
        <v>965</v>
      </c>
      <c r="AP672" t="s">
        <v>965</v>
      </c>
      <c r="AQ672" t="s">
        <v>965</v>
      </c>
      <c r="AR672" t="s">
        <v>965</v>
      </c>
      <c r="AS672" t="s">
        <v>965</v>
      </c>
      <c r="AT672" t="s">
        <v>965</v>
      </c>
      <c r="AU672" t="s">
        <v>965</v>
      </c>
      <c r="AV672" t="s">
        <v>965</v>
      </c>
      <c r="AW672" t="s">
        <v>965</v>
      </c>
      <c r="AX672" t="s">
        <v>965</v>
      </c>
      <c r="AY672" t="s">
        <v>965</v>
      </c>
      <c r="AZ672" t="s">
        <v>965</v>
      </c>
      <c r="BA672" t="s">
        <v>965</v>
      </c>
      <c r="BB672" t="s">
        <v>965</v>
      </c>
      <c r="BC672" t="s">
        <v>833</v>
      </c>
      <c r="BD672" t="s">
        <v>965</v>
      </c>
      <c r="BE672" t="s">
        <v>835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100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100</v>
      </c>
      <c r="BR672">
        <v>0</v>
      </c>
      <c r="BS672">
        <v>0</v>
      </c>
      <c r="BT672">
        <v>46</v>
      </c>
      <c r="BU672">
        <v>91</v>
      </c>
      <c r="BV672" s="36">
        <f>BU672/BT672</f>
        <v>1.9782608695652173</v>
      </c>
    </row>
    <row r="673" spans="1:74" x14ac:dyDescent="0.2">
      <c r="B673" t="s">
        <v>25</v>
      </c>
      <c r="C673" t="s">
        <v>1301</v>
      </c>
      <c r="D673" t="s">
        <v>347</v>
      </c>
      <c r="F673" s="5" t="s">
        <v>30</v>
      </c>
      <c r="G673" s="6" t="s">
        <v>84</v>
      </c>
      <c r="H673" s="35">
        <v>0.25</v>
      </c>
      <c r="I673" s="35">
        <v>0.93</v>
      </c>
      <c r="J673" s="32">
        <v>0.67</v>
      </c>
      <c r="BT673">
        <v>163</v>
      </c>
    </row>
    <row r="674" spans="1:74" x14ac:dyDescent="0.2">
      <c r="B674" t="s">
        <v>25</v>
      </c>
      <c r="C674" t="s">
        <v>1301</v>
      </c>
      <c r="D674" t="s">
        <v>897</v>
      </c>
      <c r="F674" s="5" t="s">
        <v>42</v>
      </c>
      <c r="G674" s="6" t="s">
        <v>212</v>
      </c>
      <c r="H674" s="35">
        <v>0.13</v>
      </c>
      <c r="I674" s="35">
        <v>0.25</v>
      </c>
      <c r="J674" s="32">
        <v>0.55000000000000004</v>
      </c>
      <c r="BT674">
        <v>50</v>
      </c>
    </row>
    <row r="675" spans="1:74" x14ac:dyDescent="0.2">
      <c r="B675" t="s">
        <v>25</v>
      </c>
      <c r="C675" t="s">
        <v>1301</v>
      </c>
      <c r="D675" t="s">
        <v>487</v>
      </c>
      <c r="F675" s="5" t="s">
        <v>42</v>
      </c>
      <c r="G675" s="6" t="s">
        <v>290</v>
      </c>
      <c r="H675" s="35">
        <v>0.66</v>
      </c>
      <c r="I675" s="35">
        <v>0.03</v>
      </c>
      <c r="J675" s="32">
        <v>0.36</v>
      </c>
      <c r="BT675">
        <v>56</v>
      </c>
    </row>
    <row r="676" spans="1:74" x14ac:dyDescent="0.2">
      <c r="B676" t="s">
        <v>25</v>
      </c>
      <c r="C676" t="s">
        <v>1301</v>
      </c>
      <c r="D676" t="s">
        <v>1310</v>
      </c>
      <c r="F676" s="5" t="s">
        <v>58</v>
      </c>
      <c r="G676" s="6" t="s">
        <v>122</v>
      </c>
      <c r="H676" s="35">
        <v>0.33</v>
      </c>
      <c r="I676" s="35">
        <v>0.5</v>
      </c>
      <c r="J676" s="32">
        <v>0.75</v>
      </c>
      <c r="BT676">
        <v>57</v>
      </c>
    </row>
    <row r="677" spans="1:74" x14ac:dyDescent="0.2">
      <c r="B677" t="s">
        <v>25</v>
      </c>
      <c r="C677" t="s">
        <v>1301</v>
      </c>
      <c r="D677" t="s">
        <v>229</v>
      </c>
      <c r="F677" s="5" t="s">
        <v>42</v>
      </c>
      <c r="G677" s="6" t="s">
        <v>88</v>
      </c>
      <c r="H677" s="35">
        <v>0.77</v>
      </c>
      <c r="I677" s="35">
        <v>0.38</v>
      </c>
      <c r="J677" s="32">
        <v>0.32</v>
      </c>
      <c r="BT677">
        <v>204</v>
      </c>
    </row>
    <row r="678" spans="1:74" x14ac:dyDescent="0.2">
      <c r="B678" t="s">
        <v>25</v>
      </c>
      <c r="C678" t="s">
        <v>1301</v>
      </c>
      <c r="D678" t="s">
        <v>208</v>
      </c>
      <c r="F678" s="5" t="s">
        <v>45</v>
      </c>
      <c r="G678" s="6" t="s">
        <v>172</v>
      </c>
      <c r="H678" s="35">
        <v>0.51</v>
      </c>
      <c r="I678" s="35">
        <v>0.13</v>
      </c>
      <c r="J678" s="32">
        <v>0.81</v>
      </c>
      <c r="BT678">
        <v>103</v>
      </c>
    </row>
    <row r="679" spans="1:74" x14ac:dyDescent="0.2">
      <c r="B679" t="s">
        <v>25</v>
      </c>
      <c r="C679" t="s">
        <v>1301</v>
      </c>
      <c r="D679" t="s">
        <v>22</v>
      </c>
      <c r="F679" s="5" t="s">
        <v>23</v>
      </c>
      <c r="G679" s="6" t="s">
        <v>24</v>
      </c>
      <c r="H679" s="35">
        <v>0.65</v>
      </c>
      <c r="I679" s="35">
        <v>0.06</v>
      </c>
      <c r="J679" s="32">
        <v>0.77</v>
      </c>
      <c r="BT679">
        <v>391</v>
      </c>
    </row>
    <row r="680" spans="1:74" x14ac:dyDescent="0.2">
      <c r="B680" t="s">
        <v>25</v>
      </c>
      <c r="C680" t="s">
        <v>1301</v>
      </c>
      <c r="D680" t="s">
        <v>263</v>
      </c>
      <c r="F680" s="5" t="s">
        <v>15</v>
      </c>
      <c r="G680" s="6" t="s">
        <v>264</v>
      </c>
      <c r="H680" s="35">
        <v>0.16</v>
      </c>
      <c r="I680" s="35">
        <v>0.68</v>
      </c>
      <c r="J680" s="32">
        <v>0.76</v>
      </c>
      <c r="BT680">
        <v>69</v>
      </c>
    </row>
    <row r="681" spans="1:74" x14ac:dyDescent="0.2">
      <c r="B681" t="s">
        <v>25</v>
      </c>
      <c r="C681" t="s">
        <v>1301</v>
      </c>
      <c r="D681" t="s">
        <v>318</v>
      </c>
      <c r="F681" s="5" t="s">
        <v>15</v>
      </c>
      <c r="G681" s="6" t="s">
        <v>228</v>
      </c>
      <c r="H681" s="35">
        <v>0.45</v>
      </c>
      <c r="I681" s="35">
        <v>0.25</v>
      </c>
      <c r="J681" s="32">
        <v>0.91</v>
      </c>
      <c r="BT681">
        <v>101</v>
      </c>
    </row>
    <row r="682" spans="1:74" x14ac:dyDescent="0.2">
      <c r="B682" t="s">
        <v>25</v>
      </c>
      <c r="C682" t="s">
        <v>1301</v>
      </c>
      <c r="D682" t="s">
        <v>87</v>
      </c>
      <c r="F682" s="5" t="s">
        <v>42</v>
      </c>
      <c r="G682" s="6" t="s">
        <v>88</v>
      </c>
      <c r="H682" s="35">
        <v>0.77</v>
      </c>
      <c r="I682" s="35">
        <v>0.38</v>
      </c>
      <c r="J682" s="32">
        <v>0.32</v>
      </c>
      <c r="BT682">
        <v>343</v>
      </c>
    </row>
    <row r="683" spans="1:74" x14ac:dyDescent="0.2">
      <c r="B683" t="s">
        <v>25</v>
      </c>
      <c r="C683" t="s">
        <v>1301</v>
      </c>
      <c r="D683" t="s">
        <v>538</v>
      </c>
      <c r="F683" s="5" t="s">
        <v>30</v>
      </c>
      <c r="G683" s="6" t="s">
        <v>120</v>
      </c>
      <c r="H683" s="35">
        <v>0.22</v>
      </c>
      <c r="I683" s="35">
        <v>0.6</v>
      </c>
      <c r="J683" s="32">
        <v>0.99</v>
      </c>
      <c r="K683" t="s">
        <v>833</v>
      </c>
      <c r="L683" t="s">
        <v>963</v>
      </c>
      <c r="M683" t="s">
        <v>849</v>
      </c>
      <c r="N683" t="s">
        <v>834</v>
      </c>
      <c r="O683" t="s">
        <v>965</v>
      </c>
      <c r="P683" t="s">
        <v>965</v>
      </c>
      <c r="Q683" t="s">
        <v>965</v>
      </c>
      <c r="R683" t="s">
        <v>965</v>
      </c>
      <c r="S683" t="s">
        <v>965</v>
      </c>
      <c r="T683" t="s">
        <v>965</v>
      </c>
      <c r="U683" t="s">
        <v>965</v>
      </c>
      <c r="V683" t="s">
        <v>965</v>
      </c>
      <c r="W683" t="s">
        <v>965</v>
      </c>
      <c r="X683" t="s">
        <v>965</v>
      </c>
      <c r="Y683" t="s">
        <v>965</v>
      </c>
      <c r="Z683" t="s">
        <v>965</v>
      </c>
      <c r="AA683" t="s">
        <v>965</v>
      </c>
      <c r="AB683" t="s">
        <v>965</v>
      </c>
      <c r="AC683" t="s">
        <v>965</v>
      </c>
      <c r="AD683" t="s">
        <v>965</v>
      </c>
      <c r="AE683" t="s">
        <v>965</v>
      </c>
      <c r="AF683" t="s">
        <v>965</v>
      </c>
      <c r="AG683" t="s">
        <v>965</v>
      </c>
      <c r="AH683" t="s">
        <v>965</v>
      </c>
      <c r="AI683" t="s">
        <v>965</v>
      </c>
      <c r="AJ683" t="s">
        <v>965</v>
      </c>
      <c r="AK683" t="s">
        <v>965</v>
      </c>
      <c r="AL683" t="s">
        <v>965</v>
      </c>
      <c r="AM683" t="s">
        <v>965</v>
      </c>
      <c r="AN683" t="s">
        <v>965</v>
      </c>
      <c r="AO683" t="s">
        <v>965</v>
      </c>
      <c r="AP683" t="s">
        <v>965</v>
      </c>
      <c r="AQ683" t="s">
        <v>965</v>
      </c>
      <c r="AR683" t="s">
        <v>965</v>
      </c>
      <c r="AS683" t="s">
        <v>965</v>
      </c>
      <c r="AT683" t="s">
        <v>965</v>
      </c>
      <c r="AU683" t="s">
        <v>965</v>
      </c>
      <c r="AV683" t="s">
        <v>965</v>
      </c>
      <c r="AW683" t="s">
        <v>965</v>
      </c>
      <c r="AX683" t="s">
        <v>965</v>
      </c>
      <c r="AY683" t="s">
        <v>965</v>
      </c>
      <c r="AZ683" t="s">
        <v>965</v>
      </c>
      <c r="BA683" t="s">
        <v>965</v>
      </c>
      <c r="BB683" t="s">
        <v>965</v>
      </c>
      <c r="BC683" t="s">
        <v>833</v>
      </c>
      <c r="BD683" t="s">
        <v>965</v>
      </c>
      <c r="BE683" t="s">
        <v>835</v>
      </c>
      <c r="BF683">
        <v>51</v>
      </c>
      <c r="BG683">
        <v>15</v>
      </c>
      <c r="BH683">
        <v>0</v>
      </c>
      <c r="BI683">
        <v>0</v>
      </c>
      <c r="BJ683">
        <v>0</v>
      </c>
      <c r="BK683">
        <v>155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206</v>
      </c>
      <c r="BR683">
        <v>0</v>
      </c>
      <c r="BS683">
        <v>0</v>
      </c>
      <c r="BT683">
        <v>37</v>
      </c>
      <c r="BU683">
        <v>192</v>
      </c>
      <c r="BV683" s="36">
        <f>BU683/BT683</f>
        <v>5.1891891891891895</v>
      </c>
    </row>
    <row r="684" spans="1:74" x14ac:dyDescent="0.2">
      <c r="B684" t="s">
        <v>1311</v>
      </c>
      <c r="D684" t="s">
        <v>1312</v>
      </c>
      <c r="F684" t="s">
        <v>103</v>
      </c>
      <c r="G684" s="6" t="s">
        <v>1313</v>
      </c>
      <c r="H684" s="32">
        <v>0.746</v>
      </c>
      <c r="I684" s="32">
        <v>0.94899999999999995</v>
      </c>
      <c r="J684" s="32">
        <v>0.34399999999999997</v>
      </c>
      <c r="BT684" t="s">
        <v>1119</v>
      </c>
    </row>
    <row r="685" spans="1:74" x14ac:dyDescent="0.2">
      <c r="A685">
        <v>2025</v>
      </c>
      <c r="B685" t="s">
        <v>1314</v>
      </c>
      <c r="C685" t="s">
        <v>968</v>
      </c>
      <c r="D685" t="s">
        <v>1315</v>
      </c>
      <c r="E685" s="5" t="s">
        <v>845</v>
      </c>
      <c r="F685" s="5" t="s">
        <v>15</v>
      </c>
      <c r="H685" s="5"/>
      <c r="I685" s="5"/>
      <c r="J685" s="5"/>
      <c r="K685" t="s">
        <v>833</v>
      </c>
      <c r="L685" t="s">
        <v>963</v>
      </c>
      <c r="N685" t="s">
        <v>834</v>
      </c>
      <c r="O685" t="s">
        <v>965</v>
      </c>
      <c r="P685" t="s">
        <v>965</v>
      </c>
      <c r="Q685" t="s">
        <v>965</v>
      </c>
      <c r="R685" t="s">
        <v>965</v>
      </c>
      <c r="S685" t="s">
        <v>965</v>
      </c>
      <c r="T685" t="s">
        <v>965</v>
      </c>
      <c r="U685" t="s">
        <v>965</v>
      </c>
      <c r="V685" t="s">
        <v>965</v>
      </c>
      <c r="W685" t="s">
        <v>965</v>
      </c>
      <c r="X685" t="s">
        <v>965</v>
      </c>
      <c r="Y685" t="s">
        <v>965</v>
      </c>
      <c r="Z685" t="s">
        <v>965</v>
      </c>
      <c r="AA685" t="s">
        <v>965</v>
      </c>
      <c r="AB685" t="s">
        <v>965</v>
      </c>
      <c r="AC685" t="s">
        <v>965</v>
      </c>
      <c r="AD685" t="s">
        <v>965</v>
      </c>
      <c r="AE685" t="s">
        <v>965</v>
      </c>
      <c r="AF685" t="s">
        <v>965</v>
      </c>
      <c r="AG685" t="s">
        <v>965</v>
      </c>
      <c r="AH685" t="s">
        <v>965</v>
      </c>
      <c r="AI685" t="s">
        <v>965</v>
      </c>
      <c r="AJ685" t="s">
        <v>965</v>
      </c>
      <c r="AK685" t="s">
        <v>965</v>
      </c>
      <c r="AL685" t="s">
        <v>965</v>
      </c>
      <c r="AM685" t="s">
        <v>965</v>
      </c>
      <c r="AN685" t="s">
        <v>965</v>
      </c>
      <c r="AO685" t="s">
        <v>965</v>
      </c>
      <c r="AP685" t="s">
        <v>965</v>
      </c>
      <c r="AQ685" t="s">
        <v>965</v>
      </c>
      <c r="AR685" t="s">
        <v>965</v>
      </c>
      <c r="AS685" t="s">
        <v>965</v>
      </c>
      <c r="AT685" t="s">
        <v>965</v>
      </c>
      <c r="AU685" t="s">
        <v>965</v>
      </c>
      <c r="AV685" t="s">
        <v>965</v>
      </c>
      <c r="AW685" t="s">
        <v>965</v>
      </c>
      <c r="AX685" t="s">
        <v>965</v>
      </c>
      <c r="AY685" t="s">
        <v>965</v>
      </c>
      <c r="AZ685" t="s">
        <v>965</v>
      </c>
      <c r="BA685" t="s">
        <v>965</v>
      </c>
      <c r="BB685" t="s">
        <v>965</v>
      </c>
      <c r="BC685" t="s">
        <v>833</v>
      </c>
      <c r="BD685" t="s">
        <v>965</v>
      </c>
      <c r="BE685" t="s">
        <v>835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8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8</v>
      </c>
      <c r="BR685">
        <v>0</v>
      </c>
      <c r="BS685">
        <v>0</v>
      </c>
      <c r="BT685">
        <v>8</v>
      </c>
      <c r="BU685">
        <v>8</v>
      </c>
      <c r="BV685" s="36">
        <f t="shared" ref="BV685:BV690" si="7">BU685/BT685</f>
        <v>1</v>
      </c>
    </row>
    <row r="686" spans="1:74" x14ac:dyDescent="0.2">
      <c r="A686">
        <v>2025</v>
      </c>
      <c r="B686" t="s">
        <v>1314</v>
      </c>
      <c r="C686" t="s">
        <v>971</v>
      </c>
      <c r="D686" t="s">
        <v>1316</v>
      </c>
      <c r="E686" s="5" t="s">
        <v>845</v>
      </c>
      <c r="F686" s="5" t="s">
        <v>15</v>
      </c>
      <c r="H686" s="5"/>
      <c r="I686" s="5"/>
      <c r="J686" s="5"/>
      <c r="K686" t="s">
        <v>833</v>
      </c>
      <c r="L686" t="s">
        <v>963</v>
      </c>
      <c r="N686" t="s">
        <v>834</v>
      </c>
      <c r="O686" t="s">
        <v>965</v>
      </c>
      <c r="P686" t="s">
        <v>833</v>
      </c>
      <c r="Q686" t="s">
        <v>965</v>
      </c>
      <c r="R686" t="s">
        <v>965</v>
      </c>
      <c r="S686" t="s">
        <v>965</v>
      </c>
      <c r="T686" t="s">
        <v>965</v>
      </c>
      <c r="U686" t="s">
        <v>965</v>
      </c>
      <c r="V686" t="s">
        <v>965</v>
      </c>
      <c r="W686" t="s">
        <v>965</v>
      </c>
      <c r="X686" t="s">
        <v>965</v>
      </c>
      <c r="Y686" t="s">
        <v>965</v>
      </c>
      <c r="Z686" t="s">
        <v>965</v>
      </c>
      <c r="AA686" t="s">
        <v>965</v>
      </c>
      <c r="AB686" t="s">
        <v>965</v>
      </c>
      <c r="AC686" t="s">
        <v>965</v>
      </c>
      <c r="AD686" t="s">
        <v>965</v>
      </c>
      <c r="AE686" t="s">
        <v>965</v>
      </c>
      <c r="AF686" t="s">
        <v>965</v>
      </c>
      <c r="AG686" t="s">
        <v>965</v>
      </c>
      <c r="AH686" t="s">
        <v>965</v>
      </c>
      <c r="AI686" t="s">
        <v>965</v>
      </c>
      <c r="AJ686" t="s">
        <v>965</v>
      </c>
      <c r="AK686" t="s">
        <v>965</v>
      </c>
      <c r="AL686" t="s">
        <v>965</v>
      </c>
      <c r="AM686" t="s">
        <v>965</v>
      </c>
      <c r="AN686" t="s">
        <v>965</v>
      </c>
      <c r="AO686" t="s">
        <v>965</v>
      </c>
      <c r="AP686" t="s">
        <v>965</v>
      </c>
      <c r="AQ686" t="s">
        <v>965</v>
      </c>
      <c r="AR686" t="s">
        <v>965</v>
      </c>
      <c r="AS686" t="s">
        <v>965</v>
      </c>
      <c r="AT686" t="s">
        <v>965</v>
      </c>
      <c r="AU686" t="s">
        <v>965</v>
      </c>
      <c r="AV686" t="s">
        <v>965</v>
      </c>
      <c r="AW686" t="s">
        <v>965</v>
      </c>
      <c r="AX686" t="s">
        <v>965</v>
      </c>
      <c r="AY686" t="s">
        <v>965</v>
      </c>
      <c r="AZ686" t="s">
        <v>965</v>
      </c>
      <c r="BA686" t="s">
        <v>965</v>
      </c>
      <c r="BB686" t="s">
        <v>965</v>
      </c>
      <c r="BC686" t="s">
        <v>833</v>
      </c>
      <c r="BD686" t="s">
        <v>965</v>
      </c>
      <c r="BE686" t="s">
        <v>855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12</v>
      </c>
      <c r="BL686">
        <v>0</v>
      </c>
      <c r="BM686">
        <v>12</v>
      </c>
      <c r="BN686">
        <v>0</v>
      </c>
      <c r="BO686">
        <v>0</v>
      </c>
      <c r="BP686">
        <v>0</v>
      </c>
      <c r="BQ686">
        <v>12</v>
      </c>
      <c r="BR686">
        <v>0</v>
      </c>
      <c r="BS686">
        <v>0</v>
      </c>
      <c r="BT686">
        <v>12</v>
      </c>
      <c r="BU686">
        <v>12</v>
      </c>
      <c r="BV686" s="36">
        <f t="shared" si="7"/>
        <v>1</v>
      </c>
    </row>
    <row r="687" spans="1:74" x14ac:dyDescent="0.2">
      <c r="A687">
        <v>2025</v>
      </c>
      <c r="B687" t="s">
        <v>1314</v>
      </c>
      <c r="C687" t="s">
        <v>1317</v>
      </c>
      <c r="D687" t="s">
        <v>1318</v>
      </c>
      <c r="E687" s="5" t="s">
        <v>845</v>
      </c>
      <c r="F687" s="5" t="s">
        <v>15</v>
      </c>
      <c r="H687" s="5"/>
      <c r="I687" s="5"/>
      <c r="J687" s="5"/>
      <c r="K687" t="s">
        <v>833</v>
      </c>
      <c r="L687" t="s">
        <v>963</v>
      </c>
      <c r="N687" t="s">
        <v>834</v>
      </c>
      <c r="O687" t="s">
        <v>965</v>
      </c>
      <c r="P687" t="s">
        <v>833</v>
      </c>
      <c r="Q687" t="s">
        <v>965</v>
      </c>
      <c r="R687" t="s">
        <v>965</v>
      </c>
      <c r="S687" t="s">
        <v>965</v>
      </c>
      <c r="T687" t="s">
        <v>965</v>
      </c>
      <c r="U687" t="s">
        <v>965</v>
      </c>
      <c r="V687" t="s">
        <v>965</v>
      </c>
      <c r="W687" t="s">
        <v>965</v>
      </c>
      <c r="X687" t="s">
        <v>965</v>
      </c>
      <c r="Y687" t="s">
        <v>965</v>
      </c>
      <c r="Z687" t="s">
        <v>965</v>
      </c>
      <c r="AA687" t="s">
        <v>965</v>
      </c>
      <c r="AB687" t="s">
        <v>965</v>
      </c>
      <c r="AC687" t="s">
        <v>965</v>
      </c>
      <c r="AD687" t="s">
        <v>965</v>
      </c>
      <c r="AE687" t="s">
        <v>965</v>
      </c>
      <c r="AF687" t="s">
        <v>965</v>
      </c>
      <c r="AG687" t="s">
        <v>965</v>
      </c>
      <c r="AH687" t="s">
        <v>965</v>
      </c>
      <c r="AI687" t="s">
        <v>965</v>
      </c>
      <c r="AJ687" t="s">
        <v>965</v>
      </c>
      <c r="AK687" t="s">
        <v>965</v>
      </c>
      <c r="AL687" t="s">
        <v>965</v>
      </c>
      <c r="AM687" t="s">
        <v>965</v>
      </c>
      <c r="AN687" t="s">
        <v>965</v>
      </c>
      <c r="AO687" t="s">
        <v>965</v>
      </c>
      <c r="AP687" t="s">
        <v>965</v>
      </c>
      <c r="AQ687" t="s">
        <v>965</v>
      </c>
      <c r="AR687" t="s">
        <v>965</v>
      </c>
      <c r="AS687" t="s">
        <v>965</v>
      </c>
      <c r="AT687" t="s">
        <v>965</v>
      </c>
      <c r="AU687" t="s">
        <v>965</v>
      </c>
      <c r="AV687" t="s">
        <v>965</v>
      </c>
      <c r="AW687" t="s">
        <v>965</v>
      </c>
      <c r="AX687" t="s">
        <v>965</v>
      </c>
      <c r="AY687" t="s">
        <v>965</v>
      </c>
      <c r="AZ687" t="s">
        <v>965</v>
      </c>
      <c r="BA687" t="s">
        <v>965</v>
      </c>
      <c r="BB687" t="s">
        <v>965</v>
      </c>
      <c r="BC687" t="s">
        <v>833</v>
      </c>
      <c r="BD687" t="s">
        <v>965</v>
      </c>
      <c r="BE687" t="s">
        <v>855</v>
      </c>
      <c r="BF687">
        <v>50</v>
      </c>
      <c r="BG687">
        <v>15</v>
      </c>
      <c r="BH687">
        <v>0</v>
      </c>
      <c r="BI687">
        <v>0</v>
      </c>
      <c r="BJ687">
        <v>0</v>
      </c>
      <c r="BK687">
        <v>2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52</v>
      </c>
      <c r="BR687">
        <v>0</v>
      </c>
      <c r="BS687">
        <v>0</v>
      </c>
      <c r="BT687">
        <v>52</v>
      </c>
      <c r="BU687">
        <v>52</v>
      </c>
      <c r="BV687" s="36">
        <f t="shared" si="7"/>
        <v>1</v>
      </c>
    </row>
    <row r="688" spans="1:74" x14ac:dyDescent="0.2">
      <c r="A688">
        <v>2025</v>
      </c>
      <c r="B688" t="s">
        <v>1314</v>
      </c>
      <c r="C688" t="s">
        <v>981</v>
      </c>
      <c r="D688" t="s">
        <v>1319</v>
      </c>
      <c r="E688" s="5" t="s">
        <v>845</v>
      </c>
      <c r="F688" s="5" t="s">
        <v>15</v>
      </c>
      <c r="H688" s="5"/>
      <c r="I688" s="5"/>
      <c r="J688" s="5"/>
      <c r="K688" t="s">
        <v>833</v>
      </c>
      <c r="L688" t="s">
        <v>963</v>
      </c>
      <c r="N688" t="s">
        <v>834</v>
      </c>
      <c r="O688" t="s">
        <v>965</v>
      </c>
      <c r="P688" t="s">
        <v>833</v>
      </c>
      <c r="Q688" t="s">
        <v>965</v>
      </c>
      <c r="R688" t="s">
        <v>965</v>
      </c>
      <c r="S688" t="s">
        <v>965</v>
      </c>
      <c r="T688" t="s">
        <v>965</v>
      </c>
      <c r="U688" t="s">
        <v>965</v>
      </c>
      <c r="V688" t="s">
        <v>965</v>
      </c>
      <c r="W688" t="s">
        <v>965</v>
      </c>
      <c r="X688" t="s">
        <v>965</v>
      </c>
      <c r="Y688" t="s">
        <v>965</v>
      </c>
      <c r="Z688" t="s">
        <v>965</v>
      </c>
      <c r="AA688" t="s">
        <v>965</v>
      </c>
      <c r="AB688" t="s">
        <v>965</v>
      </c>
      <c r="AC688" t="s">
        <v>965</v>
      </c>
      <c r="AD688" t="s">
        <v>965</v>
      </c>
      <c r="AE688" t="s">
        <v>965</v>
      </c>
      <c r="AF688" t="s">
        <v>965</v>
      </c>
      <c r="AG688" t="s">
        <v>965</v>
      </c>
      <c r="AH688" t="s">
        <v>965</v>
      </c>
      <c r="AI688" t="s">
        <v>965</v>
      </c>
      <c r="AJ688" t="s">
        <v>965</v>
      </c>
      <c r="AK688" t="s">
        <v>965</v>
      </c>
      <c r="AL688" t="s">
        <v>965</v>
      </c>
      <c r="AM688" t="s">
        <v>965</v>
      </c>
      <c r="AN688" t="s">
        <v>965</v>
      </c>
      <c r="AO688" t="s">
        <v>965</v>
      </c>
      <c r="AP688" t="s">
        <v>965</v>
      </c>
      <c r="AQ688" t="s">
        <v>965</v>
      </c>
      <c r="AR688" t="s">
        <v>965</v>
      </c>
      <c r="AS688" t="s">
        <v>965</v>
      </c>
      <c r="AT688" t="s">
        <v>965</v>
      </c>
      <c r="AU688" t="s">
        <v>965</v>
      </c>
      <c r="AV688" t="s">
        <v>965</v>
      </c>
      <c r="AW688" t="s">
        <v>965</v>
      </c>
      <c r="AX688" t="s">
        <v>965</v>
      </c>
      <c r="AY688" t="s">
        <v>965</v>
      </c>
      <c r="AZ688" t="s">
        <v>965</v>
      </c>
      <c r="BA688" t="s">
        <v>965</v>
      </c>
      <c r="BB688" t="s">
        <v>833</v>
      </c>
      <c r="BC688" t="s">
        <v>965</v>
      </c>
      <c r="BD688" t="s">
        <v>965</v>
      </c>
      <c r="BE688" t="s">
        <v>855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8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8</v>
      </c>
      <c r="BR688">
        <v>0</v>
      </c>
      <c r="BS688">
        <v>0</v>
      </c>
      <c r="BT688">
        <v>8</v>
      </c>
      <c r="BU688">
        <v>8</v>
      </c>
      <c r="BV688" s="36">
        <f t="shared" si="7"/>
        <v>1</v>
      </c>
    </row>
    <row r="689" spans="1:74" x14ac:dyDescent="0.2">
      <c r="A689">
        <v>2025</v>
      </c>
      <c r="B689" t="s">
        <v>1314</v>
      </c>
      <c r="C689" t="s">
        <v>981</v>
      </c>
      <c r="D689" t="s">
        <v>1320</v>
      </c>
      <c r="E689" s="5" t="s">
        <v>845</v>
      </c>
      <c r="F689" s="5" t="s">
        <v>15</v>
      </c>
      <c r="H689" s="5"/>
      <c r="I689" s="5"/>
      <c r="J689" s="5"/>
      <c r="K689" t="s">
        <v>833</v>
      </c>
      <c r="L689" t="s">
        <v>963</v>
      </c>
      <c r="N689" t="s">
        <v>834</v>
      </c>
      <c r="O689" t="s">
        <v>965</v>
      </c>
      <c r="P689" t="s">
        <v>833</v>
      </c>
      <c r="Q689" t="s">
        <v>965</v>
      </c>
      <c r="R689" t="s">
        <v>965</v>
      </c>
      <c r="S689" t="s">
        <v>965</v>
      </c>
      <c r="T689" t="s">
        <v>965</v>
      </c>
      <c r="U689" t="s">
        <v>965</v>
      </c>
      <c r="V689" t="s">
        <v>965</v>
      </c>
      <c r="W689" t="s">
        <v>965</v>
      </c>
      <c r="X689" t="s">
        <v>965</v>
      </c>
      <c r="Y689" t="s">
        <v>965</v>
      </c>
      <c r="Z689" t="s">
        <v>965</v>
      </c>
      <c r="AA689" t="s">
        <v>965</v>
      </c>
      <c r="AB689" t="s">
        <v>965</v>
      </c>
      <c r="AC689" t="s">
        <v>965</v>
      </c>
      <c r="AD689" t="s">
        <v>965</v>
      </c>
      <c r="AE689" t="s">
        <v>965</v>
      </c>
      <c r="AF689" t="s">
        <v>965</v>
      </c>
      <c r="AG689" t="s">
        <v>965</v>
      </c>
      <c r="AH689" t="s">
        <v>965</v>
      </c>
      <c r="AI689" t="s">
        <v>965</v>
      </c>
      <c r="AJ689" t="s">
        <v>965</v>
      </c>
      <c r="AK689" t="s">
        <v>965</v>
      </c>
      <c r="AL689" t="s">
        <v>965</v>
      </c>
      <c r="AM689" t="s">
        <v>965</v>
      </c>
      <c r="AN689" t="s">
        <v>965</v>
      </c>
      <c r="AO689" t="s">
        <v>965</v>
      </c>
      <c r="AP689" t="s">
        <v>965</v>
      </c>
      <c r="AQ689" t="s">
        <v>965</v>
      </c>
      <c r="AR689" t="s">
        <v>965</v>
      </c>
      <c r="AS689" t="s">
        <v>965</v>
      </c>
      <c r="AT689" t="s">
        <v>965</v>
      </c>
      <c r="AU689" t="s">
        <v>965</v>
      </c>
      <c r="AV689" t="s">
        <v>965</v>
      </c>
      <c r="AW689" t="s">
        <v>965</v>
      </c>
      <c r="AX689" t="s">
        <v>965</v>
      </c>
      <c r="AY689" t="s">
        <v>965</v>
      </c>
      <c r="AZ689" t="s">
        <v>965</v>
      </c>
      <c r="BA689" t="s">
        <v>965</v>
      </c>
      <c r="BB689" t="s">
        <v>965</v>
      </c>
      <c r="BC689" t="s">
        <v>965</v>
      </c>
      <c r="BD689" t="s">
        <v>965</v>
      </c>
      <c r="BE689" t="s">
        <v>855</v>
      </c>
      <c r="BF689">
        <v>23</v>
      </c>
      <c r="BG689">
        <v>6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23</v>
      </c>
      <c r="BR689">
        <v>0</v>
      </c>
      <c r="BS689">
        <v>0</v>
      </c>
      <c r="BT689">
        <v>23</v>
      </c>
      <c r="BU689">
        <v>23</v>
      </c>
      <c r="BV689" s="36">
        <f t="shared" si="7"/>
        <v>1</v>
      </c>
    </row>
    <row r="690" spans="1:74" x14ac:dyDescent="0.2">
      <c r="A690">
        <v>2025</v>
      </c>
      <c r="B690" t="s">
        <v>1314</v>
      </c>
      <c r="C690" t="s">
        <v>981</v>
      </c>
      <c r="D690" t="s">
        <v>1321</v>
      </c>
      <c r="E690" s="5" t="s">
        <v>845</v>
      </c>
      <c r="F690" s="5" t="s">
        <v>15</v>
      </c>
      <c r="H690" s="5"/>
      <c r="I690" s="5"/>
      <c r="J690" s="5"/>
      <c r="K690" t="s">
        <v>833</v>
      </c>
      <c r="L690" t="s">
        <v>963</v>
      </c>
      <c r="N690" t="s">
        <v>834</v>
      </c>
      <c r="O690" t="s">
        <v>965</v>
      </c>
      <c r="P690" t="s">
        <v>833</v>
      </c>
      <c r="Q690" t="s">
        <v>965</v>
      </c>
      <c r="R690" t="s">
        <v>965</v>
      </c>
      <c r="S690" t="s">
        <v>965</v>
      </c>
      <c r="T690" t="s">
        <v>965</v>
      </c>
      <c r="U690" t="s">
        <v>965</v>
      </c>
      <c r="V690" t="s">
        <v>965</v>
      </c>
      <c r="W690" t="s">
        <v>965</v>
      </c>
      <c r="X690" t="s">
        <v>965</v>
      </c>
      <c r="Y690" t="s">
        <v>965</v>
      </c>
      <c r="Z690" t="s">
        <v>965</v>
      </c>
      <c r="AA690" t="s">
        <v>965</v>
      </c>
      <c r="AB690" t="s">
        <v>965</v>
      </c>
      <c r="AC690" t="s">
        <v>965</v>
      </c>
      <c r="AD690" t="s">
        <v>965</v>
      </c>
      <c r="AE690" t="s">
        <v>965</v>
      </c>
      <c r="AF690" t="s">
        <v>965</v>
      </c>
      <c r="AG690" t="s">
        <v>965</v>
      </c>
      <c r="AH690" t="s">
        <v>965</v>
      </c>
      <c r="AI690" t="s">
        <v>965</v>
      </c>
      <c r="AJ690" t="s">
        <v>965</v>
      </c>
      <c r="AK690" t="s">
        <v>965</v>
      </c>
      <c r="AL690" t="s">
        <v>965</v>
      </c>
      <c r="AM690" t="s">
        <v>965</v>
      </c>
      <c r="AN690" t="s">
        <v>965</v>
      </c>
      <c r="AO690" t="s">
        <v>965</v>
      </c>
      <c r="AP690" t="s">
        <v>965</v>
      </c>
      <c r="AQ690" t="s">
        <v>965</v>
      </c>
      <c r="AR690" t="s">
        <v>965</v>
      </c>
      <c r="AS690" t="s">
        <v>965</v>
      </c>
      <c r="AT690" t="s">
        <v>965</v>
      </c>
      <c r="AU690" t="s">
        <v>965</v>
      </c>
      <c r="AV690" t="s">
        <v>965</v>
      </c>
      <c r="AW690" t="s">
        <v>965</v>
      </c>
      <c r="AX690" t="s">
        <v>965</v>
      </c>
      <c r="AY690" t="s">
        <v>965</v>
      </c>
      <c r="AZ690" t="s">
        <v>965</v>
      </c>
      <c r="BA690" t="s">
        <v>965</v>
      </c>
      <c r="BB690" t="s">
        <v>965</v>
      </c>
      <c r="BC690" t="s">
        <v>965</v>
      </c>
      <c r="BD690" t="s">
        <v>965</v>
      </c>
      <c r="BE690" t="s">
        <v>855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5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5</v>
      </c>
      <c r="BR690">
        <v>0</v>
      </c>
      <c r="BS690">
        <v>0</v>
      </c>
      <c r="BT690">
        <v>5</v>
      </c>
      <c r="BU690">
        <v>5</v>
      </c>
      <c r="BV690" s="36">
        <f t="shared" si="7"/>
        <v>1</v>
      </c>
    </row>
    <row r="691" spans="1:74" x14ac:dyDescent="0.2">
      <c r="A691">
        <v>2025</v>
      </c>
      <c r="B691" t="s">
        <v>1314</v>
      </c>
      <c r="C691" t="s">
        <v>1001</v>
      </c>
      <c r="D691" t="s">
        <v>1322</v>
      </c>
      <c r="E691" s="5" t="s">
        <v>869</v>
      </c>
      <c r="F691" s="5" t="s">
        <v>20</v>
      </c>
      <c r="H691" s="5"/>
      <c r="I691" s="5"/>
      <c r="J691" s="5"/>
      <c r="K691" t="s">
        <v>833</v>
      </c>
      <c r="L691" t="s">
        <v>963</v>
      </c>
      <c r="N691" t="s">
        <v>834</v>
      </c>
      <c r="O691" t="s">
        <v>965</v>
      </c>
      <c r="P691" t="s">
        <v>965</v>
      </c>
      <c r="Q691" t="s">
        <v>965</v>
      </c>
      <c r="R691" t="s">
        <v>965</v>
      </c>
      <c r="S691" t="s">
        <v>965</v>
      </c>
      <c r="T691" t="s">
        <v>965</v>
      </c>
      <c r="U691" t="s">
        <v>965</v>
      </c>
      <c r="V691" t="s">
        <v>965</v>
      </c>
      <c r="W691" t="s">
        <v>965</v>
      </c>
      <c r="X691" t="s">
        <v>965</v>
      </c>
      <c r="Y691" t="s">
        <v>965</v>
      </c>
      <c r="Z691" t="s">
        <v>965</v>
      </c>
      <c r="AA691" t="s">
        <v>965</v>
      </c>
      <c r="AB691" t="s">
        <v>965</v>
      </c>
      <c r="AC691" t="s">
        <v>965</v>
      </c>
      <c r="AD691" t="s">
        <v>965</v>
      </c>
      <c r="AE691" t="s">
        <v>965</v>
      </c>
      <c r="AF691" t="s">
        <v>965</v>
      </c>
      <c r="AG691" t="s">
        <v>965</v>
      </c>
      <c r="AH691" t="s">
        <v>965</v>
      </c>
      <c r="AI691" t="s">
        <v>965</v>
      </c>
      <c r="AJ691" t="s">
        <v>965</v>
      </c>
      <c r="AK691" t="s">
        <v>965</v>
      </c>
      <c r="AL691" t="s">
        <v>965</v>
      </c>
      <c r="AM691" t="s">
        <v>965</v>
      </c>
      <c r="AN691" t="s">
        <v>965</v>
      </c>
      <c r="AO691" t="s">
        <v>965</v>
      </c>
      <c r="AP691" t="s">
        <v>965</v>
      </c>
      <c r="AQ691" t="s">
        <v>965</v>
      </c>
      <c r="AR691" t="s">
        <v>965</v>
      </c>
      <c r="AS691" t="s">
        <v>965</v>
      </c>
      <c r="AT691" t="s">
        <v>965</v>
      </c>
      <c r="AU691" t="s">
        <v>965</v>
      </c>
      <c r="AV691" t="s">
        <v>965</v>
      </c>
      <c r="AW691" t="s">
        <v>965</v>
      </c>
      <c r="AX691" t="s">
        <v>965</v>
      </c>
      <c r="AY691" t="s">
        <v>965</v>
      </c>
      <c r="AZ691" t="s">
        <v>965</v>
      </c>
      <c r="BA691" t="s">
        <v>965</v>
      </c>
      <c r="BB691" t="s">
        <v>965</v>
      </c>
      <c r="BC691" t="s">
        <v>833</v>
      </c>
      <c r="BD691" t="s">
        <v>965</v>
      </c>
      <c r="BE691" t="s">
        <v>835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s="36"/>
    </row>
    <row r="692" spans="1:74" x14ac:dyDescent="0.2">
      <c r="A692">
        <v>2025</v>
      </c>
      <c r="B692" t="s">
        <v>1314</v>
      </c>
      <c r="C692" t="s">
        <v>1049</v>
      </c>
      <c r="D692" t="s">
        <v>1323</v>
      </c>
      <c r="E692" s="5" t="s">
        <v>869</v>
      </c>
      <c r="F692" s="5" t="s">
        <v>20</v>
      </c>
      <c r="H692" s="5"/>
      <c r="I692" s="5"/>
      <c r="J692" s="5"/>
      <c r="K692" t="s">
        <v>833</v>
      </c>
      <c r="L692" t="s">
        <v>963</v>
      </c>
      <c r="N692" t="s">
        <v>834</v>
      </c>
      <c r="O692" t="s">
        <v>965</v>
      </c>
      <c r="P692" t="s">
        <v>833</v>
      </c>
      <c r="Q692" t="s">
        <v>965</v>
      </c>
      <c r="R692" t="s">
        <v>965</v>
      </c>
      <c r="S692" t="s">
        <v>965</v>
      </c>
      <c r="T692" t="s">
        <v>965</v>
      </c>
      <c r="U692" t="s">
        <v>965</v>
      </c>
      <c r="V692" t="s">
        <v>965</v>
      </c>
      <c r="W692" t="s">
        <v>965</v>
      </c>
      <c r="X692" t="s">
        <v>965</v>
      </c>
      <c r="Y692" t="s">
        <v>965</v>
      </c>
      <c r="Z692" t="s">
        <v>965</v>
      </c>
      <c r="AA692" t="s">
        <v>965</v>
      </c>
      <c r="AB692" t="s">
        <v>965</v>
      </c>
      <c r="AC692" t="s">
        <v>965</v>
      </c>
      <c r="AD692" t="s">
        <v>965</v>
      </c>
      <c r="AE692" t="s">
        <v>965</v>
      </c>
      <c r="AF692" t="s">
        <v>965</v>
      </c>
      <c r="AG692" t="s">
        <v>965</v>
      </c>
      <c r="AH692" t="s">
        <v>965</v>
      </c>
      <c r="AI692" t="s">
        <v>965</v>
      </c>
      <c r="AJ692" t="s">
        <v>965</v>
      </c>
      <c r="AK692" t="s">
        <v>965</v>
      </c>
      <c r="AL692" t="s">
        <v>965</v>
      </c>
      <c r="AM692" t="s">
        <v>965</v>
      </c>
      <c r="AN692" t="s">
        <v>965</v>
      </c>
      <c r="AO692" t="s">
        <v>965</v>
      </c>
      <c r="AP692" t="s">
        <v>965</v>
      </c>
      <c r="AQ692" t="s">
        <v>965</v>
      </c>
      <c r="AR692" t="s">
        <v>965</v>
      </c>
      <c r="AS692" t="s">
        <v>965</v>
      </c>
      <c r="AT692" t="s">
        <v>965</v>
      </c>
      <c r="AU692" t="s">
        <v>965</v>
      </c>
      <c r="AV692" t="s">
        <v>965</v>
      </c>
      <c r="AW692" t="s">
        <v>965</v>
      </c>
      <c r="AX692" t="s">
        <v>965</v>
      </c>
      <c r="AY692" t="s">
        <v>965</v>
      </c>
      <c r="AZ692" t="s">
        <v>965</v>
      </c>
      <c r="BA692" t="s">
        <v>965</v>
      </c>
      <c r="BB692" t="s">
        <v>965</v>
      </c>
      <c r="BC692" t="s">
        <v>833</v>
      </c>
      <c r="BD692" t="s">
        <v>965</v>
      </c>
      <c r="BE692" t="s">
        <v>855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8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8</v>
      </c>
      <c r="BR692">
        <v>0</v>
      </c>
      <c r="BS692">
        <v>0</v>
      </c>
      <c r="BT692">
        <v>8</v>
      </c>
      <c r="BU692">
        <v>8</v>
      </c>
      <c r="BV692" s="36">
        <f t="shared" ref="BV692:BV697" si="8">BU692/BT692</f>
        <v>1</v>
      </c>
    </row>
    <row r="693" spans="1:74" x14ac:dyDescent="0.2">
      <c r="A693">
        <v>2025</v>
      </c>
      <c r="B693" t="s">
        <v>1314</v>
      </c>
      <c r="C693" t="s">
        <v>1324</v>
      </c>
      <c r="D693" t="s">
        <v>1325</v>
      </c>
      <c r="E693" s="5" t="s">
        <v>869</v>
      </c>
      <c r="F693" s="5" t="s">
        <v>20</v>
      </c>
      <c r="H693" s="5"/>
      <c r="I693" s="5"/>
      <c r="J693" s="5"/>
      <c r="K693" t="s">
        <v>833</v>
      </c>
      <c r="L693" t="s">
        <v>963</v>
      </c>
      <c r="N693" t="s">
        <v>834</v>
      </c>
      <c r="O693" t="s">
        <v>965</v>
      </c>
      <c r="P693" t="s">
        <v>965</v>
      </c>
      <c r="Q693" t="s">
        <v>965</v>
      </c>
      <c r="R693" t="s">
        <v>965</v>
      </c>
      <c r="S693" t="s">
        <v>965</v>
      </c>
      <c r="T693" t="s">
        <v>965</v>
      </c>
      <c r="U693" t="s">
        <v>965</v>
      </c>
      <c r="V693" t="s">
        <v>833</v>
      </c>
      <c r="W693" t="s">
        <v>965</v>
      </c>
      <c r="X693" t="s">
        <v>965</v>
      </c>
      <c r="Y693" t="s">
        <v>965</v>
      </c>
      <c r="Z693" t="s">
        <v>965</v>
      </c>
      <c r="AA693" t="s">
        <v>965</v>
      </c>
      <c r="AB693" t="s">
        <v>965</v>
      </c>
      <c r="AC693" t="s">
        <v>965</v>
      </c>
      <c r="AD693" t="s">
        <v>965</v>
      </c>
      <c r="AE693" t="s">
        <v>965</v>
      </c>
      <c r="AF693" t="s">
        <v>965</v>
      </c>
      <c r="AG693" t="s">
        <v>965</v>
      </c>
      <c r="AH693" t="s">
        <v>965</v>
      </c>
      <c r="AI693" t="s">
        <v>965</v>
      </c>
      <c r="AJ693" t="s">
        <v>965</v>
      </c>
      <c r="AK693" t="s">
        <v>965</v>
      </c>
      <c r="AL693" t="s">
        <v>965</v>
      </c>
      <c r="AM693" t="s">
        <v>965</v>
      </c>
      <c r="AN693" t="s">
        <v>965</v>
      </c>
      <c r="AO693" t="s">
        <v>965</v>
      </c>
      <c r="AP693" t="s">
        <v>965</v>
      </c>
      <c r="AQ693" t="s">
        <v>965</v>
      </c>
      <c r="AR693" t="s">
        <v>965</v>
      </c>
      <c r="AS693" t="s">
        <v>965</v>
      </c>
      <c r="AT693" t="s">
        <v>965</v>
      </c>
      <c r="AU693" t="s">
        <v>965</v>
      </c>
      <c r="AV693" t="s">
        <v>965</v>
      </c>
      <c r="AW693" t="s">
        <v>965</v>
      </c>
      <c r="AX693" t="s">
        <v>965</v>
      </c>
      <c r="AY693" t="s">
        <v>965</v>
      </c>
      <c r="AZ693" t="s">
        <v>965</v>
      </c>
      <c r="BA693" t="s">
        <v>965</v>
      </c>
      <c r="BB693" t="s">
        <v>965</v>
      </c>
      <c r="BC693" t="s">
        <v>965</v>
      </c>
      <c r="BD693" t="s">
        <v>965</v>
      </c>
      <c r="BE693" t="s">
        <v>855</v>
      </c>
      <c r="BF693">
        <v>53</v>
      </c>
      <c r="BG693">
        <v>15</v>
      </c>
      <c r="BH693">
        <v>0</v>
      </c>
      <c r="BI693">
        <v>0</v>
      </c>
      <c r="BJ693">
        <v>0</v>
      </c>
      <c r="BK693">
        <v>8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61</v>
      </c>
      <c r="BR693">
        <v>0</v>
      </c>
      <c r="BS693">
        <v>0</v>
      </c>
      <c r="BT693">
        <v>61</v>
      </c>
      <c r="BU693">
        <v>61</v>
      </c>
      <c r="BV693" s="36">
        <f t="shared" si="8"/>
        <v>1</v>
      </c>
    </row>
    <row r="694" spans="1:74" x14ac:dyDescent="0.2">
      <c r="A694">
        <v>2025</v>
      </c>
      <c r="B694" t="s">
        <v>1314</v>
      </c>
      <c r="C694" t="s">
        <v>1007</v>
      </c>
      <c r="D694" t="s">
        <v>1326</v>
      </c>
      <c r="E694" s="5" t="s">
        <v>1004</v>
      </c>
      <c r="F694" s="5" t="s">
        <v>103</v>
      </c>
      <c r="H694" s="5"/>
      <c r="I694" s="5"/>
      <c r="J694" s="5"/>
      <c r="K694" t="s">
        <v>962</v>
      </c>
      <c r="L694" t="s">
        <v>963</v>
      </c>
      <c r="N694" t="s">
        <v>964</v>
      </c>
      <c r="O694" t="s">
        <v>965</v>
      </c>
      <c r="P694" t="s">
        <v>965</v>
      </c>
      <c r="Q694" t="s">
        <v>965</v>
      </c>
      <c r="R694" t="s">
        <v>965</v>
      </c>
      <c r="S694" t="s">
        <v>965</v>
      </c>
      <c r="T694" t="s">
        <v>965</v>
      </c>
      <c r="U694" t="s">
        <v>965</v>
      </c>
      <c r="V694" t="s">
        <v>965</v>
      </c>
      <c r="W694" t="s">
        <v>965</v>
      </c>
      <c r="X694" t="s">
        <v>965</v>
      </c>
      <c r="Y694" t="s">
        <v>965</v>
      </c>
      <c r="Z694" t="s">
        <v>965</v>
      </c>
      <c r="AA694" t="s">
        <v>965</v>
      </c>
      <c r="AB694" t="s">
        <v>965</v>
      </c>
      <c r="AC694" t="s">
        <v>965</v>
      </c>
      <c r="AD694" t="s">
        <v>965</v>
      </c>
      <c r="AE694" t="s">
        <v>965</v>
      </c>
      <c r="AF694" t="s">
        <v>965</v>
      </c>
      <c r="AG694" t="s">
        <v>965</v>
      </c>
      <c r="AH694" t="s">
        <v>965</v>
      </c>
      <c r="AI694" t="s">
        <v>965</v>
      </c>
      <c r="AJ694" t="s">
        <v>965</v>
      </c>
      <c r="AK694" t="s">
        <v>965</v>
      </c>
      <c r="AL694" t="s">
        <v>965</v>
      </c>
      <c r="AM694" t="s">
        <v>965</v>
      </c>
      <c r="AN694" t="s">
        <v>965</v>
      </c>
      <c r="AO694" t="s">
        <v>965</v>
      </c>
      <c r="AP694" t="s">
        <v>965</v>
      </c>
      <c r="AQ694" t="s">
        <v>965</v>
      </c>
      <c r="AR694" t="s">
        <v>965</v>
      </c>
      <c r="AS694" t="s">
        <v>965</v>
      </c>
      <c r="AT694" t="s">
        <v>965</v>
      </c>
      <c r="AU694" t="s">
        <v>965</v>
      </c>
      <c r="AV694" t="s">
        <v>965</v>
      </c>
      <c r="AW694" t="s">
        <v>965</v>
      </c>
      <c r="AX694" t="s">
        <v>965</v>
      </c>
      <c r="AY694" t="s">
        <v>965</v>
      </c>
      <c r="AZ694" t="s">
        <v>965</v>
      </c>
      <c r="BA694" t="s">
        <v>965</v>
      </c>
      <c r="BB694" t="s">
        <v>965</v>
      </c>
      <c r="BC694" t="s">
        <v>965</v>
      </c>
      <c r="BD694" t="s">
        <v>833</v>
      </c>
      <c r="BE694" t="s">
        <v>855</v>
      </c>
      <c r="BF694">
        <v>34</v>
      </c>
      <c r="BG694">
        <v>9</v>
      </c>
      <c r="BH694">
        <v>0</v>
      </c>
      <c r="BI694">
        <v>0</v>
      </c>
      <c r="BJ694">
        <v>0</v>
      </c>
      <c r="BK694">
        <v>9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43</v>
      </c>
      <c r="BR694">
        <v>0</v>
      </c>
      <c r="BS694">
        <v>0</v>
      </c>
      <c r="BT694">
        <v>43</v>
      </c>
      <c r="BU694">
        <v>43</v>
      </c>
      <c r="BV694" s="36">
        <f t="shared" si="8"/>
        <v>1</v>
      </c>
    </row>
    <row r="695" spans="1:74" x14ac:dyDescent="0.2">
      <c r="A695">
        <v>2025</v>
      </c>
      <c r="B695" t="s">
        <v>1314</v>
      </c>
      <c r="C695" t="s">
        <v>1327</v>
      </c>
      <c r="D695" t="s">
        <v>1328</v>
      </c>
      <c r="E695" s="5" t="s">
        <v>1010</v>
      </c>
      <c r="F695" s="5" t="s">
        <v>23</v>
      </c>
      <c r="H695" s="5"/>
      <c r="I695" s="5"/>
      <c r="J695" s="5"/>
      <c r="K695" t="s">
        <v>833</v>
      </c>
      <c r="L695" t="s">
        <v>963</v>
      </c>
      <c r="N695" t="s">
        <v>834</v>
      </c>
      <c r="O695" t="s">
        <v>965</v>
      </c>
      <c r="P695" t="s">
        <v>965</v>
      </c>
      <c r="Q695" t="s">
        <v>965</v>
      </c>
      <c r="R695" t="s">
        <v>965</v>
      </c>
      <c r="S695" t="s">
        <v>965</v>
      </c>
      <c r="T695" t="s">
        <v>965</v>
      </c>
      <c r="U695" t="s">
        <v>965</v>
      </c>
      <c r="V695" t="s">
        <v>965</v>
      </c>
      <c r="W695" t="s">
        <v>965</v>
      </c>
      <c r="X695" t="s">
        <v>965</v>
      </c>
      <c r="Y695" t="s">
        <v>965</v>
      </c>
      <c r="Z695" t="s">
        <v>965</v>
      </c>
      <c r="AA695" t="s">
        <v>965</v>
      </c>
      <c r="AB695" t="s">
        <v>965</v>
      </c>
      <c r="AC695" t="s">
        <v>965</v>
      </c>
      <c r="AD695" t="s">
        <v>965</v>
      </c>
      <c r="AE695" t="s">
        <v>965</v>
      </c>
      <c r="AF695" t="s">
        <v>965</v>
      </c>
      <c r="AG695" t="s">
        <v>833</v>
      </c>
      <c r="AH695" t="s">
        <v>965</v>
      </c>
      <c r="AI695" t="s">
        <v>965</v>
      </c>
      <c r="AJ695" t="s">
        <v>965</v>
      </c>
      <c r="AK695" t="s">
        <v>965</v>
      </c>
      <c r="AL695" t="s">
        <v>965</v>
      </c>
      <c r="AM695" t="s">
        <v>965</v>
      </c>
      <c r="AN695" t="s">
        <v>965</v>
      </c>
      <c r="AO695" t="s">
        <v>965</v>
      </c>
      <c r="AP695" t="s">
        <v>965</v>
      </c>
      <c r="AQ695" t="s">
        <v>965</v>
      </c>
      <c r="AR695" t="s">
        <v>965</v>
      </c>
      <c r="AS695" t="s">
        <v>965</v>
      </c>
      <c r="AT695" t="s">
        <v>965</v>
      </c>
      <c r="AU695" t="s">
        <v>965</v>
      </c>
      <c r="AV695" t="s">
        <v>965</v>
      </c>
      <c r="AW695" t="s">
        <v>965</v>
      </c>
      <c r="AX695" t="s">
        <v>965</v>
      </c>
      <c r="AY695" t="s">
        <v>965</v>
      </c>
      <c r="AZ695" t="s">
        <v>965</v>
      </c>
      <c r="BA695" t="s">
        <v>965</v>
      </c>
      <c r="BB695" t="s">
        <v>965</v>
      </c>
      <c r="BC695" t="s">
        <v>965</v>
      </c>
      <c r="BD695" t="s">
        <v>965</v>
      </c>
      <c r="BE695" t="s">
        <v>855</v>
      </c>
      <c r="BF695">
        <v>2</v>
      </c>
      <c r="BG695">
        <v>1</v>
      </c>
      <c r="BH695">
        <v>2</v>
      </c>
      <c r="BI695">
        <v>0</v>
      </c>
      <c r="BJ695">
        <v>0</v>
      </c>
      <c r="BK695">
        <v>14</v>
      </c>
      <c r="BL695">
        <v>14</v>
      </c>
      <c r="BM695">
        <v>0</v>
      </c>
      <c r="BN695">
        <v>0</v>
      </c>
      <c r="BO695">
        <v>0</v>
      </c>
      <c r="BP695">
        <v>0</v>
      </c>
      <c r="BQ695">
        <v>16</v>
      </c>
      <c r="BR695">
        <v>0</v>
      </c>
      <c r="BS695">
        <v>0</v>
      </c>
      <c r="BT695">
        <v>16</v>
      </c>
      <c r="BU695">
        <v>16</v>
      </c>
      <c r="BV695" s="36">
        <f t="shared" si="8"/>
        <v>1</v>
      </c>
    </row>
    <row r="696" spans="1:74" x14ac:dyDescent="0.2">
      <c r="A696">
        <v>2025</v>
      </c>
      <c r="B696" t="s">
        <v>1314</v>
      </c>
      <c r="C696" t="s">
        <v>995</v>
      </c>
      <c r="D696" t="s">
        <v>1329</v>
      </c>
      <c r="E696" s="5" t="s">
        <v>1010</v>
      </c>
      <c r="F696" s="5" t="s">
        <v>23</v>
      </c>
      <c r="H696" s="5"/>
      <c r="I696" s="5"/>
      <c r="J696" s="5"/>
      <c r="K696" t="s">
        <v>833</v>
      </c>
      <c r="L696" t="s">
        <v>963</v>
      </c>
      <c r="N696" t="s">
        <v>834</v>
      </c>
      <c r="O696" t="s">
        <v>965</v>
      </c>
      <c r="P696" t="s">
        <v>833</v>
      </c>
      <c r="Q696" t="s">
        <v>965</v>
      </c>
      <c r="R696" t="s">
        <v>965</v>
      </c>
      <c r="S696" t="s">
        <v>965</v>
      </c>
      <c r="T696" t="s">
        <v>965</v>
      </c>
      <c r="U696" t="s">
        <v>965</v>
      </c>
      <c r="V696" t="s">
        <v>965</v>
      </c>
      <c r="W696" t="s">
        <v>965</v>
      </c>
      <c r="X696" t="s">
        <v>965</v>
      </c>
      <c r="Y696" t="s">
        <v>965</v>
      </c>
      <c r="Z696" t="s">
        <v>965</v>
      </c>
      <c r="AA696" t="s">
        <v>965</v>
      </c>
      <c r="AB696" t="s">
        <v>965</v>
      </c>
      <c r="AC696" t="s">
        <v>965</v>
      </c>
      <c r="AD696" t="s">
        <v>965</v>
      </c>
      <c r="AE696" t="s">
        <v>965</v>
      </c>
      <c r="AF696" t="s">
        <v>965</v>
      </c>
      <c r="AG696" t="s">
        <v>965</v>
      </c>
      <c r="AH696" t="s">
        <v>965</v>
      </c>
      <c r="AI696" t="s">
        <v>965</v>
      </c>
      <c r="AJ696" t="s">
        <v>965</v>
      </c>
      <c r="AK696" t="s">
        <v>965</v>
      </c>
      <c r="AL696" t="s">
        <v>965</v>
      </c>
      <c r="AM696" t="s">
        <v>965</v>
      </c>
      <c r="AN696" t="s">
        <v>965</v>
      </c>
      <c r="AO696" t="s">
        <v>965</v>
      </c>
      <c r="AP696" t="s">
        <v>965</v>
      </c>
      <c r="AQ696" t="s">
        <v>965</v>
      </c>
      <c r="AR696" t="s">
        <v>965</v>
      </c>
      <c r="AS696" t="s">
        <v>965</v>
      </c>
      <c r="AT696" t="s">
        <v>965</v>
      </c>
      <c r="AU696" t="s">
        <v>965</v>
      </c>
      <c r="AV696" t="s">
        <v>965</v>
      </c>
      <c r="AW696" t="s">
        <v>965</v>
      </c>
      <c r="AX696" t="s">
        <v>965</v>
      </c>
      <c r="AY696" t="s">
        <v>965</v>
      </c>
      <c r="AZ696" t="s">
        <v>965</v>
      </c>
      <c r="BA696" t="s">
        <v>965</v>
      </c>
      <c r="BB696" t="s">
        <v>965</v>
      </c>
      <c r="BC696" t="s">
        <v>965</v>
      </c>
      <c r="BD696" t="s">
        <v>965</v>
      </c>
      <c r="BE696" t="s">
        <v>887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3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3</v>
      </c>
      <c r="BR696">
        <v>0</v>
      </c>
      <c r="BS696">
        <v>0</v>
      </c>
      <c r="BT696">
        <v>3</v>
      </c>
      <c r="BU696">
        <v>3</v>
      </c>
      <c r="BV696" s="36">
        <f t="shared" si="8"/>
        <v>1</v>
      </c>
    </row>
    <row r="697" spans="1:74" x14ac:dyDescent="0.2">
      <c r="A697">
        <v>2025</v>
      </c>
      <c r="B697" t="s">
        <v>1314</v>
      </c>
      <c r="C697" t="s">
        <v>1317</v>
      </c>
      <c r="D697" t="s">
        <v>1330</v>
      </c>
      <c r="E697" s="5" t="s">
        <v>882</v>
      </c>
      <c r="F697" s="5" t="s">
        <v>30</v>
      </c>
      <c r="H697" s="5"/>
      <c r="I697" s="5"/>
      <c r="J697" s="5"/>
      <c r="K697" t="s">
        <v>833</v>
      </c>
      <c r="L697" t="s">
        <v>963</v>
      </c>
      <c r="N697" t="s">
        <v>834</v>
      </c>
      <c r="O697" t="s">
        <v>965</v>
      </c>
      <c r="P697" t="s">
        <v>965</v>
      </c>
      <c r="Q697" t="s">
        <v>965</v>
      </c>
      <c r="R697" t="s">
        <v>965</v>
      </c>
      <c r="S697" t="s">
        <v>965</v>
      </c>
      <c r="T697" t="s">
        <v>965</v>
      </c>
      <c r="U697" t="s">
        <v>965</v>
      </c>
      <c r="V697" t="s">
        <v>833</v>
      </c>
      <c r="W697" t="s">
        <v>965</v>
      </c>
      <c r="X697" t="s">
        <v>965</v>
      </c>
      <c r="Y697" t="s">
        <v>965</v>
      </c>
      <c r="Z697" t="s">
        <v>965</v>
      </c>
      <c r="AA697" t="s">
        <v>965</v>
      </c>
      <c r="AB697" t="s">
        <v>965</v>
      </c>
      <c r="AC697" t="s">
        <v>965</v>
      </c>
      <c r="AD697" t="s">
        <v>965</v>
      </c>
      <c r="AE697" t="s">
        <v>965</v>
      </c>
      <c r="AF697" t="s">
        <v>965</v>
      </c>
      <c r="AG697" t="s">
        <v>965</v>
      </c>
      <c r="AH697" t="s">
        <v>965</v>
      </c>
      <c r="AI697" t="s">
        <v>965</v>
      </c>
      <c r="AJ697" t="s">
        <v>965</v>
      </c>
      <c r="AK697" t="s">
        <v>965</v>
      </c>
      <c r="AL697" t="s">
        <v>965</v>
      </c>
      <c r="AM697" t="s">
        <v>965</v>
      </c>
      <c r="AN697" t="s">
        <v>965</v>
      </c>
      <c r="AO697" t="s">
        <v>965</v>
      </c>
      <c r="AP697" t="s">
        <v>965</v>
      </c>
      <c r="AQ697" t="s">
        <v>965</v>
      </c>
      <c r="AR697" t="s">
        <v>965</v>
      </c>
      <c r="AS697" t="s">
        <v>965</v>
      </c>
      <c r="AT697" t="s">
        <v>965</v>
      </c>
      <c r="AU697" t="s">
        <v>965</v>
      </c>
      <c r="AV697" t="s">
        <v>965</v>
      </c>
      <c r="AW697" t="s">
        <v>965</v>
      </c>
      <c r="AX697" t="s">
        <v>965</v>
      </c>
      <c r="AY697" t="s">
        <v>965</v>
      </c>
      <c r="AZ697" t="s">
        <v>965</v>
      </c>
      <c r="BA697" t="s">
        <v>965</v>
      </c>
      <c r="BB697" t="s">
        <v>965</v>
      </c>
      <c r="BC697" t="s">
        <v>965</v>
      </c>
      <c r="BD697" t="s">
        <v>965</v>
      </c>
      <c r="BE697" t="s">
        <v>855</v>
      </c>
      <c r="BF697">
        <v>45</v>
      </c>
      <c r="BG697">
        <v>13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45</v>
      </c>
      <c r="BR697">
        <v>0</v>
      </c>
      <c r="BS697">
        <v>0</v>
      </c>
      <c r="BT697">
        <v>45</v>
      </c>
      <c r="BU697">
        <v>45</v>
      </c>
      <c r="BV697" s="36">
        <f t="shared" si="8"/>
        <v>1</v>
      </c>
    </row>
    <row r="698" spans="1:74" x14ac:dyDescent="0.2">
      <c r="A698">
        <v>2025</v>
      </c>
      <c r="B698" t="s">
        <v>1314</v>
      </c>
      <c r="C698" t="s">
        <v>1317</v>
      </c>
      <c r="D698" t="s">
        <v>1331</v>
      </c>
      <c r="E698" s="5" t="s">
        <v>882</v>
      </c>
      <c r="F698" s="5" t="s">
        <v>30</v>
      </c>
      <c r="H698" s="5"/>
      <c r="I698" s="5"/>
      <c r="J698" s="5"/>
      <c r="K698" t="s">
        <v>833</v>
      </c>
      <c r="L698" t="s">
        <v>963</v>
      </c>
      <c r="N698" t="s">
        <v>834</v>
      </c>
      <c r="O698" t="s">
        <v>965</v>
      </c>
      <c r="P698" t="s">
        <v>965</v>
      </c>
      <c r="Q698" t="s">
        <v>965</v>
      </c>
      <c r="R698" t="s">
        <v>965</v>
      </c>
      <c r="S698" t="s">
        <v>965</v>
      </c>
      <c r="T698" t="s">
        <v>965</v>
      </c>
      <c r="U698" t="s">
        <v>965</v>
      </c>
      <c r="V698" t="s">
        <v>965</v>
      </c>
      <c r="W698" t="s">
        <v>965</v>
      </c>
      <c r="X698" t="s">
        <v>965</v>
      </c>
      <c r="Y698" t="s">
        <v>965</v>
      </c>
      <c r="Z698" t="s">
        <v>965</v>
      </c>
      <c r="AA698" t="s">
        <v>965</v>
      </c>
      <c r="AB698" t="s">
        <v>965</v>
      </c>
      <c r="AC698" t="s">
        <v>965</v>
      </c>
      <c r="AD698" t="s">
        <v>965</v>
      </c>
      <c r="AE698" t="s">
        <v>965</v>
      </c>
      <c r="AF698" t="s">
        <v>965</v>
      </c>
      <c r="AG698" t="s">
        <v>965</v>
      </c>
      <c r="AH698" t="s">
        <v>965</v>
      </c>
      <c r="AI698" t="s">
        <v>965</v>
      </c>
      <c r="AJ698" t="s">
        <v>965</v>
      </c>
      <c r="AK698" t="s">
        <v>965</v>
      </c>
      <c r="AL698" t="s">
        <v>965</v>
      </c>
      <c r="AM698" t="s">
        <v>965</v>
      </c>
      <c r="AN698" t="s">
        <v>965</v>
      </c>
      <c r="AO698" t="s">
        <v>965</v>
      </c>
      <c r="AP698" t="s">
        <v>965</v>
      </c>
      <c r="AQ698" t="s">
        <v>965</v>
      </c>
      <c r="AR698" t="s">
        <v>965</v>
      </c>
      <c r="AS698" t="s">
        <v>965</v>
      </c>
      <c r="AT698" t="s">
        <v>965</v>
      </c>
      <c r="AU698" t="s">
        <v>965</v>
      </c>
      <c r="AV698" t="s">
        <v>965</v>
      </c>
      <c r="AW698" t="s">
        <v>965</v>
      </c>
      <c r="AX698" t="s">
        <v>965</v>
      </c>
      <c r="AY698" t="s">
        <v>965</v>
      </c>
      <c r="AZ698" t="s">
        <v>965</v>
      </c>
      <c r="BA698" t="s">
        <v>965</v>
      </c>
      <c r="BB698" t="s">
        <v>965</v>
      </c>
      <c r="BC698" t="s">
        <v>833</v>
      </c>
      <c r="BD698" t="s">
        <v>965</v>
      </c>
      <c r="BE698" t="s">
        <v>855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s="36"/>
    </row>
    <row r="699" spans="1:74" x14ac:dyDescent="0.2">
      <c r="A699">
        <v>2025</v>
      </c>
      <c r="B699" t="s">
        <v>1314</v>
      </c>
      <c r="C699" t="s">
        <v>1023</v>
      </c>
      <c r="D699" t="s">
        <v>1332</v>
      </c>
      <c r="E699" s="5" t="s">
        <v>882</v>
      </c>
      <c r="F699" s="5" t="s">
        <v>30</v>
      </c>
      <c r="H699" s="5"/>
      <c r="I699" s="5"/>
      <c r="J699" s="5"/>
      <c r="K699" t="s">
        <v>962</v>
      </c>
      <c r="L699" t="s">
        <v>963</v>
      </c>
      <c r="N699" t="s">
        <v>964</v>
      </c>
      <c r="O699" t="s">
        <v>965</v>
      </c>
      <c r="P699" t="s">
        <v>965</v>
      </c>
      <c r="Q699" t="s">
        <v>965</v>
      </c>
      <c r="R699" t="s">
        <v>965</v>
      </c>
      <c r="S699" t="s">
        <v>965</v>
      </c>
      <c r="T699" t="s">
        <v>965</v>
      </c>
      <c r="U699" t="s">
        <v>965</v>
      </c>
      <c r="V699" t="s">
        <v>965</v>
      </c>
      <c r="W699" t="s">
        <v>965</v>
      </c>
      <c r="X699" t="s">
        <v>833</v>
      </c>
      <c r="Y699" t="s">
        <v>965</v>
      </c>
      <c r="Z699" t="s">
        <v>965</v>
      </c>
      <c r="AA699" t="s">
        <v>965</v>
      </c>
      <c r="AB699" t="s">
        <v>965</v>
      </c>
      <c r="AC699" t="s">
        <v>965</v>
      </c>
      <c r="AD699" t="s">
        <v>965</v>
      </c>
      <c r="AE699" t="s">
        <v>965</v>
      </c>
      <c r="AF699" t="s">
        <v>965</v>
      </c>
      <c r="AG699" t="s">
        <v>965</v>
      </c>
      <c r="AH699" t="s">
        <v>965</v>
      </c>
      <c r="AI699" t="s">
        <v>965</v>
      </c>
      <c r="AJ699" t="s">
        <v>965</v>
      </c>
      <c r="AK699" t="s">
        <v>965</v>
      </c>
      <c r="AL699" t="s">
        <v>965</v>
      </c>
      <c r="AM699" t="s">
        <v>965</v>
      </c>
      <c r="AN699" t="s">
        <v>965</v>
      </c>
      <c r="AO699" t="s">
        <v>965</v>
      </c>
      <c r="AP699" t="s">
        <v>965</v>
      </c>
      <c r="AQ699" t="s">
        <v>965</v>
      </c>
      <c r="AR699" t="s">
        <v>965</v>
      </c>
      <c r="AS699" t="s">
        <v>965</v>
      </c>
      <c r="AT699" t="s">
        <v>965</v>
      </c>
      <c r="AU699" t="s">
        <v>965</v>
      </c>
      <c r="AV699" t="s">
        <v>965</v>
      </c>
      <c r="AW699" t="s">
        <v>965</v>
      </c>
      <c r="AX699" t="s">
        <v>965</v>
      </c>
      <c r="AY699" t="s">
        <v>965</v>
      </c>
      <c r="AZ699" t="s">
        <v>965</v>
      </c>
      <c r="BA699" t="s">
        <v>965</v>
      </c>
      <c r="BB699" t="s">
        <v>965</v>
      </c>
      <c r="BC699" t="s">
        <v>965</v>
      </c>
      <c r="BD699" t="s">
        <v>833</v>
      </c>
      <c r="BE699" t="s">
        <v>855</v>
      </c>
      <c r="BF699">
        <v>11</v>
      </c>
      <c r="BG699">
        <v>4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11</v>
      </c>
      <c r="BR699">
        <v>0</v>
      </c>
      <c r="BS699">
        <v>0</v>
      </c>
      <c r="BT699">
        <v>11</v>
      </c>
      <c r="BU699">
        <v>11</v>
      </c>
      <c r="BV699" s="36">
        <f t="shared" ref="BV699:BV708" si="9">BU699/BT699</f>
        <v>1</v>
      </c>
    </row>
    <row r="700" spans="1:74" x14ac:dyDescent="0.2">
      <c r="A700">
        <v>2025</v>
      </c>
      <c r="B700" t="s">
        <v>1314</v>
      </c>
      <c r="C700" t="s">
        <v>866</v>
      </c>
      <c r="D700" t="s">
        <v>1333</v>
      </c>
      <c r="E700" s="5" t="s">
        <v>838</v>
      </c>
      <c r="F700" s="5" t="s">
        <v>42</v>
      </c>
      <c r="H700" s="5"/>
      <c r="I700" s="5"/>
      <c r="J700" s="5"/>
      <c r="K700" t="s">
        <v>833</v>
      </c>
      <c r="L700" t="s">
        <v>963</v>
      </c>
      <c r="N700" t="s">
        <v>834</v>
      </c>
      <c r="O700" t="s">
        <v>965</v>
      </c>
      <c r="P700" t="s">
        <v>833</v>
      </c>
      <c r="Q700" t="s">
        <v>965</v>
      </c>
      <c r="R700" t="s">
        <v>965</v>
      </c>
      <c r="S700" t="s">
        <v>965</v>
      </c>
      <c r="T700" t="s">
        <v>965</v>
      </c>
      <c r="U700" t="s">
        <v>965</v>
      </c>
      <c r="V700" t="s">
        <v>965</v>
      </c>
      <c r="W700" t="s">
        <v>965</v>
      </c>
      <c r="X700" t="s">
        <v>965</v>
      </c>
      <c r="Y700" t="s">
        <v>965</v>
      </c>
      <c r="Z700" t="s">
        <v>965</v>
      </c>
      <c r="AA700" t="s">
        <v>965</v>
      </c>
      <c r="AB700" t="s">
        <v>965</v>
      </c>
      <c r="AC700" t="s">
        <v>965</v>
      </c>
      <c r="AD700" t="s">
        <v>965</v>
      </c>
      <c r="AE700" t="s">
        <v>965</v>
      </c>
      <c r="AF700" t="s">
        <v>965</v>
      </c>
      <c r="AG700" t="s">
        <v>965</v>
      </c>
      <c r="AH700" t="s">
        <v>965</v>
      </c>
      <c r="AI700" t="s">
        <v>965</v>
      </c>
      <c r="AJ700" t="s">
        <v>965</v>
      </c>
      <c r="AK700" t="s">
        <v>965</v>
      </c>
      <c r="AL700" t="s">
        <v>965</v>
      </c>
      <c r="AM700" t="s">
        <v>965</v>
      </c>
      <c r="AN700" t="s">
        <v>965</v>
      </c>
      <c r="AO700" t="s">
        <v>965</v>
      </c>
      <c r="AP700" t="s">
        <v>965</v>
      </c>
      <c r="AQ700" t="s">
        <v>965</v>
      </c>
      <c r="AR700" t="s">
        <v>965</v>
      </c>
      <c r="AS700" t="s">
        <v>965</v>
      </c>
      <c r="AT700" t="s">
        <v>965</v>
      </c>
      <c r="AU700" t="s">
        <v>965</v>
      </c>
      <c r="AV700" t="s">
        <v>965</v>
      </c>
      <c r="AW700" t="s">
        <v>965</v>
      </c>
      <c r="AX700" t="s">
        <v>965</v>
      </c>
      <c r="AY700" t="s">
        <v>965</v>
      </c>
      <c r="AZ700" t="s">
        <v>965</v>
      </c>
      <c r="BA700" t="s">
        <v>965</v>
      </c>
      <c r="BB700" t="s">
        <v>965</v>
      </c>
      <c r="BC700" t="s">
        <v>965</v>
      </c>
      <c r="BD700" t="s">
        <v>965</v>
      </c>
      <c r="BE700" t="s">
        <v>855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8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8</v>
      </c>
      <c r="BR700">
        <v>0</v>
      </c>
      <c r="BS700">
        <v>0</v>
      </c>
      <c r="BT700">
        <v>8</v>
      </c>
      <c r="BU700">
        <v>8</v>
      </c>
      <c r="BV700" s="36">
        <f t="shared" si="9"/>
        <v>1</v>
      </c>
    </row>
    <row r="701" spans="1:74" x14ac:dyDescent="0.2">
      <c r="A701">
        <v>2025</v>
      </c>
      <c r="B701" t="s">
        <v>1314</v>
      </c>
      <c r="C701" t="s">
        <v>866</v>
      </c>
      <c r="D701" t="s">
        <v>1334</v>
      </c>
      <c r="E701" s="5" t="s">
        <v>838</v>
      </c>
      <c r="F701" s="5" t="s">
        <v>42</v>
      </c>
      <c r="H701" s="5"/>
      <c r="I701" s="5"/>
      <c r="J701" s="5"/>
      <c r="K701" t="s">
        <v>833</v>
      </c>
      <c r="L701" t="s">
        <v>963</v>
      </c>
      <c r="N701" t="s">
        <v>834</v>
      </c>
      <c r="O701" t="s">
        <v>965</v>
      </c>
      <c r="P701" t="s">
        <v>965</v>
      </c>
      <c r="Q701" t="s">
        <v>965</v>
      </c>
      <c r="R701" t="s">
        <v>965</v>
      </c>
      <c r="S701" t="s">
        <v>965</v>
      </c>
      <c r="T701" t="s">
        <v>965</v>
      </c>
      <c r="U701" t="s">
        <v>965</v>
      </c>
      <c r="V701" t="s">
        <v>965</v>
      </c>
      <c r="W701" t="s">
        <v>965</v>
      </c>
      <c r="X701" t="s">
        <v>965</v>
      </c>
      <c r="Y701" t="s">
        <v>965</v>
      </c>
      <c r="Z701" t="s">
        <v>965</v>
      </c>
      <c r="AA701" t="s">
        <v>965</v>
      </c>
      <c r="AB701" t="s">
        <v>965</v>
      </c>
      <c r="AC701" t="s">
        <v>965</v>
      </c>
      <c r="AD701" t="s">
        <v>965</v>
      </c>
      <c r="AE701" t="s">
        <v>965</v>
      </c>
      <c r="AF701" t="s">
        <v>965</v>
      </c>
      <c r="AG701" t="s">
        <v>965</v>
      </c>
      <c r="AH701" t="s">
        <v>965</v>
      </c>
      <c r="AI701" t="s">
        <v>965</v>
      </c>
      <c r="AJ701" t="s">
        <v>965</v>
      </c>
      <c r="AK701" t="s">
        <v>965</v>
      </c>
      <c r="AL701" t="s">
        <v>965</v>
      </c>
      <c r="AM701" t="s">
        <v>965</v>
      </c>
      <c r="AN701" t="s">
        <v>965</v>
      </c>
      <c r="AO701" t="s">
        <v>965</v>
      </c>
      <c r="AP701" t="s">
        <v>965</v>
      </c>
      <c r="AQ701" t="s">
        <v>965</v>
      </c>
      <c r="AR701" t="s">
        <v>965</v>
      </c>
      <c r="AS701" t="s">
        <v>965</v>
      </c>
      <c r="AT701" t="s">
        <v>965</v>
      </c>
      <c r="AU701" t="s">
        <v>965</v>
      </c>
      <c r="AV701" t="s">
        <v>965</v>
      </c>
      <c r="AW701" t="s">
        <v>965</v>
      </c>
      <c r="AX701" t="s">
        <v>965</v>
      </c>
      <c r="AY701" t="s">
        <v>965</v>
      </c>
      <c r="AZ701" t="s">
        <v>965</v>
      </c>
      <c r="BA701" t="s">
        <v>965</v>
      </c>
      <c r="BB701" t="s">
        <v>965</v>
      </c>
      <c r="BC701" t="s">
        <v>833</v>
      </c>
      <c r="BD701" t="s">
        <v>965</v>
      </c>
      <c r="BE701" t="s">
        <v>855</v>
      </c>
      <c r="BF701">
        <v>12</v>
      </c>
      <c r="BG701">
        <v>3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12</v>
      </c>
      <c r="BR701">
        <v>0</v>
      </c>
      <c r="BS701">
        <v>0</v>
      </c>
      <c r="BT701">
        <v>12</v>
      </c>
      <c r="BU701">
        <v>12</v>
      </c>
      <c r="BV701" s="36">
        <f t="shared" si="9"/>
        <v>1</v>
      </c>
    </row>
    <row r="702" spans="1:74" x14ac:dyDescent="0.2">
      <c r="A702">
        <v>2025</v>
      </c>
      <c r="B702" t="s">
        <v>1314</v>
      </c>
      <c r="C702" t="s">
        <v>866</v>
      </c>
      <c r="D702" t="s">
        <v>1335</v>
      </c>
      <c r="E702" s="5" t="s">
        <v>838</v>
      </c>
      <c r="F702" s="5" t="s">
        <v>42</v>
      </c>
      <c r="H702" s="5"/>
      <c r="I702" s="5"/>
      <c r="J702" s="5"/>
      <c r="K702" t="s">
        <v>833</v>
      </c>
      <c r="L702" t="s">
        <v>963</v>
      </c>
      <c r="N702" t="s">
        <v>834</v>
      </c>
      <c r="O702" t="s">
        <v>965</v>
      </c>
      <c r="P702" t="s">
        <v>965</v>
      </c>
      <c r="Q702" t="s">
        <v>965</v>
      </c>
      <c r="R702" t="s">
        <v>965</v>
      </c>
      <c r="S702" t="s">
        <v>965</v>
      </c>
      <c r="T702" t="s">
        <v>965</v>
      </c>
      <c r="U702" t="s">
        <v>965</v>
      </c>
      <c r="V702" t="s">
        <v>965</v>
      </c>
      <c r="W702" t="s">
        <v>965</v>
      </c>
      <c r="X702" t="s">
        <v>965</v>
      </c>
      <c r="Y702" t="s">
        <v>965</v>
      </c>
      <c r="Z702" t="s">
        <v>965</v>
      </c>
      <c r="AA702" t="s">
        <v>965</v>
      </c>
      <c r="AB702" t="s">
        <v>965</v>
      </c>
      <c r="AC702" t="s">
        <v>965</v>
      </c>
      <c r="AD702" t="s">
        <v>965</v>
      </c>
      <c r="AE702" t="s">
        <v>965</v>
      </c>
      <c r="AF702" t="s">
        <v>965</v>
      </c>
      <c r="AG702" t="s">
        <v>965</v>
      </c>
      <c r="AH702" t="s">
        <v>965</v>
      </c>
      <c r="AI702" t="s">
        <v>965</v>
      </c>
      <c r="AJ702" t="s">
        <v>965</v>
      </c>
      <c r="AK702" t="s">
        <v>965</v>
      </c>
      <c r="AL702" t="s">
        <v>965</v>
      </c>
      <c r="AM702" t="s">
        <v>965</v>
      </c>
      <c r="AN702" t="s">
        <v>965</v>
      </c>
      <c r="AO702" t="s">
        <v>965</v>
      </c>
      <c r="AP702" t="s">
        <v>965</v>
      </c>
      <c r="AQ702" t="s">
        <v>965</v>
      </c>
      <c r="AR702" t="s">
        <v>965</v>
      </c>
      <c r="AS702" t="s">
        <v>965</v>
      </c>
      <c r="AT702" t="s">
        <v>965</v>
      </c>
      <c r="AU702" t="s">
        <v>965</v>
      </c>
      <c r="AV702" t="s">
        <v>965</v>
      </c>
      <c r="AW702" t="s">
        <v>965</v>
      </c>
      <c r="AX702" t="s">
        <v>965</v>
      </c>
      <c r="AY702" t="s">
        <v>965</v>
      </c>
      <c r="AZ702" t="s">
        <v>965</v>
      </c>
      <c r="BA702" t="s">
        <v>965</v>
      </c>
      <c r="BB702" t="s">
        <v>965</v>
      </c>
      <c r="BC702" t="s">
        <v>833</v>
      </c>
      <c r="BD702" t="s">
        <v>965</v>
      </c>
      <c r="BE702" t="s">
        <v>855</v>
      </c>
      <c r="BF702">
        <v>44</v>
      </c>
      <c r="BG702">
        <v>14</v>
      </c>
      <c r="BH702">
        <v>0</v>
      </c>
      <c r="BI702">
        <v>0</v>
      </c>
      <c r="BJ702">
        <v>0</v>
      </c>
      <c r="BK702">
        <v>4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48</v>
      </c>
      <c r="BR702">
        <v>0</v>
      </c>
      <c r="BS702">
        <v>0</v>
      </c>
      <c r="BT702">
        <v>48</v>
      </c>
      <c r="BU702">
        <v>48</v>
      </c>
      <c r="BV702" s="36">
        <f t="shared" si="9"/>
        <v>1</v>
      </c>
    </row>
    <row r="703" spans="1:74" x14ac:dyDescent="0.2">
      <c r="A703">
        <v>2025</v>
      </c>
      <c r="B703" t="s">
        <v>1314</v>
      </c>
      <c r="C703" t="s">
        <v>866</v>
      </c>
      <c r="D703" t="s">
        <v>1336</v>
      </c>
      <c r="E703" s="5" t="s">
        <v>838</v>
      </c>
      <c r="F703" s="5" t="s">
        <v>42</v>
      </c>
      <c r="H703" s="5"/>
      <c r="I703" s="5"/>
      <c r="J703" s="5"/>
      <c r="K703" t="s">
        <v>833</v>
      </c>
      <c r="L703" t="s">
        <v>963</v>
      </c>
      <c r="N703" t="s">
        <v>834</v>
      </c>
      <c r="O703" t="s">
        <v>965</v>
      </c>
      <c r="P703" t="s">
        <v>965</v>
      </c>
      <c r="Q703" t="s">
        <v>965</v>
      </c>
      <c r="R703" t="s">
        <v>965</v>
      </c>
      <c r="S703" t="s">
        <v>965</v>
      </c>
      <c r="T703" t="s">
        <v>965</v>
      </c>
      <c r="U703" t="s">
        <v>965</v>
      </c>
      <c r="V703" t="s">
        <v>965</v>
      </c>
      <c r="W703" t="s">
        <v>965</v>
      </c>
      <c r="X703" t="s">
        <v>965</v>
      </c>
      <c r="Y703" t="s">
        <v>965</v>
      </c>
      <c r="Z703" t="s">
        <v>965</v>
      </c>
      <c r="AA703" t="s">
        <v>965</v>
      </c>
      <c r="AB703" t="s">
        <v>965</v>
      </c>
      <c r="AC703" t="s">
        <v>965</v>
      </c>
      <c r="AD703" t="s">
        <v>965</v>
      </c>
      <c r="AE703" t="s">
        <v>965</v>
      </c>
      <c r="AF703" t="s">
        <v>965</v>
      </c>
      <c r="AG703" t="s">
        <v>965</v>
      </c>
      <c r="AH703" t="s">
        <v>965</v>
      </c>
      <c r="AI703" t="s">
        <v>965</v>
      </c>
      <c r="AJ703" t="s">
        <v>965</v>
      </c>
      <c r="AK703" t="s">
        <v>965</v>
      </c>
      <c r="AL703" t="s">
        <v>965</v>
      </c>
      <c r="AM703" t="s">
        <v>965</v>
      </c>
      <c r="AN703" t="s">
        <v>965</v>
      </c>
      <c r="AO703" t="s">
        <v>965</v>
      </c>
      <c r="AP703" t="s">
        <v>965</v>
      </c>
      <c r="AQ703" t="s">
        <v>965</v>
      </c>
      <c r="AR703" t="s">
        <v>965</v>
      </c>
      <c r="AS703" t="s">
        <v>965</v>
      </c>
      <c r="AT703" t="s">
        <v>965</v>
      </c>
      <c r="AU703" t="s">
        <v>965</v>
      </c>
      <c r="AV703" t="s">
        <v>965</v>
      </c>
      <c r="AW703" t="s">
        <v>965</v>
      </c>
      <c r="AX703" t="s">
        <v>965</v>
      </c>
      <c r="AY703" t="s">
        <v>965</v>
      </c>
      <c r="AZ703" t="s">
        <v>965</v>
      </c>
      <c r="BA703" t="s">
        <v>965</v>
      </c>
      <c r="BB703" t="s">
        <v>965</v>
      </c>
      <c r="BC703" t="s">
        <v>833</v>
      </c>
      <c r="BD703" t="s">
        <v>965</v>
      </c>
      <c r="BE703" t="s">
        <v>855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5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5</v>
      </c>
      <c r="BR703">
        <v>0</v>
      </c>
      <c r="BS703">
        <v>0</v>
      </c>
      <c r="BT703">
        <v>5</v>
      </c>
      <c r="BU703">
        <v>5</v>
      </c>
      <c r="BV703" s="36">
        <f t="shared" si="9"/>
        <v>1</v>
      </c>
    </row>
    <row r="704" spans="1:74" x14ac:dyDescent="0.2">
      <c r="A704">
        <v>2025</v>
      </c>
      <c r="B704" t="s">
        <v>1314</v>
      </c>
      <c r="C704" t="s">
        <v>866</v>
      </c>
      <c r="D704" t="s">
        <v>1337</v>
      </c>
      <c r="E704" s="5" t="s">
        <v>838</v>
      </c>
      <c r="F704" s="5" t="s">
        <v>42</v>
      </c>
      <c r="H704" s="5"/>
      <c r="I704" s="5"/>
      <c r="J704" s="5"/>
      <c r="K704" t="s">
        <v>833</v>
      </c>
      <c r="L704" t="s">
        <v>963</v>
      </c>
      <c r="N704" t="s">
        <v>834</v>
      </c>
      <c r="O704" t="s">
        <v>965</v>
      </c>
      <c r="P704" t="s">
        <v>965</v>
      </c>
      <c r="Q704" t="s">
        <v>965</v>
      </c>
      <c r="R704" t="s">
        <v>965</v>
      </c>
      <c r="S704" t="s">
        <v>965</v>
      </c>
      <c r="T704" t="s">
        <v>965</v>
      </c>
      <c r="U704" t="s">
        <v>965</v>
      </c>
      <c r="V704" t="s">
        <v>965</v>
      </c>
      <c r="W704" t="s">
        <v>965</v>
      </c>
      <c r="X704" t="s">
        <v>965</v>
      </c>
      <c r="Y704" t="s">
        <v>965</v>
      </c>
      <c r="Z704" t="s">
        <v>965</v>
      </c>
      <c r="AA704" t="s">
        <v>965</v>
      </c>
      <c r="AB704" t="s">
        <v>965</v>
      </c>
      <c r="AC704" t="s">
        <v>965</v>
      </c>
      <c r="AD704" t="s">
        <v>965</v>
      </c>
      <c r="AE704" t="s">
        <v>965</v>
      </c>
      <c r="AF704" t="s">
        <v>965</v>
      </c>
      <c r="AG704" t="s">
        <v>965</v>
      </c>
      <c r="AH704" t="s">
        <v>965</v>
      </c>
      <c r="AI704" t="s">
        <v>965</v>
      </c>
      <c r="AJ704" t="s">
        <v>965</v>
      </c>
      <c r="AK704" t="s">
        <v>965</v>
      </c>
      <c r="AL704" t="s">
        <v>965</v>
      </c>
      <c r="AM704" t="s">
        <v>965</v>
      </c>
      <c r="AN704" t="s">
        <v>965</v>
      </c>
      <c r="AO704" t="s">
        <v>965</v>
      </c>
      <c r="AP704" t="s">
        <v>965</v>
      </c>
      <c r="AQ704" t="s">
        <v>965</v>
      </c>
      <c r="AR704" t="s">
        <v>965</v>
      </c>
      <c r="AS704" t="s">
        <v>965</v>
      </c>
      <c r="AT704" t="s">
        <v>965</v>
      </c>
      <c r="AU704" t="s">
        <v>965</v>
      </c>
      <c r="AV704" t="s">
        <v>965</v>
      </c>
      <c r="AW704" t="s">
        <v>965</v>
      </c>
      <c r="AX704" t="s">
        <v>965</v>
      </c>
      <c r="AY704" t="s">
        <v>965</v>
      </c>
      <c r="AZ704" t="s">
        <v>965</v>
      </c>
      <c r="BA704" t="s">
        <v>965</v>
      </c>
      <c r="BB704" t="s">
        <v>833</v>
      </c>
      <c r="BC704" t="s">
        <v>833</v>
      </c>
      <c r="BD704" t="s">
        <v>965</v>
      </c>
      <c r="BE704" t="s">
        <v>855</v>
      </c>
      <c r="BF704">
        <v>3</v>
      </c>
      <c r="BG704">
        <v>1</v>
      </c>
      <c r="BH704">
        <v>0</v>
      </c>
      <c r="BI704">
        <v>0</v>
      </c>
      <c r="BJ704">
        <v>0</v>
      </c>
      <c r="BK704">
        <v>2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5</v>
      </c>
      <c r="BR704">
        <v>0</v>
      </c>
      <c r="BS704">
        <v>0</v>
      </c>
      <c r="BT704">
        <v>5</v>
      </c>
      <c r="BU704">
        <v>5</v>
      </c>
      <c r="BV704" s="36">
        <f t="shared" si="9"/>
        <v>1</v>
      </c>
    </row>
    <row r="705" spans="1:74" x14ac:dyDescent="0.2">
      <c r="A705">
        <v>2025</v>
      </c>
      <c r="B705" t="s">
        <v>1314</v>
      </c>
      <c r="C705" t="s">
        <v>995</v>
      </c>
      <c r="D705" t="s">
        <v>1338</v>
      </c>
      <c r="E705" s="5" t="s">
        <v>838</v>
      </c>
      <c r="F705" s="5" t="s">
        <v>42</v>
      </c>
      <c r="K705" t="s">
        <v>833</v>
      </c>
      <c r="L705" t="s">
        <v>963</v>
      </c>
      <c r="N705" t="s">
        <v>834</v>
      </c>
      <c r="O705" t="s">
        <v>965</v>
      </c>
      <c r="P705" t="s">
        <v>965</v>
      </c>
      <c r="Q705" t="s">
        <v>965</v>
      </c>
      <c r="R705" t="s">
        <v>965</v>
      </c>
      <c r="S705" t="s">
        <v>965</v>
      </c>
      <c r="T705" t="s">
        <v>965</v>
      </c>
      <c r="U705" t="s">
        <v>965</v>
      </c>
      <c r="V705" t="s">
        <v>965</v>
      </c>
      <c r="W705" t="s">
        <v>965</v>
      </c>
      <c r="X705" t="s">
        <v>965</v>
      </c>
      <c r="Y705" t="s">
        <v>965</v>
      </c>
      <c r="Z705" t="s">
        <v>965</v>
      </c>
      <c r="AA705" t="s">
        <v>965</v>
      </c>
      <c r="AB705" t="s">
        <v>965</v>
      </c>
      <c r="AC705" t="s">
        <v>965</v>
      </c>
      <c r="AD705" t="s">
        <v>965</v>
      </c>
      <c r="AE705" t="s">
        <v>965</v>
      </c>
      <c r="AF705" t="s">
        <v>965</v>
      </c>
      <c r="AG705" t="s">
        <v>833</v>
      </c>
      <c r="AH705" t="s">
        <v>965</v>
      </c>
      <c r="AI705" t="s">
        <v>965</v>
      </c>
      <c r="AJ705" t="s">
        <v>965</v>
      </c>
      <c r="AK705" t="s">
        <v>965</v>
      </c>
      <c r="AL705" t="s">
        <v>965</v>
      </c>
      <c r="AM705" t="s">
        <v>965</v>
      </c>
      <c r="AN705" t="s">
        <v>965</v>
      </c>
      <c r="AO705" t="s">
        <v>965</v>
      </c>
      <c r="AP705" t="s">
        <v>965</v>
      </c>
      <c r="AQ705" t="s">
        <v>965</v>
      </c>
      <c r="AR705" t="s">
        <v>965</v>
      </c>
      <c r="AS705" t="s">
        <v>965</v>
      </c>
      <c r="AT705" t="s">
        <v>965</v>
      </c>
      <c r="AU705" t="s">
        <v>965</v>
      </c>
      <c r="AV705" t="s">
        <v>965</v>
      </c>
      <c r="AW705" t="s">
        <v>965</v>
      </c>
      <c r="AX705" t="s">
        <v>965</v>
      </c>
      <c r="AY705" t="s">
        <v>965</v>
      </c>
      <c r="AZ705" t="s">
        <v>965</v>
      </c>
      <c r="BA705" t="s">
        <v>965</v>
      </c>
      <c r="BB705" t="s">
        <v>965</v>
      </c>
      <c r="BC705" t="s">
        <v>965</v>
      </c>
      <c r="BD705" t="s">
        <v>965</v>
      </c>
      <c r="BE705" t="s">
        <v>855</v>
      </c>
      <c r="BF705">
        <v>54</v>
      </c>
      <c r="BG705">
        <v>16</v>
      </c>
      <c r="BH705">
        <v>54</v>
      </c>
      <c r="BI705">
        <v>0</v>
      </c>
      <c r="BJ705">
        <v>0</v>
      </c>
      <c r="BK705">
        <v>80</v>
      </c>
      <c r="BL705">
        <v>80</v>
      </c>
      <c r="BM705">
        <v>0</v>
      </c>
      <c r="BN705">
        <v>0</v>
      </c>
      <c r="BO705">
        <v>0</v>
      </c>
      <c r="BP705">
        <v>0</v>
      </c>
      <c r="BQ705">
        <v>134</v>
      </c>
      <c r="BR705">
        <v>0</v>
      </c>
      <c r="BS705">
        <v>0</v>
      </c>
      <c r="BT705">
        <v>134</v>
      </c>
      <c r="BU705">
        <v>134</v>
      </c>
      <c r="BV705" s="36">
        <f t="shared" si="9"/>
        <v>1</v>
      </c>
    </row>
    <row r="706" spans="1:74" x14ac:dyDescent="0.2">
      <c r="A706">
        <v>2025</v>
      </c>
      <c r="B706" t="s">
        <v>1314</v>
      </c>
      <c r="C706" t="s">
        <v>1054</v>
      </c>
      <c r="D706" t="s">
        <v>1339</v>
      </c>
      <c r="E706" s="5" t="s">
        <v>838</v>
      </c>
      <c r="F706" s="5" t="s">
        <v>42</v>
      </c>
      <c r="G706" s="6" t="s">
        <v>601</v>
      </c>
      <c r="H706" s="35">
        <v>0.59</v>
      </c>
      <c r="I706" s="35">
        <v>0.04</v>
      </c>
      <c r="J706" s="32">
        <v>1</v>
      </c>
      <c r="K706" t="s">
        <v>833</v>
      </c>
      <c r="L706" t="s">
        <v>963</v>
      </c>
      <c r="N706" t="s">
        <v>964</v>
      </c>
      <c r="O706" t="s">
        <v>965</v>
      </c>
      <c r="P706" t="s">
        <v>965</v>
      </c>
      <c r="Q706" t="s">
        <v>965</v>
      </c>
      <c r="R706" t="s">
        <v>965</v>
      </c>
      <c r="S706" t="s">
        <v>965</v>
      </c>
      <c r="T706" t="s">
        <v>965</v>
      </c>
      <c r="U706" t="s">
        <v>965</v>
      </c>
      <c r="V706" t="s">
        <v>965</v>
      </c>
      <c r="W706" t="s">
        <v>965</v>
      </c>
      <c r="X706" t="s">
        <v>833</v>
      </c>
      <c r="Y706" t="s">
        <v>965</v>
      </c>
      <c r="Z706" t="s">
        <v>965</v>
      </c>
      <c r="AA706" t="s">
        <v>965</v>
      </c>
      <c r="AB706" t="s">
        <v>965</v>
      </c>
      <c r="AC706" t="s">
        <v>965</v>
      </c>
      <c r="AD706" t="s">
        <v>965</v>
      </c>
      <c r="AE706" t="s">
        <v>965</v>
      </c>
      <c r="AF706" t="s">
        <v>965</v>
      </c>
      <c r="AG706" t="s">
        <v>965</v>
      </c>
      <c r="AH706" t="s">
        <v>965</v>
      </c>
      <c r="AI706" t="s">
        <v>965</v>
      </c>
      <c r="AJ706" t="s">
        <v>965</v>
      </c>
      <c r="AK706" t="s">
        <v>965</v>
      </c>
      <c r="AL706" t="s">
        <v>965</v>
      </c>
      <c r="AM706" t="s">
        <v>965</v>
      </c>
      <c r="AN706" t="s">
        <v>965</v>
      </c>
      <c r="AO706" t="s">
        <v>965</v>
      </c>
      <c r="AP706" t="s">
        <v>965</v>
      </c>
      <c r="AQ706" t="s">
        <v>965</v>
      </c>
      <c r="AR706" t="s">
        <v>965</v>
      </c>
      <c r="AS706" t="s">
        <v>965</v>
      </c>
      <c r="AT706" t="s">
        <v>965</v>
      </c>
      <c r="AU706" t="s">
        <v>965</v>
      </c>
      <c r="AV706" t="s">
        <v>965</v>
      </c>
      <c r="AW706" t="s">
        <v>965</v>
      </c>
      <c r="AX706" t="s">
        <v>965</v>
      </c>
      <c r="AY706" t="s">
        <v>965</v>
      </c>
      <c r="AZ706" t="s">
        <v>965</v>
      </c>
      <c r="BA706" t="s">
        <v>965</v>
      </c>
      <c r="BB706" t="s">
        <v>965</v>
      </c>
      <c r="BC706" t="s">
        <v>965</v>
      </c>
      <c r="BD706" t="s">
        <v>965</v>
      </c>
      <c r="BE706" t="s">
        <v>855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41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41</v>
      </c>
      <c r="BR706">
        <v>0</v>
      </c>
      <c r="BS706">
        <v>0</v>
      </c>
      <c r="BT706">
        <v>41</v>
      </c>
      <c r="BU706">
        <v>41</v>
      </c>
      <c r="BV706" s="36">
        <f t="shared" si="9"/>
        <v>1</v>
      </c>
    </row>
    <row r="707" spans="1:74" x14ac:dyDescent="0.2">
      <c r="A707">
        <v>2025</v>
      </c>
      <c r="B707" t="s">
        <v>1314</v>
      </c>
      <c r="C707" t="s">
        <v>1054</v>
      </c>
      <c r="D707" t="s">
        <v>1340</v>
      </c>
      <c r="E707" s="5" t="s">
        <v>838</v>
      </c>
      <c r="F707" s="5" t="s">
        <v>42</v>
      </c>
      <c r="K707" t="s">
        <v>833</v>
      </c>
      <c r="L707" t="s">
        <v>963</v>
      </c>
      <c r="N707" t="s">
        <v>834</v>
      </c>
      <c r="O707" t="s">
        <v>965</v>
      </c>
      <c r="P707" t="s">
        <v>833</v>
      </c>
      <c r="Q707" t="s">
        <v>965</v>
      </c>
      <c r="R707" t="s">
        <v>965</v>
      </c>
      <c r="S707" t="s">
        <v>965</v>
      </c>
      <c r="T707" t="s">
        <v>965</v>
      </c>
      <c r="U707" t="s">
        <v>965</v>
      </c>
      <c r="V707" t="s">
        <v>965</v>
      </c>
      <c r="W707" t="s">
        <v>965</v>
      </c>
      <c r="X707" t="s">
        <v>965</v>
      </c>
      <c r="Y707" t="s">
        <v>965</v>
      </c>
      <c r="Z707" t="s">
        <v>965</v>
      </c>
      <c r="AA707" t="s">
        <v>965</v>
      </c>
      <c r="AB707" t="s">
        <v>965</v>
      </c>
      <c r="AC707" t="s">
        <v>965</v>
      </c>
      <c r="AD707" t="s">
        <v>965</v>
      </c>
      <c r="AE707" t="s">
        <v>965</v>
      </c>
      <c r="AF707" t="s">
        <v>965</v>
      </c>
      <c r="AG707" t="s">
        <v>965</v>
      </c>
      <c r="AH707" t="s">
        <v>965</v>
      </c>
      <c r="AI707" t="s">
        <v>965</v>
      </c>
      <c r="AJ707" t="s">
        <v>965</v>
      </c>
      <c r="AK707" t="s">
        <v>965</v>
      </c>
      <c r="AL707" t="s">
        <v>965</v>
      </c>
      <c r="AM707" t="s">
        <v>965</v>
      </c>
      <c r="AN707" t="s">
        <v>965</v>
      </c>
      <c r="AO707" t="s">
        <v>965</v>
      </c>
      <c r="AP707" t="s">
        <v>965</v>
      </c>
      <c r="AQ707" t="s">
        <v>965</v>
      </c>
      <c r="AR707" t="s">
        <v>965</v>
      </c>
      <c r="AS707" t="s">
        <v>965</v>
      </c>
      <c r="AT707" t="s">
        <v>965</v>
      </c>
      <c r="AU707" t="s">
        <v>965</v>
      </c>
      <c r="AV707" t="s">
        <v>965</v>
      </c>
      <c r="AW707" t="s">
        <v>965</v>
      </c>
      <c r="AX707" t="s">
        <v>965</v>
      </c>
      <c r="AY707" t="s">
        <v>965</v>
      </c>
      <c r="AZ707" t="s">
        <v>965</v>
      </c>
      <c r="BA707" t="s">
        <v>965</v>
      </c>
      <c r="BB707" t="s">
        <v>965</v>
      </c>
      <c r="BC707" t="s">
        <v>965</v>
      </c>
      <c r="BD707" t="s">
        <v>965</v>
      </c>
      <c r="BE707" t="s">
        <v>855</v>
      </c>
      <c r="BF707">
        <v>2</v>
      </c>
      <c r="BG707">
        <v>1</v>
      </c>
      <c r="BH707">
        <v>0</v>
      </c>
      <c r="BI707">
        <v>0</v>
      </c>
      <c r="BJ707">
        <v>0</v>
      </c>
      <c r="BK707">
        <v>3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5</v>
      </c>
      <c r="BR707">
        <v>0</v>
      </c>
      <c r="BS707">
        <v>0</v>
      </c>
      <c r="BT707">
        <v>5</v>
      </c>
      <c r="BU707">
        <v>5</v>
      </c>
      <c r="BV707" s="36">
        <f t="shared" si="9"/>
        <v>1</v>
      </c>
    </row>
    <row r="708" spans="1:74" x14ac:dyDescent="0.2">
      <c r="A708">
        <v>2025</v>
      </c>
      <c r="B708" t="s">
        <v>1314</v>
      </c>
      <c r="C708" t="s">
        <v>1341</v>
      </c>
      <c r="D708" t="s">
        <v>1342</v>
      </c>
      <c r="E708" s="5" t="s">
        <v>1057</v>
      </c>
      <c r="F708" s="5" t="s">
        <v>136</v>
      </c>
      <c r="K708" t="s">
        <v>833</v>
      </c>
      <c r="L708" t="s">
        <v>963</v>
      </c>
      <c r="N708" t="s">
        <v>834</v>
      </c>
      <c r="O708" t="s">
        <v>965</v>
      </c>
      <c r="P708" t="s">
        <v>965</v>
      </c>
      <c r="Q708" t="s">
        <v>965</v>
      </c>
      <c r="R708" t="s">
        <v>965</v>
      </c>
      <c r="S708" t="s">
        <v>965</v>
      </c>
      <c r="T708" t="s">
        <v>965</v>
      </c>
      <c r="U708" t="s">
        <v>965</v>
      </c>
      <c r="V708" t="s">
        <v>965</v>
      </c>
      <c r="W708" t="s">
        <v>965</v>
      </c>
      <c r="X708" t="s">
        <v>965</v>
      </c>
      <c r="Y708" t="s">
        <v>965</v>
      </c>
      <c r="Z708" t="s">
        <v>965</v>
      </c>
      <c r="AA708" t="s">
        <v>965</v>
      </c>
      <c r="AB708" t="s">
        <v>965</v>
      </c>
      <c r="AC708" t="s">
        <v>965</v>
      </c>
      <c r="AD708" t="s">
        <v>965</v>
      </c>
      <c r="AE708" t="s">
        <v>965</v>
      </c>
      <c r="AF708" t="s">
        <v>965</v>
      </c>
      <c r="AG708" t="s">
        <v>833</v>
      </c>
      <c r="AH708" t="s">
        <v>965</v>
      </c>
      <c r="AI708" t="s">
        <v>965</v>
      </c>
      <c r="AJ708" t="s">
        <v>965</v>
      </c>
      <c r="AK708" t="s">
        <v>965</v>
      </c>
      <c r="AL708" t="s">
        <v>965</v>
      </c>
      <c r="AM708" t="s">
        <v>965</v>
      </c>
      <c r="AN708" t="s">
        <v>965</v>
      </c>
      <c r="AO708" t="s">
        <v>965</v>
      </c>
      <c r="AP708" t="s">
        <v>965</v>
      </c>
      <c r="AQ708" t="s">
        <v>965</v>
      </c>
      <c r="AR708" t="s">
        <v>965</v>
      </c>
      <c r="AS708" t="s">
        <v>965</v>
      </c>
      <c r="AT708" t="s">
        <v>965</v>
      </c>
      <c r="AU708" t="s">
        <v>965</v>
      </c>
      <c r="AV708" t="s">
        <v>965</v>
      </c>
      <c r="AW708" t="s">
        <v>965</v>
      </c>
      <c r="AX708" t="s">
        <v>965</v>
      </c>
      <c r="AY708" t="s">
        <v>965</v>
      </c>
      <c r="AZ708" t="s">
        <v>965</v>
      </c>
      <c r="BA708" t="s">
        <v>965</v>
      </c>
      <c r="BB708" t="s">
        <v>965</v>
      </c>
      <c r="BC708" t="s">
        <v>965</v>
      </c>
      <c r="BD708" t="s">
        <v>965</v>
      </c>
      <c r="BE708" t="s">
        <v>855</v>
      </c>
      <c r="BF708">
        <v>7</v>
      </c>
      <c r="BG708">
        <v>2</v>
      </c>
      <c r="BH708">
        <v>7</v>
      </c>
      <c r="BI708">
        <v>0</v>
      </c>
      <c r="BJ708">
        <v>0</v>
      </c>
      <c r="BK708">
        <v>4</v>
      </c>
      <c r="BL708">
        <v>4</v>
      </c>
      <c r="BM708">
        <v>0</v>
      </c>
      <c r="BN708">
        <v>0</v>
      </c>
      <c r="BO708">
        <v>0</v>
      </c>
      <c r="BP708">
        <v>0</v>
      </c>
      <c r="BQ708">
        <v>11</v>
      </c>
      <c r="BR708">
        <v>0</v>
      </c>
      <c r="BS708">
        <v>0</v>
      </c>
      <c r="BT708">
        <v>11</v>
      </c>
      <c r="BU708">
        <v>11</v>
      </c>
      <c r="BV708" s="36">
        <f t="shared" si="9"/>
        <v>1</v>
      </c>
    </row>
    <row r="709" spans="1:74" x14ac:dyDescent="0.2">
      <c r="A709">
        <v>2025</v>
      </c>
      <c r="B709" t="s">
        <v>1314</v>
      </c>
      <c r="C709" t="s">
        <v>861</v>
      </c>
      <c r="D709" t="s">
        <v>1315</v>
      </c>
      <c r="E709" s="5" t="s">
        <v>843</v>
      </c>
      <c r="F709" s="5" t="s">
        <v>628</v>
      </c>
      <c r="K709" t="s">
        <v>833</v>
      </c>
      <c r="L709" t="s">
        <v>963</v>
      </c>
      <c r="N709" t="s">
        <v>834</v>
      </c>
      <c r="O709" t="s">
        <v>965</v>
      </c>
      <c r="P709" t="s">
        <v>965</v>
      </c>
      <c r="Q709" t="s">
        <v>965</v>
      </c>
      <c r="R709" t="s">
        <v>965</v>
      </c>
      <c r="S709" t="s">
        <v>965</v>
      </c>
      <c r="T709" t="s">
        <v>965</v>
      </c>
      <c r="U709" t="s">
        <v>965</v>
      </c>
      <c r="V709" t="s">
        <v>965</v>
      </c>
      <c r="W709" t="s">
        <v>965</v>
      </c>
      <c r="X709" t="s">
        <v>965</v>
      </c>
      <c r="Y709" t="s">
        <v>965</v>
      </c>
      <c r="Z709" t="s">
        <v>965</v>
      </c>
      <c r="AA709" t="s">
        <v>965</v>
      </c>
      <c r="AB709" t="s">
        <v>965</v>
      </c>
      <c r="AC709" t="s">
        <v>965</v>
      </c>
      <c r="AD709" t="s">
        <v>965</v>
      </c>
      <c r="AE709" t="s">
        <v>965</v>
      </c>
      <c r="AF709" t="s">
        <v>965</v>
      </c>
      <c r="AG709" t="s">
        <v>965</v>
      </c>
      <c r="AH709" t="s">
        <v>965</v>
      </c>
      <c r="AI709" t="s">
        <v>965</v>
      </c>
      <c r="AJ709" t="s">
        <v>965</v>
      </c>
      <c r="AK709" t="s">
        <v>965</v>
      </c>
      <c r="AL709" t="s">
        <v>965</v>
      </c>
      <c r="AM709" t="s">
        <v>965</v>
      </c>
      <c r="AN709" t="s">
        <v>965</v>
      </c>
      <c r="AO709" t="s">
        <v>965</v>
      </c>
      <c r="AP709" t="s">
        <v>965</v>
      </c>
      <c r="AQ709" t="s">
        <v>965</v>
      </c>
      <c r="AR709" t="s">
        <v>965</v>
      </c>
      <c r="AS709" t="s">
        <v>965</v>
      </c>
      <c r="AT709" t="s">
        <v>965</v>
      </c>
      <c r="AU709" t="s">
        <v>965</v>
      </c>
      <c r="AV709" t="s">
        <v>965</v>
      </c>
      <c r="AW709" t="s">
        <v>965</v>
      </c>
      <c r="AX709" t="s">
        <v>965</v>
      </c>
      <c r="AY709" t="s">
        <v>965</v>
      </c>
      <c r="AZ709" t="s">
        <v>965</v>
      </c>
      <c r="BA709" t="s">
        <v>965</v>
      </c>
      <c r="BB709" t="s">
        <v>965</v>
      </c>
      <c r="BC709" t="s">
        <v>833</v>
      </c>
      <c r="BD709" t="s">
        <v>965</v>
      </c>
      <c r="BE709" t="s">
        <v>835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s="36"/>
    </row>
    <row r="710" spans="1:74" x14ac:dyDescent="0.2">
      <c r="A710">
        <v>2025</v>
      </c>
      <c r="B710" t="s">
        <v>1314</v>
      </c>
      <c r="C710" t="s">
        <v>861</v>
      </c>
      <c r="D710" t="s">
        <v>1343</v>
      </c>
      <c r="E710" s="5" t="s">
        <v>843</v>
      </c>
      <c r="F710" s="5" t="s">
        <v>628</v>
      </c>
      <c r="K710" t="s">
        <v>833</v>
      </c>
      <c r="L710" t="s">
        <v>963</v>
      </c>
      <c r="N710" t="s">
        <v>834</v>
      </c>
      <c r="O710" t="s">
        <v>965</v>
      </c>
      <c r="P710" t="s">
        <v>965</v>
      </c>
      <c r="Q710" t="s">
        <v>965</v>
      </c>
      <c r="R710" t="s">
        <v>965</v>
      </c>
      <c r="S710" t="s">
        <v>965</v>
      </c>
      <c r="T710" t="s">
        <v>965</v>
      </c>
      <c r="U710" t="s">
        <v>965</v>
      </c>
      <c r="V710" t="s">
        <v>833</v>
      </c>
      <c r="W710" t="s">
        <v>965</v>
      </c>
      <c r="X710" t="s">
        <v>965</v>
      </c>
      <c r="Y710" t="s">
        <v>965</v>
      </c>
      <c r="Z710" t="s">
        <v>965</v>
      </c>
      <c r="AA710" t="s">
        <v>965</v>
      </c>
      <c r="AB710" t="s">
        <v>965</v>
      </c>
      <c r="AC710" t="s">
        <v>965</v>
      </c>
      <c r="AD710" t="s">
        <v>965</v>
      </c>
      <c r="AE710" t="s">
        <v>965</v>
      </c>
      <c r="AF710" t="s">
        <v>965</v>
      </c>
      <c r="AG710" t="s">
        <v>965</v>
      </c>
      <c r="AH710" t="s">
        <v>965</v>
      </c>
      <c r="AI710" t="s">
        <v>965</v>
      </c>
      <c r="AJ710" t="s">
        <v>965</v>
      </c>
      <c r="AK710" t="s">
        <v>965</v>
      </c>
      <c r="AL710" t="s">
        <v>965</v>
      </c>
      <c r="AM710" t="s">
        <v>965</v>
      </c>
      <c r="AN710" t="s">
        <v>965</v>
      </c>
      <c r="AO710" t="s">
        <v>965</v>
      </c>
      <c r="AP710" t="s">
        <v>965</v>
      </c>
      <c r="AQ710" t="s">
        <v>965</v>
      </c>
      <c r="AR710" t="s">
        <v>965</v>
      </c>
      <c r="AS710" t="s">
        <v>965</v>
      </c>
      <c r="AT710" t="s">
        <v>965</v>
      </c>
      <c r="AU710" t="s">
        <v>965</v>
      </c>
      <c r="AV710" t="s">
        <v>965</v>
      </c>
      <c r="AW710" t="s">
        <v>965</v>
      </c>
      <c r="AX710" t="s">
        <v>965</v>
      </c>
      <c r="AY710" t="s">
        <v>965</v>
      </c>
      <c r="AZ710" t="s">
        <v>965</v>
      </c>
      <c r="BA710" t="s">
        <v>965</v>
      </c>
      <c r="BB710" t="s">
        <v>965</v>
      </c>
      <c r="BC710" t="s">
        <v>965</v>
      </c>
      <c r="BD710" t="s">
        <v>965</v>
      </c>
      <c r="BE710" t="s">
        <v>855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15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15</v>
      </c>
      <c r="BR710">
        <v>0</v>
      </c>
      <c r="BS710">
        <v>0</v>
      </c>
      <c r="BT710">
        <v>15</v>
      </c>
      <c r="BU710">
        <v>15</v>
      </c>
      <c r="BV710" s="36">
        <f>BU710/BT710</f>
        <v>1</v>
      </c>
    </row>
    <row r="711" spans="1:74" x14ac:dyDescent="0.2">
      <c r="A711">
        <v>2025</v>
      </c>
      <c r="B711" t="s">
        <v>1314</v>
      </c>
      <c r="C711" t="s">
        <v>1034</v>
      </c>
      <c r="D711" t="s">
        <v>1344</v>
      </c>
      <c r="E711" s="5" t="s">
        <v>843</v>
      </c>
      <c r="F711" s="5" t="s">
        <v>628</v>
      </c>
      <c r="K711" t="s">
        <v>833</v>
      </c>
      <c r="L711" t="s">
        <v>963</v>
      </c>
      <c r="N711" t="s">
        <v>834</v>
      </c>
      <c r="O711" t="s">
        <v>965</v>
      </c>
      <c r="P711" t="s">
        <v>833</v>
      </c>
      <c r="Q711" t="s">
        <v>965</v>
      </c>
      <c r="R711" t="s">
        <v>965</v>
      </c>
      <c r="S711" t="s">
        <v>965</v>
      </c>
      <c r="T711" t="s">
        <v>965</v>
      </c>
      <c r="U711" t="s">
        <v>965</v>
      </c>
      <c r="V711" t="s">
        <v>965</v>
      </c>
      <c r="W711" t="s">
        <v>965</v>
      </c>
      <c r="X711" t="s">
        <v>965</v>
      </c>
      <c r="Y711" t="s">
        <v>965</v>
      </c>
      <c r="Z711" t="s">
        <v>965</v>
      </c>
      <c r="AA711" t="s">
        <v>965</v>
      </c>
      <c r="AB711" t="s">
        <v>965</v>
      </c>
      <c r="AC711" t="s">
        <v>965</v>
      </c>
      <c r="AD711" t="s">
        <v>965</v>
      </c>
      <c r="AE711" t="s">
        <v>965</v>
      </c>
      <c r="AF711" t="s">
        <v>965</v>
      </c>
      <c r="AG711" t="s">
        <v>965</v>
      </c>
      <c r="AH711" t="s">
        <v>965</v>
      </c>
      <c r="AI711" t="s">
        <v>965</v>
      </c>
      <c r="AJ711" t="s">
        <v>965</v>
      </c>
      <c r="AK711" t="s">
        <v>965</v>
      </c>
      <c r="AL711" t="s">
        <v>965</v>
      </c>
      <c r="AM711" t="s">
        <v>965</v>
      </c>
      <c r="AN711" t="s">
        <v>965</v>
      </c>
      <c r="AO711" t="s">
        <v>965</v>
      </c>
      <c r="AP711" t="s">
        <v>965</v>
      </c>
      <c r="AQ711" t="s">
        <v>965</v>
      </c>
      <c r="AR711" t="s">
        <v>965</v>
      </c>
      <c r="AS711" t="s">
        <v>965</v>
      </c>
      <c r="AT711" t="s">
        <v>965</v>
      </c>
      <c r="AU711" t="s">
        <v>965</v>
      </c>
      <c r="AV711" t="s">
        <v>965</v>
      </c>
      <c r="AW711" t="s">
        <v>965</v>
      </c>
      <c r="AX711" t="s">
        <v>965</v>
      </c>
      <c r="AY711" t="s">
        <v>965</v>
      </c>
      <c r="AZ711" t="s">
        <v>965</v>
      </c>
      <c r="BA711" t="s">
        <v>965</v>
      </c>
      <c r="BB711" t="s">
        <v>965</v>
      </c>
      <c r="BC711" t="s">
        <v>965</v>
      </c>
      <c r="BD711" t="s">
        <v>965</v>
      </c>
      <c r="BE711" t="s">
        <v>855</v>
      </c>
      <c r="BF711">
        <v>2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2</v>
      </c>
      <c r="BR711">
        <v>0</v>
      </c>
      <c r="BS711">
        <v>0</v>
      </c>
      <c r="BT711">
        <v>2</v>
      </c>
      <c r="BU711">
        <v>2</v>
      </c>
      <c r="BV711" s="36">
        <f>BU711/BT711</f>
        <v>1</v>
      </c>
    </row>
    <row r="712" spans="1:74" x14ac:dyDescent="0.2">
      <c r="A712">
        <v>2025</v>
      </c>
      <c r="B712" t="s">
        <v>1314</v>
      </c>
      <c r="C712" t="s">
        <v>981</v>
      </c>
      <c r="D712" t="s">
        <v>1345</v>
      </c>
      <c r="E712" s="5" t="s">
        <v>843</v>
      </c>
      <c r="F712" s="5" t="s">
        <v>628</v>
      </c>
      <c r="K712" t="s">
        <v>833</v>
      </c>
      <c r="L712" t="s">
        <v>963</v>
      </c>
      <c r="N712" t="s">
        <v>834</v>
      </c>
      <c r="O712" t="s">
        <v>965</v>
      </c>
      <c r="P712" t="s">
        <v>965</v>
      </c>
      <c r="Q712" t="s">
        <v>965</v>
      </c>
      <c r="R712" t="s">
        <v>965</v>
      </c>
      <c r="S712" t="s">
        <v>965</v>
      </c>
      <c r="T712" t="s">
        <v>965</v>
      </c>
      <c r="U712" t="s">
        <v>965</v>
      </c>
      <c r="V712" t="s">
        <v>965</v>
      </c>
      <c r="W712" t="s">
        <v>965</v>
      </c>
      <c r="X712" t="s">
        <v>965</v>
      </c>
      <c r="Y712" t="s">
        <v>965</v>
      </c>
      <c r="Z712" t="s">
        <v>965</v>
      </c>
      <c r="AA712" t="s">
        <v>965</v>
      </c>
      <c r="AB712" t="s">
        <v>965</v>
      </c>
      <c r="AC712" t="s">
        <v>965</v>
      </c>
      <c r="AD712" t="s">
        <v>965</v>
      </c>
      <c r="AE712" t="s">
        <v>965</v>
      </c>
      <c r="AF712" t="s">
        <v>965</v>
      </c>
      <c r="AG712" t="s">
        <v>965</v>
      </c>
      <c r="AH712" t="s">
        <v>965</v>
      </c>
      <c r="AI712" t="s">
        <v>965</v>
      </c>
      <c r="AJ712" t="s">
        <v>965</v>
      </c>
      <c r="AK712" t="s">
        <v>965</v>
      </c>
      <c r="AL712" t="s">
        <v>965</v>
      </c>
      <c r="AM712" t="s">
        <v>965</v>
      </c>
      <c r="AN712" t="s">
        <v>965</v>
      </c>
      <c r="AO712" t="s">
        <v>965</v>
      </c>
      <c r="AP712" t="s">
        <v>965</v>
      </c>
      <c r="AQ712" t="s">
        <v>965</v>
      </c>
      <c r="AR712" t="s">
        <v>965</v>
      </c>
      <c r="AS712" t="s">
        <v>965</v>
      </c>
      <c r="AT712" t="s">
        <v>965</v>
      </c>
      <c r="AU712" t="s">
        <v>965</v>
      </c>
      <c r="AV712" t="s">
        <v>965</v>
      </c>
      <c r="AW712" t="s">
        <v>965</v>
      </c>
      <c r="AX712" t="s">
        <v>965</v>
      </c>
      <c r="AY712" t="s">
        <v>965</v>
      </c>
      <c r="AZ712" t="s">
        <v>965</v>
      </c>
      <c r="BA712" t="s">
        <v>965</v>
      </c>
      <c r="BB712" t="s">
        <v>833</v>
      </c>
      <c r="BC712" t="s">
        <v>965</v>
      </c>
      <c r="BD712" t="s">
        <v>965</v>
      </c>
      <c r="BE712" t="s">
        <v>855</v>
      </c>
      <c r="BF712">
        <v>4</v>
      </c>
      <c r="BG712">
        <v>1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4</v>
      </c>
      <c r="BR712">
        <v>0</v>
      </c>
      <c r="BS712">
        <v>0</v>
      </c>
      <c r="BT712">
        <v>4</v>
      </c>
      <c r="BU712">
        <v>4</v>
      </c>
      <c r="BV712" s="36">
        <f>BU712/BT712</f>
        <v>1</v>
      </c>
    </row>
    <row r="713" spans="1:74" x14ac:dyDescent="0.2">
      <c r="A713">
        <v>2025</v>
      </c>
      <c r="B713" t="s">
        <v>1314</v>
      </c>
      <c r="C713" t="s">
        <v>1068</v>
      </c>
      <c r="D713" t="s">
        <v>1346</v>
      </c>
      <c r="E713" s="5" t="s">
        <v>843</v>
      </c>
      <c r="F713" s="5" t="s">
        <v>628</v>
      </c>
      <c r="K713" t="s">
        <v>962</v>
      </c>
      <c r="L713" t="s">
        <v>963</v>
      </c>
      <c r="N713" t="s">
        <v>964</v>
      </c>
      <c r="O713" t="s">
        <v>965</v>
      </c>
      <c r="P713" t="s">
        <v>965</v>
      </c>
      <c r="Q713" t="s">
        <v>965</v>
      </c>
      <c r="R713" t="s">
        <v>965</v>
      </c>
      <c r="S713" t="s">
        <v>965</v>
      </c>
      <c r="T713" t="s">
        <v>965</v>
      </c>
      <c r="U713" t="s">
        <v>965</v>
      </c>
      <c r="V713" t="s">
        <v>833</v>
      </c>
      <c r="W713" t="s">
        <v>965</v>
      </c>
      <c r="X713" t="s">
        <v>965</v>
      </c>
      <c r="Y713" t="s">
        <v>965</v>
      </c>
      <c r="Z713" t="s">
        <v>965</v>
      </c>
      <c r="AA713" t="s">
        <v>965</v>
      </c>
      <c r="AB713" t="s">
        <v>965</v>
      </c>
      <c r="AC713" t="s">
        <v>965</v>
      </c>
      <c r="AD713" t="s">
        <v>965</v>
      </c>
      <c r="AE713" t="s">
        <v>965</v>
      </c>
      <c r="AF713" t="s">
        <v>965</v>
      </c>
      <c r="AG713" t="s">
        <v>965</v>
      </c>
      <c r="AH713" t="s">
        <v>965</v>
      </c>
      <c r="AI713" t="s">
        <v>965</v>
      </c>
      <c r="AJ713" t="s">
        <v>965</v>
      </c>
      <c r="AK713" t="s">
        <v>965</v>
      </c>
      <c r="AL713" t="s">
        <v>965</v>
      </c>
      <c r="AM713" t="s">
        <v>965</v>
      </c>
      <c r="AN713" t="s">
        <v>965</v>
      </c>
      <c r="AO713" t="s">
        <v>965</v>
      </c>
      <c r="AP713" t="s">
        <v>965</v>
      </c>
      <c r="AQ713" t="s">
        <v>965</v>
      </c>
      <c r="AR713" t="s">
        <v>965</v>
      </c>
      <c r="AS713" t="s">
        <v>965</v>
      </c>
      <c r="AT713" t="s">
        <v>965</v>
      </c>
      <c r="AU713" t="s">
        <v>965</v>
      </c>
      <c r="AV713" t="s">
        <v>965</v>
      </c>
      <c r="AW713" t="s">
        <v>965</v>
      </c>
      <c r="AX713" t="s">
        <v>965</v>
      </c>
      <c r="AY713" t="s">
        <v>965</v>
      </c>
      <c r="AZ713" t="s">
        <v>965</v>
      </c>
      <c r="BA713" t="s">
        <v>965</v>
      </c>
      <c r="BB713" t="s">
        <v>965</v>
      </c>
      <c r="BC713" t="s">
        <v>965</v>
      </c>
      <c r="BD713" t="s">
        <v>833</v>
      </c>
      <c r="BE713" t="s">
        <v>855</v>
      </c>
      <c r="BF713">
        <v>9</v>
      </c>
      <c r="BG713">
        <v>3</v>
      </c>
      <c r="BH713">
        <v>0</v>
      </c>
      <c r="BI713">
        <v>0</v>
      </c>
      <c r="BJ713">
        <v>0</v>
      </c>
      <c r="BK713">
        <v>15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24</v>
      </c>
      <c r="BR713">
        <v>0</v>
      </c>
      <c r="BS713">
        <v>0</v>
      </c>
      <c r="BT713">
        <v>24</v>
      </c>
      <c r="BU713">
        <v>24</v>
      </c>
      <c r="BV713" s="36">
        <f>BU713/BT713</f>
        <v>1</v>
      </c>
    </row>
    <row r="714" spans="1:74" x14ac:dyDescent="0.2">
      <c r="A714">
        <v>2025</v>
      </c>
      <c r="B714" t="s">
        <v>1314</v>
      </c>
      <c r="C714" t="s">
        <v>1068</v>
      </c>
      <c r="D714" t="s">
        <v>1347</v>
      </c>
      <c r="E714" s="5" t="s">
        <v>843</v>
      </c>
      <c r="F714" s="5" t="s">
        <v>628</v>
      </c>
      <c r="K714" t="s">
        <v>962</v>
      </c>
      <c r="L714" t="s">
        <v>963</v>
      </c>
      <c r="N714" t="s">
        <v>964</v>
      </c>
      <c r="O714" t="s">
        <v>965</v>
      </c>
      <c r="P714" t="s">
        <v>965</v>
      </c>
      <c r="Q714" t="s">
        <v>965</v>
      </c>
      <c r="R714" t="s">
        <v>965</v>
      </c>
      <c r="S714" t="s">
        <v>965</v>
      </c>
      <c r="T714" t="s">
        <v>965</v>
      </c>
      <c r="U714" t="s">
        <v>965</v>
      </c>
      <c r="V714" t="s">
        <v>965</v>
      </c>
      <c r="W714" t="s">
        <v>965</v>
      </c>
      <c r="X714" t="s">
        <v>833</v>
      </c>
      <c r="Y714" t="s">
        <v>965</v>
      </c>
      <c r="Z714" t="s">
        <v>965</v>
      </c>
      <c r="AA714" t="s">
        <v>965</v>
      </c>
      <c r="AB714" t="s">
        <v>965</v>
      </c>
      <c r="AC714" t="s">
        <v>965</v>
      </c>
      <c r="AD714" t="s">
        <v>965</v>
      </c>
      <c r="AE714" t="s">
        <v>965</v>
      </c>
      <c r="AF714" t="s">
        <v>965</v>
      </c>
      <c r="AG714" t="s">
        <v>965</v>
      </c>
      <c r="AH714" t="s">
        <v>965</v>
      </c>
      <c r="AI714" t="s">
        <v>965</v>
      </c>
      <c r="AJ714" t="s">
        <v>965</v>
      </c>
      <c r="AK714" t="s">
        <v>965</v>
      </c>
      <c r="AL714" t="s">
        <v>965</v>
      </c>
      <c r="AM714" t="s">
        <v>965</v>
      </c>
      <c r="AN714" t="s">
        <v>965</v>
      </c>
      <c r="AO714" t="s">
        <v>965</v>
      </c>
      <c r="AP714" t="s">
        <v>965</v>
      </c>
      <c r="AQ714" t="s">
        <v>965</v>
      </c>
      <c r="AR714" t="s">
        <v>965</v>
      </c>
      <c r="AS714" t="s">
        <v>965</v>
      </c>
      <c r="AT714" t="s">
        <v>965</v>
      </c>
      <c r="AU714" t="s">
        <v>965</v>
      </c>
      <c r="AV714" t="s">
        <v>965</v>
      </c>
      <c r="AW714" t="s">
        <v>965</v>
      </c>
      <c r="AX714" t="s">
        <v>965</v>
      </c>
      <c r="AY714" t="s">
        <v>965</v>
      </c>
      <c r="AZ714" t="s">
        <v>965</v>
      </c>
      <c r="BA714" t="s">
        <v>965</v>
      </c>
      <c r="BB714" t="s">
        <v>965</v>
      </c>
      <c r="BC714" t="s">
        <v>965</v>
      </c>
      <c r="BD714" t="s">
        <v>833</v>
      </c>
      <c r="BE714" t="s">
        <v>855</v>
      </c>
      <c r="BF714">
        <v>32</v>
      </c>
      <c r="BG714">
        <v>9</v>
      </c>
      <c r="BH714">
        <v>0</v>
      </c>
      <c r="BI714">
        <v>0</v>
      </c>
      <c r="BJ714">
        <v>0</v>
      </c>
      <c r="BK714">
        <v>40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72</v>
      </c>
      <c r="BR714">
        <v>0</v>
      </c>
      <c r="BS714">
        <v>0</v>
      </c>
      <c r="BT714">
        <v>72</v>
      </c>
      <c r="BU714">
        <v>72</v>
      </c>
      <c r="BV714" s="36">
        <f>BU714/BT714</f>
        <v>1</v>
      </c>
    </row>
    <row r="715" spans="1:74" x14ac:dyDescent="0.2">
      <c r="B715" t="s">
        <v>1348</v>
      </c>
      <c r="D715" t="s">
        <v>647</v>
      </c>
      <c r="F715" t="s">
        <v>15</v>
      </c>
      <c r="G715" s="6" t="s">
        <v>160</v>
      </c>
      <c r="H715" s="32">
        <v>1</v>
      </c>
      <c r="I715" s="32">
        <v>0.214</v>
      </c>
      <c r="J715" s="32">
        <v>0.92900000000000005</v>
      </c>
      <c r="BT715" t="s">
        <v>1223</v>
      </c>
    </row>
    <row r="716" spans="1:74" x14ac:dyDescent="0.2">
      <c r="B716" t="s">
        <v>1348</v>
      </c>
      <c r="D716" t="s">
        <v>682</v>
      </c>
      <c r="F716" t="s">
        <v>610</v>
      </c>
      <c r="G716" s="6" t="s">
        <v>611</v>
      </c>
      <c r="H716" s="32">
        <v>0.251</v>
      </c>
      <c r="I716" s="32">
        <v>0.66400000000000003</v>
      </c>
      <c r="J716" s="32">
        <v>0.49299999999999999</v>
      </c>
      <c r="BT716" t="s">
        <v>1192</v>
      </c>
    </row>
    <row r="717" spans="1:74" x14ac:dyDescent="0.2">
      <c r="B717" t="s">
        <v>1349</v>
      </c>
      <c r="D717" t="s">
        <v>638</v>
      </c>
      <c r="F717" t="s">
        <v>639</v>
      </c>
      <c r="G717" s="6" t="s">
        <v>434</v>
      </c>
      <c r="H717" s="32">
        <v>0.66700000000000004</v>
      </c>
      <c r="I717" s="32">
        <v>0.79700000000000004</v>
      </c>
      <c r="J717" s="32">
        <v>0.497</v>
      </c>
      <c r="BT717" t="s">
        <v>1350</v>
      </c>
    </row>
    <row r="718" spans="1:74" x14ac:dyDescent="0.2">
      <c r="B718" t="s">
        <v>1349</v>
      </c>
      <c r="D718" t="s">
        <v>472</v>
      </c>
      <c r="F718" t="s">
        <v>20</v>
      </c>
      <c r="G718" s="6" t="s">
        <v>155</v>
      </c>
      <c r="H718" s="32">
        <v>0.55700000000000005</v>
      </c>
      <c r="I718" s="32">
        <v>0.25800000000000001</v>
      </c>
      <c r="J718" s="32">
        <v>0.43</v>
      </c>
      <c r="BT718" t="s">
        <v>1192</v>
      </c>
    </row>
    <row r="719" spans="1:74" x14ac:dyDescent="0.2">
      <c r="B719" t="s">
        <v>1349</v>
      </c>
      <c r="D719" t="s">
        <v>653</v>
      </c>
      <c r="F719" t="s">
        <v>20</v>
      </c>
      <c r="G719" s="6" t="s">
        <v>1351</v>
      </c>
      <c r="H719" s="32">
        <v>0.21199999999999999</v>
      </c>
      <c r="I719" s="32">
        <v>0.56499999999999995</v>
      </c>
      <c r="J719" s="32">
        <v>0.25</v>
      </c>
      <c r="BT719" t="s">
        <v>1157</v>
      </c>
    </row>
    <row r="720" spans="1:74" x14ac:dyDescent="0.2">
      <c r="B720" t="s">
        <v>1349</v>
      </c>
      <c r="D720" t="s">
        <v>116</v>
      </c>
      <c r="F720" t="s">
        <v>55</v>
      </c>
      <c r="G720" s="6" t="s">
        <v>56</v>
      </c>
      <c r="H720" s="32">
        <v>0.82099999999999995</v>
      </c>
      <c r="I720" s="32">
        <v>0.34599999999999997</v>
      </c>
      <c r="J720" s="32">
        <v>0.115</v>
      </c>
      <c r="BT720" t="s">
        <v>1192</v>
      </c>
    </row>
    <row r="721" spans="2:72" x14ac:dyDescent="0.2">
      <c r="B721" t="s">
        <v>1352</v>
      </c>
      <c r="D721" t="s">
        <v>144</v>
      </c>
      <c r="F721" t="s">
        <v>145</v>
      </c>
      <c r="G721" s="6" t="s">
        <v>146</v>
      </c>
      <c r="H721" s="32">
        <v>0.94299999999999995</v>
      </c>
      <c r="I721" s="32">
        <v>0.57699999999999996</v>
      </c>
      <c r="J721" s="32">
        <v>0.51900000000000002</v>
      </c>
      <c r="BT721" t="s">
        <v>1203</v>
      </c>
    </row>
    <row r="722" spans="2:72" x14ac:dyDescent="0.2">
      <c r="B722" t="s">
        <v>1353</v>
      </c>
      <c r="D722" t="s">
        <v>390</v>
      </c>
      <c r="F722" t="s">
        <v>23</v>
      </c>
      <c r="G722" s="6" t="s">
        <v>391</v>
      </c>
      <c r="H722" s="32">
        <v>0.125</v>
      </c>
      <c r="I722" s="32">
        <v>0.22500000000000001</v>
      </c>
      <c r="J722" s="32">
        <v>0.80300000000000005</v>
      </c>
      <c r="BT722" t="s">
        <v>1354</v>
      </c>
    </row>
    <row r="723" spans="2:72" x14ac:dyDescent="0.2">
      <c r="B723" t="s">
        <v>1355</v>
      </c>
      <c r="D723" t="s">
        <v>407</v>
      </c>
      <c r="F723" t="s">
        <v>103</v>
      </c>
      <c r="G723" s="6" t="s">
        <v>408</v>
      </c>
      <c r="H723" s="32">
        <v>0.438</v>
      </c>
      <c r="I723" s="32">
        <v>0.39600000000000002</v>
      </c>
      <c r="J723" s="32">
        <v>0.66</v>
      </c>
      <c r="BT723" t="s">
        <v>1183</v>
      </c>
    </row>
    <row r="724" spans="2:72" x14ac:dyDescent="0.2">
      <c r="B724" t="s">
        <v>1356</v>
      </c>
      <c r="D724" t="s">
        <v>436</v>
      </c>
      <c r="F724" t="s">
        <v>15</v>
      </c>
      <c r="G724" s="6" t="s">
        <v>437</v>
      </c>
      <c r="H724" s="32">
        <v>0.308</v>
      </c>
      <c r="I724" s="32">
        <v>0.54600000000000004</v>
      </c>
      <c r="J724" s="32">
        <v>0.26200000000000001</v>
      </c>
      <c r="BT724" t="s">
        <v>1357</v>
      </c>
    </row>
    <row r="725" spans="2:72" x14ac:dyDescent="0.2">
      <c r="B725" t="s">
        <v>1356</v>
      </c>
      <c r="D725" t="s">
        <v>129</v>
      </c>
      <c r="F725" t="s">
        <v>15</v>
      </c>
      <c r="G725" s="6" t="s">
        <v>130</v>
      </c>
      <c r="H725" s="32">
        <v>0.52900000000000003</v>
      </c>
      <c r="I725" s="32">
        <v>0.625</v>
      </c>
      <c r="J725" s="32">
        <v>0.106</v>
      </c>
      <c r="BT725" t="s">
        <v>1358</v>
      </c>
    </row>
    <row r="726" spans="2:72" x14ac:dyDescent="0.2">
      <c r="B726" t="s">
        <v>1356</v>
      </c>
      <c r="D726" t="s">
        <v>352</v>
      </c>
      <c r="F726" t="s">
        <v>15</v>
      </c>
      <c r="G726" s="6" t="s">
        <v>100</v>
      </c>
      <c r="H726" s="32">
        <v>0.53</v>
      </c>
      <c r="I726" s="32">
        <v>0.19900000000000001</v>
      </c>
      <c r="J726" s="32">
        <v>0.89</v>
      </c>
      <c r="BT726" t="s">
        <v>1216</v>
      </c>
    </row>
    <row r="727" spans="2:72" x14ac:dyDescent="0.2">
      <c r="B727" t="s">
        <v>1356</v>
      </c>
      <c r="D727" t="s">
        <v>337</v>
      </c>
      <c r="F727" t="s">
        <v>15</v>
      </c>
      <c r="G727" s="6" t="s">
        <v>292</v>
      </c>
      <c r="H727" s="32">
        <v>0.44700000000000001</v>
      </c>
      <c r="I727" s="32">
        <v>0.183</v>
      </c>
      <c r="J727" s="32">
        <v>0.78500000000000003</v>
      </c>
      <c r="BT727" t="s">
        <v>1143</v>
      </c>
    </row>
    <row r="728" spans="2:72" x14ac:dyDescent="0.2">
      <c r="B728" t="s">
        <v>1356</v>
      </c>
      <c r="D728" t="s">
        <v>741</v>
      </c>
      <c r="F728" t="s">
        <v>15</v>
      </c>
      <c r="G728" s="6" t="s">
        <v>100</v>
      </c>
      <c r="H728" s="32">
        <v>0.53</v>
      </c>
      <c r="I728" s="32">
        <v>0.19900000000000001</v>
      </c>
      <c r="J728" s="32">
        <v>0.89</v>
      </c>
      <c r="BT728" t="s">
        <v>1110</v>
      </c>
    </row>
    <row r="729" spans="2:72" x14ac:dyDescent="0.2">
      <c r="B729" t="s">
        <v>1356</v>
      </c>
      <c r="D729" t="s">
        <v>57</v>
      </c>
      <c r="F729" t="s">
        <v>58</v>
      </c>
      <c r="G729" s="6" t="s">
        <v>59</v>
      </c>
      <c r="H729" s="32">
        <v>0.438</v>
      </c>
      <c r="I729" s="32">
        <v>0.44800000000000001</v>
      </c>
      <c r="J729" s="32">
        <v>0.57799999999999996</v>
      </c>
      <c r="BT729" t="s">
        <v>1177</v>
      </c>
    </row>
    <row r="730" spans="2:72" x14ac:dyDescent="0.2">
      <c r="B730" t="s">
        <v>1356</v>
      </c>
      <c r="D730" t="s">
        <v>260</v>
      </c>
      <c r="F730" t="s">
        <v>55</v>
      </c>
      <c r="G730" s="6" t="s">
        <v>56</v>
      </c>
      <c r="H730" s="32">
        <v>0.82099999999999995</v>
      </c>
      <c r="I730" s="32">
        <v>0.34599999999999997</v>
      </c>
      <c r="J730" s="32">
        <v>0.115</v>
      </c>
      <c r="BT730" t="s">
        <v>1144</v>
      </c>
    </row>
    <row r="731" spans="2:72" x14ac:dyDescent="0.2">
      <c r="B731" t="s">
        <v>1356</v>
      </c>
      <c r="D731" t="s">
        <v>54</v>
      </c>
      <c r="F731" t="s">
        <v>55</v>
      </c>
      <c r="G731" s="6" t="s">
        <v>56</v>
      </c>
      <c r="H731" s="32">
        <v>0.82099999999999995</v>
      </c>
      <c r="I731" s="32">
        <v>0.34599999999999997</v>
      </c>
      <c r="J731" s="32">
        <v>0.115</v>
      </c>
      <c r="BT731" t="s">
        <v>1134</v>
      </c>
    </row>
    <row r="732" spans="2:72" x14ac:dyDescent="0.2">
      <c r="B732" t="s">
        <v>1356</v>
      </c>
      <c r="D732" t="s">
        <v>685</v>
      </c>
      <c r="F732" t="s">
        <v>145</v>
      </c>
      <c r="G732" s="6" t="s">
        <v>686</v>
      </c>
      <c r="H732" s="32">
        <v>0.879</v>
      </c>
      <c r="I732" s="32">
        <v>0.77100000000000002</v>
      </c>
      <c r="J732" s="32">
        <v>0.4</v>
      </c>
      <c r="BT732" t="s">
        <v>1359</v>
      </c>
    </row>
    <row r="733" spans="2:72" x14ac:dyDescent="0.2">
      <c r="B733" t="s">
        <v>1356</v>
      </c>
      <c r="D733" t="s">
        <v>324</v>
      </c>
      <c r="F733" t="s">
        <v>23</v>
      </c>
      <c r="G733" s="6" t="s">
        <v>325</v>
      </c>
      <c r="H733" s="32">
        <v>0.77200000000000002</v>
      </c>
      <c r="I733" s="32">
        <v>0.32200000000000001</v>
      </c>
      <c r="J733" s="32">
        <v>0.76900000000000002</v>
      </c>
      <c r="BT733" t="s">
        <v>1360</v>
      </c>
    </row>
    <row r="734" spans="2:72" x14ac:dyDescent="0.2">
      <c r="B734" t="s">
        <v>1356</v>
      </c>
      <c r="D734" t="s">
        <v>668</v>
      </c>
      <c r="F734" t="s">
        <v>23</v>
      </c>
      <c r="G734" s="6" t="s">
        <v>325</v>
      </c>
      <c r="H734" s="32">
        <v>0.77200000000000002</v>
      </c>
      <c r="I734" s="32">
        <v>0.32200000000000001</v>
      </c>
      <c r="J734" s="32">
        <v>0.76900000000000002</v>
      </c>
      <c r="BT734" t="s">
        <v>1143</v>
      </c>
    </row>
    <row r="735" spans="2:72" x14ac:dyDescent="0.2">
      <c r="B735" t="s">
        <v>1356</v>
      </c>
      <c r="D735" t="s">
        <v>712</v>
      </c>
      <c r="F735" t="s">
        <v>23</v>
      </c>
      <c r="G735" s="6" t="s">
        <v>713</v>
      </c>
      <c r="H735" s="32">
        <v>1</v>
      </c>
      <c r="I735" s="32">
        <v>0.26300000000000001</v>
      </c>
      <c r="J735" s="32">
        <v>0.68400000000000005</v>
      </c>
      <c r="BT735" t="s">
        <v>1157</v>
      </c>
    </row>
    <row r="736" spans="2:72" x14ac:dyDescent="0.2">
      <c r="B736" t="s">
        <v>1356</v>
      </c>
      <c r="D736" t="s">
        <v>446</v>
      </c>
      <c r="F736" t="s">
        <v>45</v>
      </c>
      <c r="G736" s="6" t="s">
        <v>447</v>
      </c>
      <c r="H736" s="32">
        <v>0.47699999999999998</v>
      </c>
      <c r="I736" s="32">
        <v>0.372</v>
      </c>
      <c r="J736" s="32">
        <v>0.66300000000000003</v>
      </c>
      <c r="BT736" t="s">
        <v>1136</v>
      </c>
    </row>
    <row r="737" spans="2:72" x14ac:dyDescent="0.2">
      <c r="B737" t="s">
        <v>1356</v>
      </c>
      <c r="D737" t="s">
        <v>232</v>
      </c>
      <c r="F737" t="s">
        <v>45</v>
      </c>
      <c r="G737" s="6" t="s">
        <v>172</v>
      </c>
      <c r="H737" s="32">
        <v>0.50700000000000001</v>
      </c>
      <c r="I737" s="32">
        <v>0.13400000000000001</v>
      </c>
      <c r="J737" s="32">
        <v>0.80600000000000005</v>
      </c>
      <c r="BT737" t="s">
        <v>1361</v>
      </c>
    </row>
    <row r="738" spans="2:72" x14ac:dyDescent="0.2">
      <c r="B738" t="s">
        <v>1356</v>
      </c>
      <c r="D738" t="s">
        <v>1362</v>
      </c>
      <c r="F738" t="s">
        <v>30</v>
      </c>
      <c r="G738" s="6" t="s">
        <v>531</v>
      </c>
      <c r="H738" s="32">
        <v>0.222</v>
      </c>
      <c r="I738" s="32">
        <v>0.93200000000000005</v>
      </c>
      <c r="J738" s="32">
        <v>0.153</v>
      </c>
      <c r="BT738" t="s">
        <v>1363</v>
      </c>
    </row>
    <row r="739" spans="2:72" x14ac:dyDescent="0.2">
      <c r="B739" t="s">
        <v>1356</v>
      </c>
      <c r="D739" t="s">
        <v>640</v>
      </c>
      <c r="F739" t="s">
        <v>33</v>
      </c>
      <c r="G739" s="6" t="s">
        <v>34</v>
      </c>
      <c r="H739" s="32">
        <v>0.98499999999999999</v>
      </c>
      <c r="I739" s="32">
        <v>0.92300000000000004</v>
      </c>
      <c r="J739" s="32">
        <v>4.4999999999999998E-2</v>
      </c>
      <c r="BT739" t="s">
        <v>1150</v>
      </c>
    </row>
    <row r="740" spans="2:72" x14ac:dyDescent="0.2">
      <c r="B740" t="s">
        <v>1356</v>
      </c>
      <c r="D740" t="s">
        <v>746</v>
      </c>
      <c r="F740" t="s">
        <v>90</v>
      </c>
      <c r="G740" s="6" t="s">
        <v>747</v>
      </c>
      <c r="H740" s="32">
        <v>0.94099999999999995</v>
      </c>
      <c r="I740" s="32">
        <v>0.40600000000000003</v>
      </c>
      <c r="J740" s="32">
        <v>9.1999999999999998E-2</v>
      </c>
      <c r="BT740" t="s">
        <v>1364</v>
      </c>
    </row>
    <row r="741" spans="2:72" x14ac:dyDescent="0.2">
      <c r="B741" t="s">
        <v>1356</v>
      </c>
      <c r="D741" t="s">
        <v>633</v>
      </c>
      <c r="F741" t="s">
        <v>610</v>
      </c>
      <c r="G741" s="6" t="s">
        <v>611</v>
      </c>
      <c r="H741" s="32">
        <v>0.251</v>
      </c>
      <c r="I741" s="32">
        <v>0.66400000000000003</v>
      </c>
      <c r="J741" s="32">
        <v>0.49299999999999999</v>
      </c>
      <c r="BT741" t="s">
        <v>1177</v>
      </c>
    </row>
    <row r="742" spans="2:72" x14ac:dyDescent="0.2">
      <c r="B742" t="s">
        <v>1356</v>
      </c>
      <c r="D742" t="s">
        <v>900</v>
      </c>
      <c r="F742" t="s">
        <v>610</v>
      </c>
      <c r="G742" s="6" t="s">
        <v>611</v>
      </c>
      <c r="H742" s="32">
        <v>0.251</v>
      </c>
      <c r="I742" s="32">
        <v>0.66400000000000003</v>
      </c>
      <c r="J742" s="32">
        <v>0.49299999999999999</v>
      </c>
      <c r="BT742" t="s">
        <v>1158</v>
      </c>
    </row>
    <row r="743" spans="2:72" x14ac:dyDescent="0.2">
      <c r="B743" t="s">
        <v>1356</v>
      </c>
      <c r="D743" t="s">
        <v>873</v>
      </c>
      <c r="F743" t="s">
        <v>139</v>
      </c>
      <c r="G743" s="6" t="s">
        <v>537</v>
      </c>
      <c r="H743" s="32">
        <v>0.90200000000000002</v>
      </c>
      <c r="I743" s="32">
        <v>3.1E-2</v>
      </c>
      <c r="J743" s="32">
        <v>0.876</v>
      </c>
      <c r="BT743" t="s">
        <v>1365</v>
      </c>
    </row>
    <row r="744" spans="2:72" x14ac:dyDescent="0.2">
      <c r="B744" t="s">
        <v>1356</v>
      </c>
      <c r="D744" t="s">
        <v>224</v>
      </c>
      <c r="F744" t="s">
        <v>225</v>
      </c>
      <c r="G744" s="6" t="s">
        <v>226</v>
      </c>
      <c r="H744" s="32">
        <v>0.442</v>
      </c>
      <c r="I744" s="32">
        <v>0.79900000000000004</v>
      </c>
      <c r="J744" s="32">
        <v>0.308</v>
      </c>
      <c r="BT744" t="s">
        <v>1162</v>
      </c>
    </row>
    <row r="745" spans="2:72" x14ac:dyDescent="0.2">
      <c r="B745" t="s">
        <v>1356</v>
      </c>
      <c r="D745" t="s">
        <v>541</v>
      </c>
      <c r="F745" t="s">
        <v>225</v>
      </c>
      <c r="G745" s="6" t="s">
        <v>542</v>
      </c>
      <c r="H745" s="32">
        <v>0.29899999999999999</v>
      </c>
      <c r="I745" s="32">
        <v>0.68700000000000006</v>
      </c>
      <c r="J745" s="32">
        <v>0.32</v>
      </c>
      <c r="BT745" t="s">
        <v>1183</v>
      </c>
    </row>
    <row r="746" spans="2:72" x14ac:dyDescent="0.2">
      <c r="B746" t="s">
        <v>1366</v>
      </c>
      <c r="D746" t="s">
        <v>715</v>
      </c>
      <c r="F746" t="s">
        <v>225</v>
      </c>
      <c r="G746" s="6" t="s">
        <v>716</v>
      </c>
      <c r="H746" s="32">
        <v>0.38500000000000001</v>
      </c>
      <c r="I746" s="32">
        <v>0.80500000000000005</v>
      </c>
      <c r="J746" s="32">
        <v>0.372</v>
      </c>
      <c r="BT746" t="s">
        <v>1367</v>
      </c>
    </row>
    <row r="747" spans="2:72" x14ac:dyDescent="0.2">
      <c r="B747" t="s">
        <v>1368</v>
      </c>
      <c r="D747" t="s">
        <v>598</v>
      </c>
      <c r="F747" t="s">
        <v>183</v>
      </c>
      <c r="G747" s="6" t="s">
        <v>599</v>
      </c>
      <c r="H747" s="32">
        <v>0.53200000000000003</v>
      </c>
      <c r="I747" s="32">
        <v>0</v>
      </c>
      <c r="J747" s="32">
        <v>0.91100000000000003</v>
      </c>
      <c r="BT747" t="s">
        <v>1223</v>
      </c>
    </row>
    <row r="748" spans="2:72" x14ac:dyDescent="0.2">
      <c r="B748" t="s">
        <v>1369</v>
      </c>
      <c r="D748" t="s">
        <v>291</v>
      </c>
      <c r="F748" t="s">
        <v>15</v>
      </c>
      <c r="G748" s="6" t="s">
        <v>292</v>
      </c>
      <c r="H748" s="32">
        <v>0.44700000000000001</v>
      </c>
      <c r="I748" s="32">
        <v>0.183</v>
      </c>
      <c r="J748" s="32">
        <v>0.78500000000000003</v>
      </c>
      <c r="BT748" t="s">
        <v>1127</v>
      </c>
    </row>
    <row r="749" spans="2:72" x14ac:dyDescent="0.2">
      <c r="B749" t="s">
        <v>1369</v>
      </c>
      <c r="D749" t="s">
        <v>374</v>
      </c>
      <c r="F749" t="s">
        <v>15</v>
      </c>
      <c r="G749" s="6" t="s">
        <v>59</v>
      </c>
      <c r="H749" s="32">
        <v>0.438</v>
      </c>
      <c r="I749" s="32">
        <v>0.44800000000000001</v>
      </c>
      <c r="J749" s="32">
        <v>0.57799999999999996</v>
      </c>
      <c r="BT749" t="s">
        <v>1114</v>
      </c>
    </row>
    <row r="750" spans="2:72" x14ac:dyDescent="0.2">
      <c r="B750" t="s">
        <v>1369</v>
      </c>
      <c r="D750" t="s">
        <v>376</v>
      </c>
      <c r="F750" t="s">
        <v>15</v>
      </c>
      <c r="G750" s="6" t="s">
        <v>210</v>
      </c>
      <c r="H750" s="32">
        <v>0.42399999999999999</v>
      </c>
      <c r="I750" s="32">
        <v>0.22700000000000001</v>
      </c>
      <c r="J750" s="32">
        <v>0.64500000000000002</v>
      </c>
      <c r="BT750" t="s">
        <v>1076</v>
      </c>
    </row>
    <row r="751" spans="2:72" x14ac:dyDescent="0.2">
      <c r="B751" t="s">
        <v>1369</v>
      </c>
      <c r="D751" t="s">
        <v>379</v>
      </c>
      <c r="F751" t="s">
        <v>15</v>
      </c>
      <c r="G751" s="6" t="s">
        <v>100</v>
      </c>
      <c r="H751" s="32">
        <v>0.53</v>
      </c>
      <c r="I751" s="32">
        <v>0.19900000000000001</v>
      </c>
      <c r="J751" s="32">
        <v>0.89</v>
      </c>
      <c r="BT751" t="s">
        <v>1075</v>
      </c>
    </row>
    <row r="752" spans="2:72" x14ac:dyDescent="0.2">
      <c r="B752" t="s">
        <v>1369</v>
      </c>
      <c r="D752" t="s">
        <v>392</v>
      </c>
      <c r="F752" t="s">
        <v>15</v>
      </c>
      <c r="G752" s="6" t="s">
        <v>393</v>
      </c>
      <c r="H752" s="32">
        <v>0.79300000000000004</v>
      </c>
      <c r="I752" s="32">
        <v>2.1999999999999999E-2</v>
      </c>
      <c r="J752" s="32">
        <v>0.46200000000000002</v>
      </c>
      <c r="BT752" t="s">
        <v>1144</v>
      </c>
    </row>
    <row r="753" spans="2:72" x14ac:dyDescent="0.2">
      <c r="B753" t="s">
        <v>1369</v>
      </c>
      <c r="D753" t="s">
        <v>312</v>
      </c>
      <c r="F753" t="s">
        <v>15</v>
      </c>
      <c r="G753" s="6" t="s">
        <v>313</v>
      </c>
      <c r="H753" s="32">
        <v>0.52500000000000002</v>
      </c>
      <c r="I753" s="32">
        <v>0.26</v>
      </c>
      <c r="J753" s="32">
        <v>0.92500000000000004</v>
      </c>
      <c r="BT753" t="s">
        <v>1075</v>
      </c>
    </row>
    <row r="754" spans="2:72" x14ac:dyDescent="0.2">
      <c r="B754" t="s">
        <v>1369</v>
      </c>
      <c r="D754" t="s">
        <v>117</v>
      </c>
      <c r="F754" t="s">
        <v>15</v>
      </c>
      <c r="G754" s="6" t="s">
        <v>118</v>
      </c>
      <c r="H754" s="32">
        <v>0.79700000000000004</v>
      </c>
      <c r="I754" s="32">
        <v>8.2000000000000003E-2</v>
      </c>
      <c r="J754" s="32">
        <v>0.73799999999999999</v>
      </c>
      <c r="BT754" t="s">
        <v>1167</v>
      </c>
    </row>
    <row r="755" spans="2:72" x14ac:dyDescent="0.2">
      <c r="B755" t="s">
        <v>1369</v>
      </c>
      <c r="D755" t="s">
        <v>284</v>
      </c>
      <c r="F755" t="s">
        <v>15</v>
      </c>
      <c r="G755" s="6" t="s">
        <v>50</v>
      </c>
      <c r="H755" s="32">
        <v>0.76700000000000002</v>
      </c>
      <c r="I755" s="32">
        <v>0.214</v>
      </c>
      <c r="J755" s="32">
        <v>0.98399999999999999</v>
      </c>
      <c r="BT755" t="s">
        <v>1129</v>
      </c>
    </row>
    <row r="756" spans="2:72" x14ac:dyDescent="0.2">
      <c r="B756" t="s">
        <v>1369</v>
      </c>
      <c r="D756" t="s">
        <v>49</v>
      </c>
      <c r="F756" t="s">
        <v>15</v>
      </c>
      <c r="G756" s="6" t="s">
        <v>50</v>
      </c>
      <c r="H756" s="32">
        <v>0.76700000000000002</v>
      </c>
      <c r="I756" s="32">
        <v>0.214</v>
      </c>
      <c r="J756" s="32">
        <v>0.98399999999999999</v>
      </c>
      <c r="BT756" t="s">
        <v>1128</v>
      </c>
    </row>
    <row r="757" spans="2:72" x14ac:dyDescent="0.2">
      <c r="B757" t="s">
        <v>1369</v>
      </c>
      <c r="D757" t="s">
        <v>27</v>
      </c>
      <c r="F757" t="s">
        <v>15</v>
      </c>
      <c r="G757" s="6" t="s">
        <v>28</v>
      </c>
      <c r="H757" s="32">
        <v>0.76200000000000001</v>
      </c>
      <c r="I757" s="32">
        <v>0.01</v>
      </c>
      <c r="J757" s="32">
        <v>0.95799999999999996</v>
      </c>
      <c r="BT757" t="s">
        <v>1367</v>
      </c>
    </row>
    <row r="758" spans="2:72" x14ac:dyDescent="0.2">
      <c r="B758" t="s">
        <v>1369</v>
      </c>
      <c r="D758" t="s">
        <v>276</v>
      </c>
      <c r="F758" t="s">
        <v>15</v>
      </c>
      <c r="G758" s="6" t="s">
        <v>219</v>
      </c>
      <c r="H758" s="32">
        <v>0.97099999999999997</v>
      </c>
      <c r="I758" s="32">
        <v>8.3000000000000004E-2</v>
      </c>
      <c r="J758" s="32">
        <v>0.99399999999999999</v>
      </c>
      <c r="BT758" t="s">
        <v>1187</v>
      </c>
    </row>
    <row r="759" spans="2:72" x14ac:dyDescent="0.2">
      <c r="B759" t="s">
        <v>1369</v>
      </c>
      <c r="D759" t="s">
        <v>525</v>
      </c>
      <c r="F759" t="s">
        <v>15</v>
      </c>
      <c r="G759" s="6" t="s">
        <v>526</v>
      </c>
      <c r="H759" s="32">
        <v>0.47499999999999998</v>
      </c>
      <c r="I759" s="32">
        <v>0.77700000000000002</v>
      </c>
      <c r="J759" s="32">
        <v>0.42299999999999999</v>
      </c>
      <c r="BT759" t="s">
        <v>1133</v>
      </c>
    </row>
    <row r="760" spans="2:72" x14ac:dyDescent="0.2">
      <c r="B760" t="s">
        <v>1369</v>
      </c>
      <c r="D760" t="s">
        <v>605</v>
      </c>
      <c r="F760" t="s">
        <v>15</v>
      </c>
      <c r="G760" s="6" t="s">
        <v>606</v>
      </c>
      <c r="H760" s="32">
        <v>0.85899999999999999</v>
      </c>
      <c r="I760" s="32">
        <v>8.5999999999999993E-2</v>
      </c>
      <c r="J760" s="32">
        <v>0.223</v>
      </c>
      <c r="BT760" t="s">
        <v>1102</v>
      </c>
    </row>
    <row r="761" spans="2:72" x14ac:dyDescent="0.2">
      <c r="B761" t="s">
        <v>1369</v>
      </c>
      <c r="D761" t="s">
        <v>657</v>
      </c>
      <c r="F761" t="s">
        <v>15</v>
      </c>
      <c r="G761" s="6" t="s">
        <v>50</v>
      </c>
      <c r="H761" s="32">
        <v>0.76700000000000002</v>
      </c>
      <c r="I761" s="32">
        <v>0.214</v>
      </c>
      <c r="J761" s="32">
        <v>0.98399999999999999</v>
      </c>
      <c r="BT761" t="s">
        <v>1108</v>
      </c>
    </row>
    <row r="762" spans="2:72" x14ac:dyDescent="0.2">
      <c r="B762" t="s">
        <v>1369</v>
      </c>
      <c r="D762" t="s">
        <v>1370</v>
      </c>
      <c r="F762" t="s">
        <v>15</v>
      </c>
      <c r="G762" s="6" t="s">
        <v>72</v>
      </c>
      <c r="H762" s="32">
        <v>9.4E-2</v>
      </c>
      <c r="I762" s="32">
        <v>0.33800000000000002</v>
      </c>
      <c r="J762" s="32">
        <v>0.59</v>
      </c>
      <c r="BT762" t="s">
        <v>1104</v>
      </c>
    </row>
    <row r="763" spans="2:72" x14ac:dyDescent="0.2">
      <c r="B763" t="s">
        <v>1369</v>
      </c>
      <c r="D763" t="s">
        <v>720</v>
      </c>
      <c r="F763" t="s">
        <v>15</v>
      </c>
      <c r="G763" s="6" t="s">
        <v>160</v>
      </c>
      <c r="H763" s="32">
        <v>1</v>
      </c>
      <c r="I763" s="32">
        <v>0.214</v>
      </c>
      <c r="J763" s="32">
        <v>0.92900000000000005</v>
      </c>
      <c r="BT763" t="s">
        <v>1113</v>
      </c>
    </row>
    <row r="764" spans="2:72" x14ac:dyDescent="0.2">
      <c r="B764" t="s">
        <v>1369</v>
      </c>
      <c r="D764" t="s">
        <v>723</v>
      </c>
      <c r="F764" t="s">
        <v>15</v>
      </c>
      <c r="G764" s="6" t="s">
        <v>606</v>
      </c>
      <c r="H764" s="32">
        <v>0.85899999999999999</v>
      </c>
      <c r="I764" s="32">
        <v>8.5999999999999993E-2</v>
      </c>
      <c r="J764" s="32">
        <v>0.223</v>
      </c>
      <c r="BT764" t="s">
        <v>1167</v>
      </c>
    </row>
    <row r="765" spans="2:72" x14ac:dyDescent="0.2">
      <c r="B765" t="s">
        <v>1369</v>
      </c>
      <c r="D765" t="s">
        <v>901</v>
      </c>
      <c r="F765" t="s">
        <v>15</v>
      </c>
      <c r="G765" s="6" t="s">
        <v>134</v>
      </c>
      <c r="H765" s="32">
        <v>0.40300000000000002</v>
      </c>
      <c r="I765" s="32">
        <v>0.17899999999999999</v>
      </c>
      <c r="J765" s="32">
        <v>0.19600000000000001</v>
      </c>
      <c r="BT765" t="s">
        <v>1350</v>
      </c>
    </row>
    <row r="766" spans="2:72" x14ac:dyDescent="0.2">
      <c r="B766" t="s">
        <v>1369</v>
      </c>
      <c r="D766" t="s">
        <v>743</v>
      </c>
      <c r="F766" t="s">
        <v>64</v>
      </c>
      <c r="G766" s="6" t="s">
        <v>744</v>
      </c>
      <c r="H766" s="32">
        <v>0.56299999999999994</v>
      </c>
      <c r="I766" s="32">
        <v>0.58799999999999997</v>
      </c>
      <c r="J766" s="32">
        <v>0.33600000000000002</v>
      </c>
      <c r="BT766" t="s">
        <v>1189</v>
      </c>
    </row>
    <row r="767" spans="2:72" x14ac:dyDescent="0.2">
      <c r="B767" t="s">
        <v>1369</v>
      </c>
      <c r="D767" t="s">
        <v>767</v>
      </c>
      <c r="F767" t="s">
        <v>64</v>
      </c>
      <c r="G767" s="6" t="s">
        <v>449</v>
      </c>
      <c r="H767" s="32">
        <v>0.47899999999999998</v>
      </c>
      <c r="I767" s="32">
        <v>0.29499999999999998</v>
      </c>
      <c r="J767" s="32">
        <v>0.50900000000000001</v>
      </c>
      <c r="BT767" t="s">
        <v>1162</v>
      </c>
    </row>
    <row r="768" spans="2:72" x14ac:dyDescent="0.2">
      <c r="B768" t="s">
        <v>1369</v>
      </c>
      <c r="D768" t="s">
        <v>301</v>
      </c>
      <c r="F768" t="s">
        <v>58</v>
      </c>
      <c r="G768" s="6" t="s">
        <v>151</v>
      </c>
      <c r="H768" s="32">
        <v>0.57099999999999995</v>
      </c>
      <c r="I768" s="32">
        <v>0.2</v>
      </c>
      <c r="J768" s="32">
        <v>0.4</v>
      </c>
      <c r="BT768" t="s">
        <v>1371</v>
      </c>
    </row>
    <row r="769" spans="2:72" x14ac:dyDescent="0.2">
      <c r="B769" t="s">
        <v>1369</v>
      </c>
      <c r="D769" t="s">
        <v>150</v>
      </c>
      <c r="F769" t="s">
        <v>58</v>
      </c>
      <c r="G769" s="6" t="s">
        <v>151</v>
      </c>
      <c r="H769" s="32">
        <v>0.57099999999999995</v>
      </c>
      <c r="I769" s="32">
        <v>0.2</v>
      </c>
      <c r="J769" s="32">
        <v>0.4</v>
      </c>
      <c r="BT769" t="s">
        <v>1091</v>
      </c>
    </row>
    <row r="770" spans="2:72" x14ac:dyDescent="0.2">
      <c r="B770" t="s">
        <v>1369</v>
      </c>
      <c r="D770" t="s">
        <v>698</v>
      </c>
      <c r="F770" t="s">
        <v>20</v>
      </c>
      <c r="G770" s="6" t="s">
        <v>78</v>
      </c>
      <c r="H770" s="32">
        <v>0.495</v>
      </c>
      <c r="I770" s="32">
        <v>3.2000000000000001E-2</v>
      </c>
      <c r="J770" s="32">
        <v>0.88900000000000001</v>
      </c>
      <c r="BT770" t="s">
        <v>1372</v>
      </c>
    </row>
    <row r="771" spans="2:72" x14ac:dyDescent="0.2">
      <c r="B771" t="s">
        <v>1369</v>
      </c>
      <c r="D771" t="s">
        <v>189</v>
      </c>
      <c r="F771" t="s">
        <v>103</v>
      </c>
      <c r="G771" s="6" t="s">
        <v>162</v>
      </c>
      <c r="H771" s="32">
        <v>0.69799999999999995</v>
      </c>
      <c r="I771" s="32">
        <v>0.28999999999999998</v>
      </c>
      <c r="J771" s="32">
        <v>0.60299999999999998</v>
      </c>
      <c r="BT771" t="s">
        <v>1104</v>
      </c>
    </row>
    <row r="772" spans="2:72" x14ac:dyDescent="0.2">
      <c r="B772" t="s">
        <v>1369</v>
      </c>
      <c r="D772" t="s">
        <v>714</v>
      </c>
      <c r="F772" t="s">
        <v>103</v>
      </c>
      <c r="G772" s="6" t="s">
        <v>162</v>
      </c>
      <c r="H772" s="32">
        <v>0.69799999999999995</v>
      </c>
      <c r="I772" s="32">
        <v>0.28999999999999998</v>
      </c>
      <c r="J772" s="32">
        <v>0.60299999999999998</v>
      </c>
      <c r="BT772" t="s">
        <v>1373</v>
      </c>
    </row>
    <row r="773" spans="2:72" x14ac:dyDescent="0.2">
      <c r="B773" t="s">
        <v>1369</v>
      </c>
      <c r="D773" t="s">
        <v>327</v>
      </c>
      <c r="F773" t="s">
        <v>23</v>
      </c>
      <c r="G773" s="6" t="s">
        <v>328</v>
      </c>
      <c r="H773" s="32">
        <v>0.65</v>
      </c>
      <c r="I773" s="32">
        <v>0.44</v>
      </c>
      <c r="J773" s="32">
        <v>0.78</v>
      </c>
      <c r="BT773" t="s">
        <v>1106</v>
      </c>
    </row>
    <row r="774" spans="2:72" x14ac:dyDescent="0.2">
      <c r="B774" t="s">
        <v>1369</v>
      </c>
      <c r="D774" t="s">
        <v>81</v>
      </c>
      <c r="F774" t="s">
        <v>45</v>
      </c>
      <c r="G774" s="6" t="s">
        <v>82</v>
      </c>
      <c r="H774" s="32">
        <v>0.26500000000000001</v>
      </c>
      <c r="I774" s="32">
        <v>0.77300000000000002</v>
      </c>
      <c r="J774" s="32">
        <v>0.106</v>
      </c>
      <c r="BT774" t="s">
        <v>1374</v>
      </c>
    </row>
    <row r="775" spans="2:72" x14ac:dyDescent="0.2">
      <c r="B775" t="s">
        <v>1369</v>
      </c>
      <c r="D775" t="s">
        <v>171</v>
      </c>
      <c r="F775" t="s">
        <v>45</v>
      </c>
      <c r="G775" s="6" t="s">
        <v>172</v>
      </c>
      <c r="H775" s="32">
        <v>0.50700000000000001</v>
      </c>
      <c r="I775" s="32">
        <v>0.13400000000000001</v>
      </c>
      <c r="J775" s="32">
        <v>0.80600000000000005</v>
      </c>
      <c r="BT775" t="s">
        <v>1375</v>
      </c>
    </row>
    <row r="776" spans="2:72" x14ac:dyDescent="0.2">
      <c r="B776" t="s">
        <v>1369</v>
      </c>
      <c r="D776" t="s">
        <v>684</v>
      </c>
      <c r="F776" t="s">
        <v>30</v>
      </c>
      <c r="G776" s="6" t="s">
        <v>48</v>
      </c>
      <c r="H776" s="32">
        <v>0.64300000000000002</v>
      </c>
      <c r="I776" s="32">
        <v>0.63100000000000001</v>
      </c>
      <c r="J776" s="32">
        <v>0.13600000000000001</v>
      </c>
      <c r="BT776" t="s">
        <v>1376</v>
      </c>
    </row>
    <row r="777" spans="2:72" x14ac:dyDescent="0.2">
      <c r="B777" t="s">
        <v>1369</v>
      </c>
      <c r="D777" t="s">
        <v>1377</v>
      </c>
      <c r="F777" t="s">
        <v>465</v>
      </c>
      <c r="G777" s="6" t="s">
        <v>466</v>
      </c>
      <c r="H777" s="32">
        <v>0.89500000000000002</v>
      </c>
      <c r="I777" s="32">
        <v>0.41199999999999998</v>
      </c>
      <c r="J777" s="32">
        <v>0.29399999999999998</v>
      </c>
      <c r="BT777" t="s">
        <v>1163</v>
      </c>
    </row>
    <row r="778" spans="2:72" x14ac:dyDescent="0.2">
      <c r="B778" t="s">
        <v>1369</v>
      </c>
      <c r="D778" t="s">
        <v>635</v>
      </c>
      <c r="F778" t="s">
        <v>465</v>
      </c>
      <c r="G778" s="6" t="s">
        <v>636</v>
      </c>
      <c r="H778" s="32">
        <v>0.65</v>
      </c>
      <c r="I778" s="32">
        <v>0.27800000000000002</v>
      </c>
      <c r="J778" s="32">
        <v>0.55600000000000005</v>
      </c>
      <c r="BT778" t="s">
        <v>1175</v>
      </c>
    </row>
    <row r="779" spans="2:72" x14ac:dyDescent="0.2">
      <c r="B779" t="s">
        <v>1369</v>
      </c>
      <c r="D779" t="s">
        <v>524</v>
      </c>
      <c r="F779" t="s">
        <v>169</v>
      </c>
      <c r="G779" s="6" t="s">
        <v>170</v>
      </c>
      <c r="H779" s="32">
        <v>0.68600000000000005</v>
      </c>
      <c r="I779" s="32">
        <v>8.2000000000000003E-2</v>
      </c>
      <c r="J779" s="32">
        <v>1</v>
      </c>
      <c r="BT779" t="s">
        <v>1378</v>
      </c>
    </row>
    <row r="780" spans="2:72" x14ac:dyDescent="0.2">
      <c r="B780" t="s">
        <v>1369</v>
      </c>
      <c r="D780" t="s">
        <v>106</v>
      </c>
      <c r="F780" t="s">
        <v>33</v>
      </c>
      <c r="G780" s="6" t="s">
        <v>804</v>
      </c>
      <c r="H780" s="32"/>
      <c r="I780" s="32"/>
      <c r="J780" s="32"/>
      <c r="BT780" t="s">
        <v>1379</v>
      </c>
    </row>
    <row r="781" spans="2:72" x14ac:dyDescent="0.2">
      <c r="B781" t="s">
        <v>1369</v>
      </c>
      <c r="D781" t="s">
        <v>396</v>
      </c>
      <c r="F781" t="s">
        <v>95</v>
      </c>
      <c r="G781" s="6" t="s">
        <v>397</v>
      </c>
      <c r="H781" s="32">
        <v>0.38600000000000001</v>
      </c>
      <c r="I781" s="32">
        <v>0.72799999999999998</v>
      </c>
      <c r="J781" s="32">
        <v>0.58199999999999996</v>
      </c>
      <c r="BT781" t="s">
        <v>1127</v>
      </c>
    </row>
    <row r="782" spans="2:72" x14ac:dyDescent="0.2">
      <c r="B782" t="s">
        <v>1369</v>
      </c>
      <c r="D782" t="s">
        <v>303</v>
      </c>
      <c r="F782" t="s">
        <v>95</v>
      </c>
      <c r="G782" s="6" t="s">
        <v>304</v>
      </c>
      <c r="H782" s="32">
        <v>0.70499999999999996</v>
      </c>
      <c r="I782" s="32">
        <v>0.28100000000000003</v>
      </c>
      <c r="J782" s="32">
        <v>0.35699999999999998</v>
      </c>
      <c r="BT782" t="s">
        <v>1216</v>
      </c>
    </row>
    <row r="783" spans="2:72" x14ac:dyDescent="0.2">
      <c r="B783" t="s">
        <v>1369</v>
      </c>
      <c r="D783" t="s">
        <v>364</v>
      </c>
      <c r="F783" t="s">
        <v>95</v>
      </c>
      <c r="G783" s="6" t="s">
        <v>365</v>
      </c>
      <c r="H783" s="32">
        <v>0.45</v>
      </c>
      <c r="I783" s="32">
        <v>0.15</v>
      </c>
      <c r="J783" s="32">
        <v>0.63600000000000001</v>
      </c>
      <c r="BT783" t="s">
        <v>1380</v>
      </c>
    </row>
    <row r="784" spans="2:72" x14ac:dyDescent="0.2">
      <c r="B784" t="s">
        <v>1369</v>
      </c>
      <c r="D784" t="s">
        <v>1381</v>
      </c>
      <c r="F784" t="s">
        <v>95</v>
      </c>
      <c r="G784" s="6" t="s">
        <v>304</v>
      </c>
      <c r="H784" s="32">
        <v>0.70499999999999996</v>
      </c>
      <c r="I784" s="32">
        <v>0.28100000000000003</v>
      </c>
      <c r="J784" s="32">
        <v>0.35699999999999998</v>
      </c>
      <c r="BT784" t="s">
        <v>1168</v>
      </c>
    </row>
    <row r="785" spans="2:72" x14ac:dyDescent="0.2">
      <c r="B785" t="s">
        <v>1369</v>
      </c>
      <c r="D785" t="s">
        <v>514</v>
      </c>
      <c r="F785" t="s">
        <v>95</v>
      </c>
      <c r="G785" s="6" t="s">
        <v>357</v>
      </c>
      <c r="H785" s="32">
        <v>0.19600000000000001</v>
      </c>
      <c r="I785" s="32">
        <v>0.21099999999999999</v>
      </c>
      <c r="J785" s="32">
        <v>0.70399999999999996</v>
      </c>
      <c r="BT785" t="s">
        <v>1167</v>
      </c>
    </row>
    <row r="786" spans="2:72" x14ac:dyDescent="0.2">
      <c r="B786" t="s">
        <v>1369</v>
      </c>
      <c r="D786" t="s">
        <v>521</v>
      </c>
      <c r="F786" t="s">
        <v>95</v>
      </c>
      <c r="G786" s="6" t="s">
        <v>397</v>
      </c>
      <c r="H786" s="32">
        <v>0.38600000000000001</v>
      </c>
      <c r="I786" s="32">
        <v>0.72799999999999998</v>
      </c>
      <c r="J786" s="32">
        <v>0.58199999999999996</v>
      </c>
      <c r="BT786" t="s">
        <v>1090</v>
      </c>
    </row>
    <row r="787" spans="2:72" x14ac:dyDescent="0.2">
      <c r="B787" t="s">
        <v>1369</v>
      </c>
      <c r="D787" t="s">
        <v>548</v>
      </c>
      <c r="F787" t="s">
        <v>95</v>
      </c>
      <c r="G787" s="6" t="s">
        <v>549</v>
      </c>
      <c r="H787" s="32">
        <v>0.379</v>
      </c>
      <c r="I787" s="32">
        <v>0.25700000000000001</v>
      </c>
      <c r="J787" s="32">
        <v>0.68899999999999995</v>
      </c>
      <c r="BT787" t="s">
        <v>1123</v>
      </c>
    </row>
    <row r="788" spans="2:72" x14ac:dyDescent="0.2">
      <c r="B788" t="s">
        <v>1369</v>
      </c>
      <c r="D788" t="s">
        <v>661</v>
      </c>
      <c r="F788" t="s">
        <v>95</v>
      </c>
      <c r="G788" s="6" t="s">
        <v>662</v>
      </c>
      <c r="H788" s="32">
        <v>0.313</v>
      </c>
      <c r="I788" s="32">
        <v>0.48899999999999999</v>
      </c>
      <c r="J788" s="32">
        <v>0.44</v>
      </c>
      <c r="BT788" t="s">
        <v>1087</v>
      </c>
    </row>
    <row r="789" spans="2:72" x14ac:dyDescent="0.2">
      <c r="B789" t="s">
        <v>1369</v>
      </c>
      <c r="D789" t="s">
        <v>703</v>
      </c>
      <c r="F789" t="s">
        <v>95</v>
      </c>
      <c r="G789" s="6" t="s">
        <v>357</v>
      </c>
      <c r="H789" s="32">
        <v>0.19600000000000001</v>
      </c>
      <c r="I789" s="32">
        <v>0.21099999999999999</v>
      </c>
      <c r="J789" s="32">
        <v>0.70399999999999996</v>
      </c>
      <c r="BT789" t="s">
        <v>1382</v>
      </c>
    </row>
    <row r="790" spans="2:72" x14ac:dyDescent="0.2">
      <c r="B790" t="s">
        <v>1369</v>
      </c>
      <c r="D790" t="s">
        <v>41</v>
      </c>
      <c r="F790" t="s">
        <v>42</v>
      </c>
      <c r="G790" s="6" t="s">
        <v>43</v>
      </c>
      <c r="H790" s="32">
        <v>0.27300000000000002</v>
      </c>
      <c r="I790" s="32">
        <v>0.16700000000000001</v>
      </c>
      <c r="J790" s="32">
        <v>0.82199999999999995</v>
      </c>
      <c r="BT790" t="s">
        <v>1383</v>
      </c>
    </row>
    <row r="791" spans="2:72" x14ac:dyDescent="0.2">
      <c r="B791" t="s">
        <v>1369</v>
      </c>
      <c r="D791" t="s">
        <v>262</v>
      </c>
      <c r="F791" t="s">
        <v>42</v>
      </c>
      <c r="G791" s="6" t="s">
        <v>238</v>
      </c>
      <c r="H791" s="32">
        <v>0.30099999999999999</v>
      </c>
      <c r="I791" s="32">
        <v>2.1999999999999999E-2</v>
      </c>
      <c r="J791" s="32">
        <v>0.93600000000000005</v>
      </c>
      <c r="BT791" t="s">
        <v>1091</v>
      </c>
    </row>
    <row r="792" spans="2:72" x14ac:dyDescent="0.2">
      <c r="B792" t="s">
        <v>1369</v>
      </c>
      <c r="D792" t="s">
        <v>602</v>
      </c>
      <c r="F792" t="s">
        <v>42</v>
      </c>
      <c r="G792" s="6" t="s">
        <v>238</v>
      </c>
      <c r="H792" s="32">
        <v>0.30099999999999999</v>
      </c>
      <c r="I792" s="32">
        <v>2.1999999999999999E-2</v>
      </c>
      <c r="J792" s="32">
        <v>0.93600000000000005</v>
      </c>
      <c r="BT792" t="s">
        <v>1383</v>
      </c>
    </row>
    <row r="793" spans="2:72" x14ac:dyDescent="0.2">
      <c r="B793" t="s">
        <v>1369</v>
      </c>
      <c r="D793" t="s">
        <v>626</v>
      </c>
      <c r="F793" t="s">
        <v>42</v>
      </c>
      <c r="G793" s="6" t="s">
        <v>238</v>
      </c>
      <c r="H793" s="32">
        <v>0.30099999999999999</v>
      </c>
      <c r="I793" s="32">
        <v>2.1999999999999999E-2</v>
      </c>
      <c r="J793" s="32">
        <v>0.93600000000000005</v>
      </c>
      <c r="BT793" t="s">
        <v>1384</v>
      </c>
    </row>
    <row r="794" spans="2:72" x14ac:dyDescent="0.2">
      <c r="B794" t="s">
        <v>1369</v>
      </c>
      <c r="D794" t="s">
        <v>350</v>
      </c>
      <c r="F794" t="s">
        <v>136</v>
      </c>
      <c r="G794" s="6" t="s">
        <v>351</v>
      </c>
      <c r="H794" s="32">
        <v>0.33100000000000002</v>
      </c>
      <c r="I794" s="32">
        <v>0.443</v>
      </c>
      <c r="J794" s="32">
        <v>0.98799999999999999</v>
      </c>
      <c r="BT794" t="s">
        <v>1224</v>
      </c>
    </row>
    <row r="795" spans="2:72" x14ac:dyDescent="0.2">
      <c r="B795" t="s">
        <v>1369</v>
      </c>
      <c r="D795" t="s">
        <v>1385</v>
      </c>
      <c r="F795" t="s">
        <v>183</v>
      </c>
      <c r="G795" s="6" t="s">
        <v>278</v>
      </c>
      <c r="H795" s="32">
        <v>0.77100000000000002</v>
      </c>
      <c r="I795" s="32">
        <v>0</v>
      </c>
      <c r="J795" s="32">
        <v>0.97799999999999998</v>
      </c>
      <c r="BT795" t="s">
        <v>1105</v>
      </c>
    </row>
    <row r="796" spans="2:72" x14ac:dyDescent="0.2">
      <c r="B796" t="s">
        <v>1369</v>
      </c>
      <c r="D796" t="s">
        <v>277</v>
      </c>
      <c r="F796" t="s">
        <v>183</v>
      </c>
      <c r="G796" s="6" t="s">
        <v>278</v>
      </c>
      <c r="H796" s="32">
        <v>0.77100000000000002</v>
      </c>
      <c r="I796" s="32">
        <v>0</v>
      </c>
      <c r="J796" s="32">
        <v>0.97799999999999998</v>
      </c>
      <c r="BT796" t="s">
        <v>1110</v>
      </c>
    </row>
    <row r="797" spans="2:72" x14ac:dyDescent="0.2">
      <c r="B797" t="s">
        <v>1369</v>
      </c>
      <c r="D797" t="s">
        <v>319</v>
      </c>
      <c r="F797" t="s">
        <v>183</v>
      </c>
      <c r="G797" s="6" t="s">
        <v>278</v>
      </c>
      <c r="H797" s="32">
        <v>0.77100000000000002</v>
      </c>
      <c r="I797" s="32">
        <v>0</v>
      </c>
      <c r="J797" s="32">
        <v>0.97799999999999998</v>
      </c>
      <c r="BT797" t="s">
        <v>1230</v>
      </c>
    </row>
    <row r="798" spans="2:72" x14ac:dyDescent="0.2">
      <c r="B798" t="s">
        <v>1369</v>
      </c>
      <c r="D798" t="s">
        <v>665</v>
      </c>
      <c r="F798" t="s">
        <v>183</v>
      </c>
      <c r="G798" s="6" t="s">
        <v>666</v>
      </c>
      <c r="H798" s="32">
        <v>0.86199999999999999</v>
      </c>
      <c r="I798" s="32">
        <v>0.19</v>
      </c>
      <c r="J798" s="32">
        <v>0.86799999999999999</v>
      </c>
      <c r="BT798" t="s">
        <v>1119</v>
      </c>
    </row>
    <row r="799" spans="2:72" x14ac:dyDescent="0.2">
      <c r="B799" t="s">
        <v>1369</v>
      </c>
      <c r="D799" t="s">
        <v>403</v>
      </c>
      <c r="F799" t="s">
        <v>225</v>
      </c>
      <c r="G799" s="6" t="s">
        <v>226</v>
      </c>
      <c r="H799" s="32">
        <v>0.442</v>
      </c>
      <c r="I799" s="32">
        <v>0.79900000000000004</v>
      </c>
      <c r="J799" s="32">
        <v>0.308</v>
      </c>
      <c r="BT799" t="s">
        <v>1117</v>
      </c>
    </row>
    <row r="800" spans="2:72" x14ac:dyDescent="0.2">
      <c r="B800" t="s">
        <v>1386</v>
      </c>
      <c r="D800" t="s">
        <v>409</v>
      </c>
      <c r="F800" t="s">
        <v>15</v>
      </c>
      <c r="G800" s="6" t="s">
        <v>134</v>
      </c>
      <c r="H800" s="32">
        <v>0.40300000000000002</v>
      </c>
      <c r="I800" s="32">
        <v>0.17899999999999999</v>
      </c>
      <c r="J800" s="32">
        <v>0.19600000000000001</v>
      </c>
      <c r="BT800" t="s">
        <v>1382</v>
      </c>
    </row>
    <row r="801" spans="1:74" x14ac:dyDescent="0.2">
      <c r="B801" t="s">
        <v>1387</v>
      </c>
      <c r="D801" t="s">
        <v>780</v>
      </c>
      <c r="F801" t="s">
        <v>30</v>
      </c>
      <c r="G801" s="6" t="s">
        <v>781</v>
      </c>
      <c r="H801" s="32">
        <v>0.217</v>
      </c>
      <c r="I801" s="32">
        <v>0.81499999999999995</v>
      </c>
      <c r="J801" s="32">
        <v>0.27100000000000002</v>
      </c>
      <c r="BT801" t="s">
        <v>1388</v>
      </c>
    </row>
    <row r="802" spans="1:74" x14ac:dyDescent="0.2">
      <c r="B802" t="s">
        <v>1387</v>
      </c>
      <c r="D802" t="s">
        <v>478</v>
      </c>
      <c r="F802" t="s">
        <v>52</v>
      </c>
      <c r="G802" s="6" t="s">
        <v>479</v>
      </c>
      <c r="H802" s="32">
        <v>0.82899999999999996</v>
      </c>
      <c r="I802" s="32">
        <v>0.34399999999999997</v>
      </c>
      <c r="J802" s="32">
        <v>0.68200000000000005</v>
      </c>
      <c r="BT802" t="s">
        <v>1131</v>
      </c>
    </row>
    <row r="803" spans="1:74" x14ac:dyDescent="0.2">
      <c r="B803" t="s">
        <v>1387</v>
      </c>
      <c r="D803" t="s">
        <v>748</v>
      </c>
      <c r="F803" t="s">
        <v>148</v>
      </c>
      <c r="G803" s="6" t="s">
        <v>749</v>
      </c>
      <c r="H803" s="32">
        <v>0.51800000000000002</v>
      </c>
      <c r="I803" s="32">
        <v>0.86</v>
      </c>
      <c r="J803" s="32">
        <v>0.159</v>
      </c>
      <c r="BT803" t="s">
        <v>1115</v>
      </c>
    </row>
    <row r="804" spans="1:74" x14ac:dyDescent="0.2">
      <c r="B804" t="s">
        <v>1387</v>
      </c>
      <c r="D804" t="s">
        <v>474</v>
      </c>
      <c r="F804" t="s">
        <v>90</v>
      </c>
      <c r="G804" s="6" t="s">
        <v>298</v>
      </c>
      <c r="H804" s="32">
        <v>0.64100000000000001</v>
      </c>
      <c r="I804" s="32">
        <v>0.52700000000000002</v>
      </c>
      <c r="J804" s="32">
        <v>0.36899999999999999</v>
      </c>
      <c r="BT804" t="s">
        <v>1180</v>
      </c>
    </row>
    <row r="805" spans="1:74" x14ac:dyDescent="0.2">
      <c r="B805" t="s">
        <v>1387</v>
      </c>
      <c r="D805" t="s">
        <v>1389</v>
      </c>
      <c r="F805" t="s">
        <v>42</v>
      </c>
      <c r="G805" s="6" t="s">
        <v>61</v>
      </c>
      <c r="H805" s="32">
        <v>9.4E-2</v>
      </c>
      <c r="I805" s="32">
        <v>0.29499999999999998</v>
      </c>
      <c r="J805" s="32">
        <v>0.621</v>
      </c>
      <c r="BT805" t="s">
        <v>1390</v>
      </c>
    </row>
    <row r="806" spans="1:74" x14ac:dyDescent="0.2">
      <c r="B806" t="s">
        <v>1391</v>
      </c>
      <c r="D806" t="s">
        <v>775</v>
      </c>
      <c r="F806" t="s">
        <v>183</v>
      </c>
      <c r="G806" s="6" t="s">
        <v>599</v>
      </c>
      <c r="H806" s="32">
        <v>0.53200000000000003</v>
      </c>
      <c r="I806" s="32">
        <v>0</v>
      </c>
      <c r="J806" s="32">
        <v>0.91100000000000003</v>
      </c>
      <c r="BT806" t="s">
        <v>1360</v>
      </c>
    </row>
    <row r="807" spans="1:74" x14ac:dyDescent="0.2">
      <c r="B807" t="s">
        <v>1392</v>
      </c>
      <c r="D807" t="s">
        <v>448</v>
      </c>
      <c r="F807" t="s">
        <v>64</v>
      </c>
      <c r="G807" s="6" t="s">
        <v>449</v>
      </c>
      <c r="H807" s="32">
        <v>0.47899999999999998</v>
      </c>
      <c r="I807" s="32">
        <v>0.29499999999999998</v>
      </c>
      <c r="J807" s="32">
        <v>0.50900000000000001</v>
      </c>
      <c r="BT807" t="s">
        <v>1185</v>
      </c>
    </row>
    <row r="808" spans="1:74" x14ac:dyDescent="0.2">
      <c r="B808" t="s">
        <v>1393</v>
      </c>
      <c r="D808" t="s">
        <v>1394</v>
      </c>
      <c r="F808" t="s">
        <v>42</v>
      </c>
      <c r="G808" s="6" t="s">
        <v>290</v>
      </c>
      <c r="H808" s="32">
        <v>0.65900000000000003</v>
      </c>
      <c r="I808" s="32">
        <v>2.5999999999999999E-2</v>
      </c>
      <c r="J808" s="32">
        <v>0.36199999999999999</v>
      </c>
      <c r="BT808" t="s">
        <v>1076</v>
      </c>
    </row>
    <row r="809" spans="1:74" x14ac:dyDescent="0.2">
      <c r="B809" t="s">
        <v>1395</v>
      </c>
      <c r="D809" t="s">
        <v>1396</v>
      </c>
      <c r="F809" t="s">
        <v>610</v>
      </c>
      <c r="G809" s="6" t="s">
        <v>804</v>
      </c>
      <c r="H809" s="32"/>
      <c r="I809" s="32"/>
      <c r="J809" s="32"/>
      <c r="BT809" t="s">
        <v>1119</v>
      </c>
    </row>
    <row r="810" spans="1:74" x14ac:dyDescent="0.2">
      <c r="B810" t="s">
        <v>1397</v>
      </c>
      <c r="D810" t="s">
        <v>317</v>
      </c>
      <c r="F810" t="s">
        <v>242</v>
      </c>
      <c r="G810" s="6" t="s">
        <v>243</v>
      </c>
      <c r="H810" s="32">
        <v>0.78300000000000003</v>
      </c>
      <c r="I810" s="32">
        <v>0.80700000000000005</v>
      </c>
      <c r="J810" s="32">
        <v>9.5000000000000001E-2</v>
      </c>
      <c r="BT810" t="s">
        <v>1398</v>
      </c>
    </row>
    <row r="811" spans="1:74" x14ac:dyDescent="0.2">
      <c r="B811" t="s">
        <v>39</v>
      </c>
      <c r="D811" t="s">
        <v>470</v>
      </c>
      <c r="F811" t="s">
        <v>15</v>
      </c>
      <c r="G811" s="6" t="s">
        <v>471</v>
      </c>
      <c r="H811" s="32">
        <v>0.94199999999999995</v>
      </c>
      <c r="I811" s="32">
        <v>4.8000000000000001E-2</v>
      </c>
      <c r="J811" s="32">
        <v>0.98899999999999999</v>
      </c>
      <c r="BT811" t="s">
        <v>1178</v>
      </c>
    </row>
    <row r="812" spans="1:74" x14ac:dyDescent="0.2">
      <c r="B812" t="s">
        <v>39</v>
      </c>
      <c r="D812" t="s">
        <v>475</v>
      </c>
      <c r="F812" t="s">
        <v>15</v>
      </c>
      <c r="G812" s="6" t="s">
        <v>118</v>
      </c>
      <c r="H812" s="32">
        <v>0.79700000000000004</v>
      </c>
      <c r="I812" s="32">
        <v>8.2000000000000003E-2</v>
      </c>
      <c r="J812" s="32">
        <v>0.73799999999999999</v>
      </c>
      <c r="BT812" t="s">
        <v>1127</v>
      </c>
    </row>
    <row r="813" spans="1:74" x14ac:dyDescent="0.2">
      <c r="B813" t="s">
        <v>39</v>
      </c>
      <c r="D813" t="s">
        <v>99</v>
      </c>
      <c r="F813" t="s">
        <v>15</v>
      </c>
      <c r="G813" s="6" t="s">
        <v>100</v>
      </c>
      <c r="H813" s="32">
        <v>0.53</v>
      </c>
      <c r="I813" s="32">
        <v>0.19900000000000001</v>
      </c>
      <c r="J813" s="32">
        <v>0.89</v>
      </c>
      <c r="BT813" t="s">
        <v>1119</v>
      </c>
    </row>
    <row r="814" spans="1:74" x14ac:dyDescent="0.2">
      <c r="B814" t="s">
        <v>39</v>
      </c>
      <c r="D814" t="s">
        <v>270</v>
      </c>
      <c r="F814" t="s">
        <v>15</v>
      </c>
      <c r="G814" s="6" t="s">
        <v>271</v>
      </c>
      <c r="H814" s="32">
        <v>0.47899999999999998</v>
      </c>
      <c r="I814" s="32">
        <v>7.9000000000000001E-2</v>
      </c>
      <c r="J814" s="32">
        <v>0.90500000000000003</v>
      </c>
      <c r="BT814" t="s">
        <v>1084</v>
      </c>
    </row>
    <row r="815" spans="1:74" x14ac:dyDescent="0.2">
      <c r="B815" t="s">
        <v>39</v>
      </c>
      <c r="D815" t="s">
        <v>216</v>
      </c>
      <c r="F815" t="s">
        <v>15</v>
      </c>
      <c r="G815" s="6" t="s">
        <v>217</v>
      </c>
      <c r="H815" s="32">
        <v>0.33300000000000002</v>
      </c>
      <c r="I815" s="32">
        <v>0.495</v>
      </c>
      <c r="J815" s="32">
        <v>0.60899999999999999</v>
      </c>
      <c r="BT815" t="s">
        <v>1129</v>
      </c>
    </row>
    <row r="816" spans="1:74" x14ac:dyDescent="0.2">
      <c r="A816">
        <v>2025</v>
      </c>
      <c r="B816" t="s">
        <v>1399</v>
      </c>
      <c r="C816" t="s">
        <v>959</v>
      </c>
      <c r="D816" t="s">
        <v>1400</v>
      </c>
      <c r="E816" s="5" t="s">
        <v>961</v>
      </c>
      <c r="F816" s="5" t="s">
        <v>242</v>
      </c>
      <c r="H816" s="5"/>
      <c r="I816" s="5"/>
      <c r="J816" s="5"/>
      <c r="K816" t="s">
        <v>962</v>
      </c>
      <c r="L816" t="s">
        <v>963</v>
      </c>
      <c r="N816" t="s">
        <v>964</v>
      </c>
      <c r="O816" t="s">
        <v>965</v>
      </c>
      <c r="P816" t="s">
        <v>965</v>
      </c>
      <c r="Q816" t="s">
        <v>965</v>
      </c>
      <c r="R816" t="s">
        <v>965</v>
      </c>
      <c r="S816" t="s">
        <v>965</v>
      </c>
      <c r="T816" t="s">
        <v>965</v>
      </c>
      <c r="U816" t="s">
        <v>965</v>
      </c>
      <c r="V816" t="s">
        <v>965</v>
      </c>
      <c r="W816" t="s">
        <v>965</v>
      </c>
      <c r="X816" t="s">
        <v>965</v>
      </c>
      <c r="Y816" t="s">
        <v>965</v>
      </c>
      <c r="Z816" t="s">
        <v>965</v>
      </c>
      <c r="AA816" t="s">
        <v>965</v>
      </c>
      <c r="AB816" t="s">
        <v>965</v>
      </c>
      <c r="AC816" t="s">
        <v>965</v>
      </c>
      <c r="AD816" t="s">
        <v>965</v>
      </c>
      <c r="AE816" t="s">
        <v>965</v>
      </c>
      <c r="AF816" t="s">
        <v>965</v>
      </c>
      <c r="AG816" t="s">
        <v>965</v>
      </c>
      <c r="AH816" t="s">
        <v>965</v>
      </c>
      <c r="AI816" t="s">
        <v>965</v>
      </c>
      <c r="AJ816" t="s">
        <v>965</v>
      </c>
      <c r="AK816" t="s">
        <v>965</v>
      </c>
      <c r="AL816" t="s">
        <v>965</v>
      </c>
      <c r="AM816" t="s">
        <v>965</v>
      </c>
      <c r="AN816" t="s">
        <v>965</v>
      </c>
      <c r="AO816" t="s">
        <v>965</v>
      </c>
      <c r="AP816" t="s">
        <v>965</v>
      </c>
      <c r="AQ816" t="s">
        <v>965</v>
      </c>
      <c r="AR816" t="s">
        <v>965</v>
      </c>
      <c r="AS816" t="s">
        <v>965</v>
      </c>
      <c r="AT816" t="s">
        <v>965</v>
      </c>
      <c r="AU816" t="s">
        <v>965</v>
      </c>
      <c r="AV816" t="s">
        <v>965</v>
      </c>
      <c r="AW816" t="s">
        <v>965</v>
      </c>
      <c r="AX816" t="s">
        <v>965</v>
      </c>
      <c r="AY816" t="s">
        <v>965</v>
      </c>
      <c r="AZ816" t="s">
        <v>965</v>
      </c>
      <c r="BA816" t="s">
        <v>965</v>
      </c>
      <c r="BB816" t="s">
        <v>965</v>
      </c>
      <c r="BC816" t="s">
        <v>965</v>
      </c>
      <c r="BD816" t="s">
        <v>833</v>
      </c>
      <c r="BE816" t="s">
        <v>835</v>
      </c>
      <c r="BF816">
        <v>8</v>
      </c>
      <c r="BG816">
        <v>3</v>
      </c>
      <c r="BH816">
        <v>0</v>
      </c>
      <c r="BI816">
        <v>0</v>
      </c>
      <c r="BJ816">
        <v>0</v>
      </c>
      <c r="BK816">
        <v>2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10</v>
      </c>
      <c r="BR816">
        <v>0</v>
      </c>
      <c r="BS816">
        <v>0</v>
      </c>
      <c r="BT816">
        <v>10</v>
      </c>
      <c r="BU816">
        <v>2</v>
      </c>
      <c r="BV816" s="36">
        <f t="shared" ref="BV816:BV824" si="10">BU816/BT816</f>
        <v>0.2</v>
      </c>
    </row>
    <row r="817" spans="1:74" x14ac:dyDescent="0.2">
      <c r="A817">
        <v>2025</v>
      </c>
      <c r="B817" t="s">
        <v>1399</v>
      </c>
      <c r="C817" t="s">
        <v>1058</v>
      </c>
      <c r="D817" t="s">
        <v>1401</v>
      </c>
      <c r="E817" s="5" t="s">
        <v>841</v>
      </c>
      <c r="F817" s="5" t="s">
        <v>58</v>
      </c>
      <c r="G817" s="6" t="s">
        <v>294</v>
      </c>
      <c r="H817" s="35">
        <v>0.75</v>
      </c>
      <c r="I817" s="35">
        <v>0.15</v>
      </c>
      <c r="J817" s="32">
        <v>0.88</v>
      </c>
      <c r="K817" t="s">
        <v>833</v>
      </c>
      <c r="L817" t="s">
        <v>963</v>
      </c>
      <c r="N817" t="s">
        <v>834</v>
      </c>
      <c r="O817" t="s">
        <v>965</v>
      </c>
      <c r="P817" t="s">
        <v>965</v>
      </c>
      <c r="Q817" t="s">
        <v>965</v>
      </c>
      <c r="R817" t="s">
        <v>965</v>
      </c>
      <c r="S817" t="s">
        <v>965</v>
      </c>
      <c r="T817" t="s">
        <v>965</v>
      </c>
      <c r="U817" t="s">
        <v>965</v>
      </c>
      <c r="V817" t="s">
        <v>965</v>
      </c>
      <c r="W817" t="s">
        <v>965</v>
      </c>
      <c r="X817" t="s">
        <v>965</v>
      </c>
      <c r="Y817" t="s">
        <v>965</v>
      </c>
      <c r="Z817" t="s">
        <v>965</v>
      </c>
      <c r="AA817" t="s">
        <v>965</v>
      </c>
      <c r="AB817" t="s">
        <v>965</v>
      </c>
      <c r="AC817" t="s">
        <v>965</v>
      </c>
      <c r="AD817" t="s">
        <v>965</v>
      </c>
      <c r="AE817" t="s">
        <v>965</v>
      </c>
      <c r="AF817" t="s">
        <v>965</v>
      </c>
      <c r="AG817" t="s">
        <v>965</v>
      </c>
      <c r="AH817" t="s">
        <v>965</v>
      </c>
      <c r="AI817" t="s">
        <v>965</v>
      </c>
      <c r="AJ817" t="s">
        <v>965</v>
      </c>
      <c r="AK817" t="s">
        <v>965</v>
      </c>
      <c r="AL817" t="s">
        <v>965</v>
      </c>
      <c r="AM817" t="s">
        <v>965</v>
      </c>
      <c r="AN817" t="s">
        <v>965</v>
      </c>
      <c r="AO817" t="s">
        <v>965</v>
      </c>
      <c r="AP817" t="s">
        <v>965</v>
      </c>
      <c r="AQ817" t="s">
        <v>965</v>
      </c>
      <c r="AR817" t="s">
        <v>965</v>
      </c>
      <c r="AS817" t="s">
        <v>965</v>
      </c>
      <c r="AT817" t="s">
        <v>965</v>
      </c>
      <c r="AU817" t="s">
        <v>965</v>
      </c>
      <c r="AV817" t="s">
        <v>965</v>
      </c>
      <c r="AW817" t="s">
        <v>965</v>
      </c>
      <c r="AX817" t="s">
        <v>965</v>
      </c>
      <c r="AY817" t="s">
        <v>965</v>
      </c>
      <c r="AZ817" t="s">
        <v>965</v>
      </c>
      <c r="BA817" t="s">
        <v>965</v>
      </c>
      <c r="BB817" t="s">
        <v>965</v>
      </c>
      <c r="BC817" t="s">
        <v>965</v>
      </c>
      <c r="BD817" t="s">
        <v>965</v>
      </c>
      <c r="BE817" t="s">
        <v>835</v>
      </c>
      <c r="BF817">
        <v>65</v>
      </c>
      <c r="BG817">
        <v>17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65</v>
      </c>
      <c r="BR817">
        <v>0</v>
      </c>
      <c r="BS817">
        <v>0</v>
      </c>
      <c r="BT817">
        <v>65</v>
      </c>
      <c r="BU817">
        <v>62</v>
      </c>
      <c r="BV817" s="36">
        <f t="shared" si="10"/>
        <v>0.9538461538461539</v>
      </c>
    </row>
    <row r="818" spans="1:74" x14ac:dyDescent="0.2">
      <c r="A818">
        <v>2025</v>
      </c>
      <c r="B818" t="s">
        <v>1399</v>
      </c>
      <c r="C818" t="s">
        <v>1007</v>
      </c>
      <c r="D818" t="s">
        <v>1399</v>
      </c>
      <c r="E818" s="5" t="s">
        <v>1004</v>
      </c>
      <c r="F818" s="5" t="s">
        <v>103</v>
      </c>
      <c r="H818" s="5"/>
      <c r="I818" s="5"/>
      <c r="J818" s="5"/>
      <c r="K818" t="s">
        <v>962</v>
      </c>
      <c r="L818" t="s">
        <v>963</v>
      </c>
      <c r="N818" t="s">
        <v>964</v>
      </c>
      <c r="O818" t="s">
        <v>965</v>
      </c>
      <c r="P818" t="s">
        <v>965</v>
      </c>
      <c r="Q818" t="s">
        <v>965</v>
      </c>
      <c r="R818" t="s">
        <v>965</v>
      </c>
      <c r="S818" t="s">
        <v>965</v>
      </c>
      <c r="T818" t="s">
        <v>965</v>
      </c>
      <c r="U818" t="s">
        <v>965</v>
      </c>
      <c r="V818" t="s">
        <v>965</v>
      </c>
      <c r="W818" t="s">
        <v>965</v>
      </c>
      <c r="X818" t="s">
        <v>965</v>
      </c>
      <c r="Y818" t="s">
        <v>965</v>
      </c>
      <c r="Z818" t="s">
        <v>965</v>
      </c>
      <c r="AA818" t="s">
        <v>965</v>
      </c>
      <c r="AB818" t="s">
        <v>965</v>
      </c>
      <c r="AC818" t="s">
        <v>965</v>
      </c>
      <c r="AD818" t="s">
        <v>965</v>
      </c>
      <c r="AE818" t="s">
        <v>965</v>
      </c>
      <c r="AF818" t="s">
        <v>965</v>
      </c>
      <c r="AG818" t="s">
        <v>965</v>
      </c>
      <c r="AH818" t="s">
        <v>965</v>
      </c>
      <c r="AI818" t="s">
        <v>965</v>
      </c>
      <c r="AJ818" t="s">
        <v>965</v>
      </c>
      <c r="AK818" t="s">
        <v>965</v>
      </c>
      <c r="AL818" t="s">
        <v>965</v>
      </c>
      <c r="AM818" t="s">
        <v>965</v>
      </c>
      <c r="AN818" t="s">
        <v>965</v>
      </c>
      <c r="AO818" t="s">
        <v>965</v>
      </c>
      <c r="AP818" t="s">
        <v>965</v>
      </c>
      <c r="AQ818" t="s">
        <v>965</v>
      </c>
      <c r="AR818" t="s">
        <v>965</v>
      </c>
      <c r="AS818" t="s">
        <v>965</v>
      </c>
      <c r="AT818" t="s">
        <v>965</v>
      </c>
      <c r="AU818" t="s">
        <v>965</v>
      </c>
      <c r="AV818" t="s">
        <v>965</v>
      </c>
      <c r="AW818" t="s">
        <v>965</v>
      </c>
      <c r="AX818" t="s">
        <v>965</v>
      </c>
      <c r="AY818" t="s">
        <v>965</v>
      </c>
      <c r="AZ818" t="s">
        <v>965</v>
      </c>
      <c r="BA818" t="s">
        <v>965</v>
      </c>
      <c r="BB818" t="s">
        <v>965</v>
      </c>
      <c r="BC818" t="s">
        <v>965</v>
      </c>
      <c r="BD818" t="s">
        <v>833</v>
      </c>
      <c r="BE818" t="s">
        <v>835</v>
      </c>
      <c r="BF818">
        <v>15</v>
      </c>
      <c r="BG818">
        <v>4</v>
      </c>
      <c r="BH818">
        <v>0</v>
      </c>
      <c r="BI818">
        <v>0</v>
      </c>
      <c r="BJ818">
        <v>0</v>
      </c>
      <c r="BK818">
        <v>5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20</v>
      </c>
      <c r="BR818">
        <v>0</v>
      </c>
      <c r="BS818">
        <v>0</v>
      </c>
      <c r="BT818">
        <v>20</v>
      </c>
      <c r="BU818">
        <v>2</v>
      </c>
      <c r="BV818" s="36">
        <f t="shared" si="10"/>
        <v>0.1</v>
      </c>
    </row>
    <row r="819" spans="1:74" x14ac:dyDescent="0.2">
      <c r="A819">
        <v>2025</v>
      </c>
      <c r="B819" t="s">
        <v>1399</v>
      </c>
      <c r="C819" t="s">
        <v>699</v>
      </c>
      <c r="D819" t="s">
        <v>1402</v>
      </c>
      <c r="E819" s="5" t="s">
        <v>1010</v>
      </c>
      <c r="F819" s="5" t="s">
        <v>23</v>
      </c>
      <c r="H819" s="5"/>
      <c r="I819" s="5"/>
      <c r="J819" s="5"/>
      <c r="K819" t="s">
        <v>833</v>
      </c>
      <c r="L819" t="s">
        <v>963</v>
      </c>
      <c r="N819" t="s">
        <v>834</v>
      </c>
      <c r="O819" t="s">
        <v>965</v>
      </c>
      <c r="P819" t="s">
        <v>965</v>
      </c>
      <c r="Q819" t="s">
        <v>965</v>
      </c>
      <c r="R819" t="s">
        <v>965</v>
      </c>
      <c r="S819" t="s">
        <v>965</v>
      </c>
      <c r="T819" t="s">
        <v>965</v>
      </c>
      <c r="U819" t="s">
        <v>965</v>
      </c>
      <c r="V819" t="s">
        <v>965</v>
      </c>
      <c r="W819" t="s">
        <v>965</v>
      </c>
      <c r="X819" t="s">
        <v>965</v>
      </c>
      <c r="Y819" t="s">
        <v>965</v>
      </c>
      <c r="Z819" t="s">
        <v>965</v>
      </c>
      <c r="AA819" t="s">
        <v>965</v>
      </c>
      <c r="AB819" t="s">
        <v>965</v>
      </c>
      <c r="AC819" t="s">
        <v>965</v>
      </c>
      <c r="AD819" t="s">
        <v>965</v>
      </c>
      <c r="AE819" t="s">
        <v>965</v>
      </c>
      <c r="AF819" t="s">
        <v>965</v>
      </c>
      <c r="AG819" t="s">
        <v>965</v>
      </c>
      <c r="AH819" t="s">
        <v>965</v>
      </c>
      <c r="AI819" t="s">
        <v>965</v>
      </c>
      <c r="AJ819" t="s">
        <v>965</v>
      </c>
      <c r="AK819" t="s">
        <v>965</v>
      </c>
      <c r="AL819" t="s">
        <v>965</v>
      </c>
      <c r="AM819" t="s">
        <v>965</v>
      </c>
      <c r="AN819" t="s">
        <v>965</v>
      </c>
      <c r="AO819" t="s">
        <v>965</v>
      </c>
      <c r="AP819" t="s">
        <v>965</v>
      </c>
      <c r="AQ819" t="s">
        <v>965</v>
      </c>
      <c r="AR819" t="s">
        <v>965</v>
      </c>
      <c r="AS819" t="s">
        <v>965</v>
      </c>
      <c r="AT819" t="s">
        <v>965</v>
      </c>
      <c r="AU819" t="s">
        <v>965</v>
      </c>
      <c r="AV819" t="s">
        <v>965</v>
      </c>
      <c r="AW819" t="s">
        <v>965</v>
      </c>
      <c r="AX819" t="s">
        <v>965</v>
      </c>
      <c r="AY819" t="s">
        <v>965</v>
      </c>
      <c r="AZ819" t="s">
        <v>965</v>
      </c>
      <c r="BA819" t="s">
        <v>965</v>
      </c>
      <c r="BB819" t="s">
        <v>965</v>
      </c>
      <c r="BC819" t="s">
        <v>965</v>
      </c>
      <c r="BD819" t="s">
        <v>965</v>
      </c>
      <c r="BE819" t="s">
        <v>887</v>
      </c>
      <c r="BF819">
        <v>2</v>
      </c>
      <c r="BG819">
        <v>1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2</v>
      </c>
      <c r="BR819">
        <v>0</v>
      </c>
      <c r="BS819">
        <v>0</v>
      </c>
      <c r="BT819">
        <v>2</v>
      </c>
      <c r="BU819">
        <v>2</v>
      </c>
      <c r="BV819" s="36">
        <f t="shared" si="10"/>
        <v>1</v>
      </c>
    </row>
    <row r="820" spans="1:74" x14ac:dyDescent="0.2">
      <c r="A820">
        <v>2025</v>
      </c>
      <c r="B820" t="s">
        <v>1399</v>
      </c>
      <c r="C820" t="s">
        <v>699</v>
      </c>
      <c r="D820" t="s">
        <v>1403</v>
      </c>
      <c r="E820" s="5" t="s">
        <v>1010</v>
      </c>
      <c r="F820" s="5" t="s">
        <v>23</v>
      </c>
      <c r="G820" s="6" t="s">
        <v>153</v>
      </c>
      <c r="H820" s="35">
        <v>0.6</v>
      </c>
      <c r="I820" s="35">
        <v>0.03</v>
      </c>
      <c r="J820" s="32">
        <v>0.95</v>
      </c>
      <c r="K820" t="s">
        <v>833</v>
      </c>
      <c r="L820" t="s">
        <v>963</v>
      </c>
      <c r="N820" t="s">
        <v>834</v>
      </c>
      <c r="O820" t="s">
        <v>965</v>
      </c>
      <c r="P820" t="s">
        <v>965</v>
      </c>
      <c r="Q820" t="s">
        <v>965</v>
      </c>
      <c r="R820" t="s">
        <v>965</v>
      </c>
      <c r="S820" t="s">
        <v>965</v>
      </c>
      <c r="T820" t="s">
        <v>965</v>
      </c>
      <c r="U820" t="s">
        <v>965</v>
      </c>
      <c r="V820" t="s">
        <v>965</v>
      </c>
      <c r="W820" t="s">
        <v>965</v>
      </c>
      <c r="X820" t="s">
        <v>965</v>
      </c>
      <c r="Y820" t="s">
        <v>965</v>
      </c>
      <c r="Z820" t="s">
        <v>965</v>
      </c>
      <c r="AA820" t="s">
        <v>965</v>
      </c>
      <c r="AB820" t="s">
        <v>965</v>
      </c>
      <c r="AC820" t="s">
        <v>965</v>
      </c>
      <c r="AD820" t="s">
        <v>965</v>
      </c>
      <c r="AE820" t="s">
        <v>965</v>
      </c>
      <c r="AF820" t="s">
        <v>965</v>
      </c>
      <c r="AG820" t="s">
        <v>965</v>
      </c>
      <c r="AH820" t="s">
        <v>965</v>
      </c>
      <c r="AI820" t="s">
        <v>965</v>
      </c>
      <c r="AJ820" t="s">
        <v>965</v>
      </c>
      <c r="AK820" t="s">
        <v>965</v>
      </c>
      <c r="AL820" t="s">
        <v>965</v>
      </c>
      <c r="AM820" t="s">
        <v>965</v>
      </c>
      <c r="AN820" t="s">
        <v>965</v>
      </c>
      <c r="AO820" t="s">
        <v>965</v>
      </c>
      <c r="AP820" t="s">
        <v>965</v>
      </c>
      <c r="AQ820" t="s">
        <v>965</v>
      </c>
      <c r="AR820" t="s">
        <v>965</v>
      </c>
      <c r="AS820" t="s">
        <v>965</v>
      </c>
      <c r="AT820" t="s">
        <v>965</v>
      </c>
      <c r="AU820" t="s">
        <v>965</v>
      </c>
      <c r="AV820" t="s">
        <v>965</v>
      </c>
      <c r="AW820" t="s">
        <v>965</v>
      </c>
      <c r="AX820" t="s">
        <v>965</v>
      </c>
      <c r="AY820" t="s">
        <v>965</v>
      </c>
      <c r="AZ820" t="s">
        <v>965</v>
      </c>
      <c r="BA820" t="s">
        <v>965</v>
      </c>
      <c r="BB820" t="s">
        <v>965</v>
      </c>
      <c r="BC820" t="s">
        <v>965</v>
      </c>
      <c r="BD820" t="s">
        <v>965</v>
      </c>
      <c r="BE820" t="s">
        <v>887</v>
      </c>
      <c r="BF820">
        <v>64</v>
      </c>
      <c r="BG820">
        <v>16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64</v>
      </c>
      <c r="BR820">
        <v>0</v>
      </c>
      <c r="BS820">
        <v>0</v>
      </c>
      <c r="BT820">
        <v>64</v>
      </c>
      <c r="BU820">
        <v>58</v>
      </c>
      <c r="BV820" s="36">
        <f t="shared" si="10"/>
        <v>0.90625</v>
      </c>
    </row>
    <row r="821" spans="1:74" x14ac:dyDescent="0.2">
      <c r="A821">
        <v>2025</v>
      </c>
      <c r="B821" t="s">
        <v>1399</v>
      </c>
      <c r="C821" t="s">
        <v>1404</v>
      </c>
      <c r="D821" t="s">
        <v>1405</v>
      </c>
      <c r="E821" s="5" t="s">
        <v>1018</v>
      </c>
      <c r="F821" s="5" t="s">
        <v>45</v>
      </c>
      <c r="G821" s="6" t="s">
        <v>453</v>
      </c>
      <c r="H821" s="35">
        <v>0.69</v>
      </c>
      <c r="I821" s="35">
        <v>0.14000000000000001</v>
      </c>
      <c r="J821" s="32">
        <v>0.9</v>
      </c>
      <c r="K821" t="s">
        <v>833</v>
      </c>
      <c r="L821" t="s">
        <v>963</v>
      </c>
      <c r="N821" t="s">
        <v>834</v>
      </c>
      <c r="O821" t="s">
        <v>965</v>
      </c>
      <c r="P821" t="s">
        <v>965</v>
      </c>
      <c r="Q821" t="s">
        <v>965</v>
      </c>
      <c r="R821" t="s">
        <v>965</v>
      </c>
      <c r="S821" t="s">
        <v>965</v>
      </c>
      <c r="T821" t="s">
        <v>965</v>
      </c>
      <c r="U821" t="s">
        <v>965</v>
      </c>
      <c r="V821" t="s">
        <v>965</v>
      </c>
      <c r="W821" t="s">
        <v>965</v>
      </c>
      <c r="X821" t="s">
        <v>965</v>
      </c>
      <c r="Y821" t="s">
        <v>965</v>
      </c>
      <c r="Z821" t="s">
        <v>965</v>
      </c>
      <c r="AA821" t="s">
        <v>965</v>
      </c>
      <c r="AB821" t="s">
        <v>965</v>
      </c>
      <c r="AC821" t="s">
        <v>965</v>
      </c>
      <c r="AD821" t="s">
        <v>965</v>
      </c>
      <c r="AE821" t="s">
        <v>965</v>
      </c>
      <c r="AF821" t="s">
        <v>965</v>
      </c>
      <c r="AG821" t="s">
        <v>965</v>
      </c>
      <c r="AH821" t="s">
        <v>965</v>
      </c>
      <c r="AI821" t="s">
        <v>965</v>
      </c>
      <c r="AJ821" t="s">
        <v>965</v>
      </c>
      <c r="AK821" t="s">
        <v>965</v>
      </c>
      <c r="AL821" t="s">
        <v>965</v>
      </c>
      <c r="AM821" t="s">
        <v>965</v>
      </c>
      <c r="AN821" t="s">
        <v>965</v>
      </c>
      <c r="AO821" t="s">
        <v>965</v>
      </c>
      <c r="AP821" t="s">
        <v>965</v>
      </c>
      <c r="AQ821" t="s">
        <v>965</v>
      </c>
      <c r="AR821" t="s">
        <v>965</v>
      </c>
      <c r="AS821" t="s">
        <v>965</v>
      </c>
      <c r="AT821" t="s">
        <v>965</v>
      </c>
      <c r="AU821" t="s">
        <v>965</v>
      </c>
      <c r="AV821" t="s">
        <v>965</v>
      </c>
      <c r="AW821" t="s">
        <v>965</v>
      </c>
      <c r="AX821" t="s">
        <v>965</v>
      </c>
      <c r="AY821" t="s">
        <v>965</v>
      </c>
      <c r="AZ821" t="s">
        <v>965</v>
      </c>
      <c r="BA821" t="s">
        <v>965</v>
      </c>
      <c r="BB821" t="s">
        <v>965</v>
      </c>
      <c r="BC821" t="s">
        <v>965</v>
      </c>
      <c r="BD821" t="s">
        <v>965</v>
      </c>
      <c r="BE821" t="s">
        <v>835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2</v>
      </c>
      <c r="BR821">
        <v>0</v>
      </c>
      <c r="BS821">
        <v>0</v>
      </c>
      <c r="BT821">
        <v>2</v>
      </c>
      <c r="BU821">
        <v>1</v>
      </c>
      <c r="BV821" s="36">
        <f t="shared" si="10"/>
        <v>0.5</v>
      </c>
    </row>
    <row r="822" spans="1:74" x14ac:dyDescent="0.2">
      <c r="A822">
        <v>2025</v>
      </c>
      <c r="B822" t="s">
        <v>1399</v>
      </c>
      <c r="C822" t="s">
        <v>1404</v>
      </c>
      <c r="D822" t="s">
        <v>1406</v>
      </c>
      <c r="E822" s="5" t="s">
        <v>1018</v>
      </c>
      <c r="F822" s="5" t="s">
        <v>45</v>
      </c>
      <c r="H822" s="5"/>
      <c r="I822" s="5"/>
      <c r="J822" s="5"/>
      <c r="K822" t="s">
        <v>833</v>
      </c>
      <c r="L822" t="s">
        <v>963</v>
      </c>
      <c r="N822" t="s">
        <v>834</v>
      </c>
      <c r="O822" t="s">
        <v>965</v>
      </c>
      <c r="P822" t="s">
        <v>965</v>
      </c>
      <c r="Q822" t="s">
        <v>965</v>
      </c>
      <c r="R822" t="s">
        <v>965</v>
      </c>
      <c r="S822" t="s">
        <v>965</v>
      </c>
      <c r="T822" t="s">
        <v>965</v>
      </c>
      <c r="U822" t="s">
        <v>965</v>
      </c>
      <c r="V822" t="s">
        <v>965</v>
      </c>
      <c r="W822" t="s">
        <v>965</v>
      </c>
      <c r="X822" t="s">
        <v>965</v>
      </c>
      <c r="Y822" t="s">
        <v>965</v>
      </c>
      <c r="Z822" t="s">
        <v>965</v>
      </c>
      <c r="AA822" t="s">
        <v>965</v>
      </c>
      <c r="AB822" t="s">
        <v>965</v>
      </c>
      <c r="AC822" t="s">
        <v>965</v>
      </c>
      <c r="AD822" t="s">
        <v>965</v>
      </c>
      <c r="AE822" t="s">
        <v>965</v>
      </c>
      <c r="AF822" t="s">
        <v>965</v>
      </c>
      <c r="AG822" t="s">
        <v>965</v>
      </c>
      <c r="AH822" t="s">
        <v>965</v>
      </c>
      <c r="AI822" t="s">
        <v>965</v>
      </c>
      <c r="AJ822" t="s">
        <v>965</v>
      </c>
      <c r="AK822" t="s">
        <v>965</v>
      </c>
      <c r="AL822" t="s">
        <v>965</v>
      </c>
      <c r="AM822" t="s">
        <v>965</v>
      </c>
      <c r="AN822" t="s">
        <v>965</v>
      </c>
      <c r="AO822" t="s">
        <v>965</v>
      </c>
      <c r="AP822" t="s">
        <v>965</v>
      </c>
      <c r="AQ822" t="s">
        <v>965</v>
      </c>
      <c r="AR822" t="s">
        <v>965</v>
      </c>
      <c r="AS822" t="s">
        <v>965</v>
      </c>
      <c r="AT822" t="s">
        <v>965</v>
      </c>
      <c r="AU822" t="s">
        <v>965</v>
      </c>
      <c r="AV822" t="s">
        <v>965</v>
      </c>
      <c r="AW822" t="s">
        <v>965</v>
      </c>
      <c r="AX822" t="s">
        <v>965</v>
      </c>
      <c r="AY822" t="s">
        <v>965</v>
      </c>
      <c r="AZ822" t="s">
        <v>965</v>
      </c>
      <c r="BA822" t="s">
        <v>965</v>
      </c>
      <c r="BB822" t="s">
        <v>965</v>
      </c>
      <c r="BC822" t="s">
        <v>965</v>
      </c>
      <c r="BD822" t="s">
        <v>965</v>
      </c>
      <c r="BE822" t="s">
        <v>835</v>
      </c>
      <c r="BF822">
        <v>18</v>
      </c>
      <c r="BG822">
        <v>6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18</v>
      </c>
      <c r="BR822">
        <v>0</v>
      </c>
      <c r="BS822">
        <v>0</v>
      </c>
      <c r="BT822">
        <v>18</v>
      </c>
      <c r="BU822">
        <v>15</v>
      </c>
      <c r="BV822" s="36">
        <f t="shared" si="10"/>
        <v>0.83333333333333337</v>
      </c>
    </row>
    <row r="823" spans="1:74" x14ac:dyDescent="0.2">
      <c r="A823">
        <v>2025</v>
      </c>
      <c r="B823" t="s">
        <v>1399</v>
      </c>
      <c r="C823" t="s">
        <v>1404</v>
      </c>
      <c r="D823" t="s">
        <v>1407</v>
      </c>
      <c r="E823" s="5" t="s">
        <v>1018</v>
      </c>
      <c r="F823" s="5" t="s">
        <v>45</v>
      </c>
      <c r="G823" s="6" t="s">
        <v>505</v>
      </c>
      <c r="H823" s="35">
        <v>0.36</v>
      </c>
      <c r="I823" s="35">
        <v>0.11</v>
      </c>
      <c r="J823" s="32">
        <v>0.87</v>
      </c>
      <c r="K823" t="s">
        <v>833</v>
      </c>
      <c r="L823" t="s">
        <v>963</v>
      </c>
      <c r="M823" t="s">
        <v>849</v>
      </c>
      <c r="N823" t="s">
        <v>834</v>
      </c>
      <c r="O823" t="s">
        <v>965</v>
      </c>
      <c r="P823" t="s">
        <v>965</v>
      </c>
      <c r="Q823" t="s">
        <v>965</v>
      </c>
      <c r="R823" t="s">
        <v>965</v>
      </c>
      <c r="S823" t="s">
        <v>965</v>
      </c>
      <c r="T823" t="s">
        <v>965</v>
      </c>
      <c r="U823" t="s">
        <v>965</v>
      </c>
      <c r="V823" t="s">
        <v>965</v>
      </c>
      <c r="W823" t="s">
        <v>965</v>
      </c>
      <c r="X823" t="s">
        <v>965</v>
      </c>
      <c r="Y823" t="s">
        <v>965</v>
      </c>
      <c r="Z823" t="s">
        <v>965</v>
      </c>
      <c r="AA823" t="s">
        <v>965</v>
      </c>
      <c r="AB823" t="s">
        <v>965</v>
      </c>
      <c r="AC823" t="s">
        <v>965</v>
      </c>
      <c r="AD823" t="s">
        <v>965</v>
      </c>
      <c r="AE823" t="s">
        <v>965</v>
      </c>
      <c r="AF823" t="s">
        <v>965</v>
      </c>
      <c r="AG823" t="s">
        <v>965</v>
      </c>
      <c r="AH823" t="s">
        <v>965</v>
      </c>
      <c r="AI823" t="s">
        <v>965</v>
      </c>
      <c r="AJ823" t="s">
        <v>965</v>
      </c>
      <c r="AK823" t="s">
        <v>965</v>
      </c>
      <c r="AL823" t="s">
        <v>965</v>
      </c>
      <c r="AM823" t="s">
        <v>965</v>
      </c>
      <c r="AN823" t="s">
        <v>965</v>
      </c>
      <c r="AO823" t="s">
        <v>965</v>
      </c>
      <c r="AP823" t="s">
        <v>965</v>
      </c>
      <c r="AQ823" t="s">
        <v>965</v>
      </c>
      <c r="AR823" t="s">
        <v>965</v>
      </c>
      <c r="AS823" t="s">
        <v>965</v>
      </c>
      <c r="AT823" t="s">
        <v>965</v>
      </c>
      <c r="AU823" t="s">
        <v>965</v>
      </c>
      <c r="AV823" t="s">
        <v>965</v>
      </c>
      <c r="AW823" t="s">
        <v>965</v>
      </c>
      <c r="AX823" t="s">
        <v>965</v>
      </c>
      <c r="AY823" t="s">
        <v>965</v>
      </c>
      <c r="AZ823" t="s">
        <v>965</v>
      </c>
      <c r="BA823" t="s">
        <v>965</v>
      </c>
      <c r="BB823" t="s">
        <v>965</v>
      </c>
      <c r="BC823" t="s">
        <v>833</v>
      </c>
      <c r="BD823" t="s">
        <v>965</v>
      </c>
      <c r="BE823" t="s">
        <v>835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62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62</v>
      </c>
      <c r="BR823">
        <v>0</v>
      </c>
      <c r="BS823">
        <v>0</v>
      </c>
      <c r="BT823">
        <v>62</v>
      </c>
      <c r="BU823">
        <v>31</v>
      </c>
      <c r="BV823" s="36">
        <f t="shared" si="10"/>
        <v>0.5</v>
      </c>
    </row>
    <row r="824" spans="1:74" x14ac:dyDescent="0.2">
      <c r="A824">
        <v>2025</v>
      </c>
      <c r="B824" t="s">
        <v>1399</v>
      </c>
      <c r="C824" t="s">
        <v>1023</v>
      </c>
      <c r="D824" t="s">
        <v>1408</v>
      </c>
      <c r="E824" s="5" t="s">
        <v>882</v>
      </c>
      <c r="F824" s="5" t="s">
        <v>30</v>
      </c>
      <c r="H824" s="5"/>
      <c r="I824" s="5"/>
      <c r="J824" s="5"/>
      <c r="K824" t="s">
        <v>962</v>
      </c>
      <c r="L824" t="s">
        <v>963</v>
      </c>
      <c r="N824" t="s">
        <v>964</v>
      </c>
      <c r="O824" t="s">
        <v>965</v>
      </c>
      <c r="P824" t="s">
        <v>965</v>
      </c>
      <c r="Q824" t="s">
        <v>965</v>
      </c>
      <c r="R824" t="s">
        <v>965</v>
      </c>
      <c r="S824" t="s">
        <v>965</v>
      </c>
      <c r="T824" t="s">
        <v>965</v>
      </c>
      <c r="U824" t="s">
        <v>965</v>
      </c>
      <c r="V824" t="s">
        <v>965</v>
      </c>
      <c r="W824" t="s">
        <v>965</v>
      </c>
      <c r="X824" t="s">
        <v>833</v>
      </c>
      <c r="Y824" t="s">
        <v>965</v>
      </c>
      <c r="Z824" t="s">
        <v>965</v>
      </c>
      <c r="AA824" t="s">
        <v>965</v>
      </c>
      <c r="AB824" t="s">
        <v>965</v>
      </c>
      <c r="AC824" t="s">
        <v>965</v>
      </c>
      <c r="AD824" t="s">
        <v>965</v>
      </c>
      <c r="AE824" t="s">
        <v>965</v>
      </c>
      <c r="AF824" t="s">
        <v>965</v>
      </c>
      <c r="AG824" t="s">
        <v>965</v>
      </c>
      <c r="AH824" t="s">
        <v>965</v>
      </c>
      <c r="AI824" t="s">
        <v>965</v>
      </c>
      <c r="AJ824" t="s">
        <v>965</v>
      </c>
      <c r="AK824" t="s">
        <v>965</v>
      </c>
      <c r="AL824" t="s">
        <v>965</v>
      </c>
      <c r="AM824" t="s">
        <v>965</v>
      </c>
      <c r="AN824" t="s">
        <v>965</v>
      </c>
      <c r="AO824" t="s">
        <v>965</v>
      </c>
      <c r="AP824" t="s">
        <v>965</v>
      </c>
      <c r="AQ824" t="s">
        <v>965</v>
      </c>
      <c r="AR824" t="s">
        <v>965</v>
      </c>
      <c r="AS824" t="s">
        <v>965</v>
      </c>
      <c r="AT824" t="s">
        <v>965</v>
      </c>
      <c r="AU824" t="s">
        <v>965</v>
      </c>
      <c r="AV824" t="s">
        <v>965</v>
      </c>
      <c r="AW824" t="s">
        <v>965</v>
      </c>
      <c r="AX824" t="s">
        <v>965</v>
      </c>
      <c r="AY824" t="s">
        <v>965</v>
      </c>
      <c r="AZ824" t="s">
        <v>965</v>
      </c>
      <c r="BA824" t="s">
        <v>965</v>
      </c>
      <c r="BB824" t="s">
        <v>965</v>
      </c>
      <c r="BC824" t="s">
        <v>965</v>
      </c>
      <c r="BD824" t="s">
        <v>833</v>
      </c>
      <c r="BE824" t="s">
        <v>835</v>
      </c>
      <c r="BF824">
        <v>20</v>
      </c>
      <c r="BG824">
        <v>10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20</v>
      </c>
      <c r="BR824">
        <v>0</v>
      </c>
      <c r="BS824">
        <v>0</v>
      </c>
      <c r="BT824">
        <v>20</v>
      </c>
      <c r="BU824">
        <v>20</v>
      </c>
      <c r="BV824" s="36">
        <f t="shared" si="10"/>
        <v>1</v>
      </c>
    </row>
    <row r="825" spans="1:74" x14ac:dyDescent="0.2">
      <c r="A825">
        <v>2025</v>
      </c>
      <c r="B825" t="s">
        <v>1399</v>
      </c>
      <c r="C825" t="s">
        <v>1023</v>
      </c>
      <c r="D825" t="s">
        <v>1408</v>
      </c>
      <c r="E825" s="5" t="s">
        <v>882</v>
      </c>
      <c r="F825" s="5" t="s">
        <v>30</v>
      </c>
      <c r="H825" s="5"/>
      <c r="I825" s="5"/>
      <c r="J825" s="5"/>
      <c r="K825" t="s">
        <v>962</v>
      </c>
      <c r="L825" t="s">
        <v>1039</v>
      </c>
      <c r="N825" t="s">
        <v>964</v>
      </c>
      <c r="O825" t="s">
        <v>965</v>
      </c>
      <c r="P825" t="s">
        <v>965</v>
      </c>
      <c r="Q825" t="s">
        <v>965</v>
      </c>
      <c r="R825" t="s">
        <v>965</v>
      </c>
      <c r="S825" t="s">
        <v>965</v>
      </c>
      <c r="T825" t="s">
        <v>965</v>
      </c>
      <c r="U825" t="s">
        <v>965</v>
      </c>
      <c r="V825" t="s">
        <v>965</v>
      </c>
      <c r="W825" t="s">
        <v>965</v>
      </c>
      <c r="X825" t="s">
        <v>833</v>
      </c>
      <c r="Y825" t="s">
        <v>965</v>
      </c>
      <c r="Z825" t="s">
        <v>965</v>
      </c>
      <c r="AA825" t="s">
        <v>965</v>
      </c>
      <c r="AB825" t="s">
        <v>965</v>
      </c>
      <c r="AC825" t="s">
        <v>965</v>
      </c>
      <c r="AD825" t="s">
        <v>965</v>
      </c>
      <c r="AE825" t="s">
        <v>965</v>
      </c>
      <c r="AF825" t="s">
        <v>965</v>
      </c>
      <c r="AG825" t="s">
        <v>965</v>
      </c>
      <c r="AH825" t="s">
        <v>965</v>
      </c>
      <c r="AI825" t="s">
        <v>965</v>
      </c>
      <c r="AJ825" t="s">
        <v>965</v>
      </c>
      <c r="AK825" t="s">
        <v>965</v>
      </c>
      <c r="AL825" t="s">
        <v>965</v>
      </c>
      <c r="AM825" t="s">
        <v>965</v>
      </c>
      <c r="AN825" t="s">
        <v>965</v>
      </c>
      <c r="AO825" t="s">
        <v>965</v>
      </c>
      <c r="AP825" t="s">
        <v>965</v>
      </c>
      <c r="AQ825" t="s">
        <v>965</v>
      </c>
      <c r="AR825" t="s">
        <v>965</v>
      </c>
      <c r="AS825" t="s">
        <v>965</v>
      </c>
      <c r="AT825" t="s">
        <v>965</v>
      </c>
      <c r="AU825" t="s">
        <v>965</v>
      </c>
      <c r="AV825" t="s">
        <v>965</v>
      </c>
      <c r="AW825" t="s">
        <v>965</v>
      </c>
      <c r="AX825" t="s">
        <v>965</v>
      </c>
      <c r="AY825" t="s">
        <v>965</v>
      </c>
      <c r="AZ825" t="s">
        <v>965</v>
      </c>
      <c r="BA825" t="s">
        <v>965</v>
      </c>
      <c r="BB825" t="s">
        <v>965</v>
      </c>
      <c r="BC825" t="s">
        <v>965</v>
      </c>
      <c r="BD825" t="s">
        <v>833</v>
      </c>
      <c r="BE825" t="s">
        <v>835</v>
      </c>
      <c r="BF825">
        <v>28</v>
      </c>
      <c r="BG825">
        <v>14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28</v>
      </c>
      <c r="BR825">
        <v>0</v>
      </c>
      <c r="BS825">
        <v>0</v>
      </c>
      <c r="BT825">
        <v>28</v>
      </c>
      <c r="BU825">
        <v>0</v>
      </c>
      <c r="BV825" s="36"/>
    </row>
    <row r="826" spans="1:74" x14ac:dyDescent="0.2">
      <c r="A826">
        <v>2025</v>
      </c>
      <c r="B826" t="s">
        <v>1399</v>
      </c>
      <c r="C826" t="s">
        <v>1023</v>
      </c>
      <c r="D826" t="s">
        <v>1409</v>
      </c>
      <c r="E826" s="5" t="s">
        <v>882</v>
      </c>
      <c r="F826" s="5" t="s">
        <v>30</v>
      </c>
      <c r="H826" s="5"/>
      <c r="I826" s="5"/>
      <c r="J826" s="5"/>
      <c r="K826" t="s">
        <v>962</v>
      </c>
      <c r="L826" t="s">
        <v>963</v>
      </c>
      <c r="N826" t="s">
        <v>964</v>
      </c>
      <c r="O826" t="s">
        <v>965</v>
      </c>
      <c r="P826" t="s">
        <v>965</v>
      </c>
      <c r="Q826" t="s">
        <v>965</v>
      </c>
      <c r="R826" t="s">
        <v>965</v>
      </c>
      <c r="S826" t="s">
        <v>965</v>
      </c>
      <c r="T826" t="s">
        <v>965</v>
      </c>
      <c r="U826" t="s">
        <v>965</v>
      </c>
      <c r="V826" t="s">
        <v>965</v>
      </c>
      <c r="W826" t="s">
        <v>965</v>
      </c>
      <c r="X826" t="s">
        <v>965</v>
      </c>
      <c r="Y826" t="s">
        <v>965</v>
      </c>
      <c r="Z826" t="s">
        <v>965</v>
      </c>
      <c r="AA826" t="s">
        <v>965</v>
      </c>
      <c r="AB826" t="s">
        <v>965</v>
      </c>
      <c r="AC826" t="s">
        <v>965</v>
      </c>
      <c r="AD826" t="s">
        <v>965</v>
      </c>
      <c r="AE826" t="s">
        <v>965</v>
      </c>
      <c r="AF826" t="s">
        <v>965</v>
      </c>
      <c r="AG826" t="s">
        <v>965</v>
      </c>
      <c r="AH826" t="s">
        <v>965</v>
      </c>
      <c r="AI826" t="s">
        <v>965</v>
      </c>
      <c r="AJ826" t="s">
        <v>965</v>
      </c>
      <c r="AK826" t="s">
        <v>965</v>
      </c>
      <c r="AL826" t="s">
        <v>965</v>
      </c>
      <c r="AM826" t="s">
        <v>965</v>
      </c>
      <c r="AN826" t="s">
        <v>965</v>
      </c>
      <c r="AO826" t="s">
        <v>965</v>
      </c>
      <c r="AP826" t="s">
        <v>965</v>
      </c>
      <c r="AQ826" t="s">
        <v>965</v>
      </c>
      <c r="AR826" t="s">
        <v>965</v>
      </c>
      <c r="AS826" t="s">
        <v>965</v>
      </c>
      <c r="AT826" t="s">
        <v>965</v>
      </c>
      <c r="AU826" t="s">
        <v>965</v>
      </c>
      <c r="AV826" t="s">
        <v>965</v>
      </c>
      <c r="AW826" t="s">
        <v>965</v>
      </c>
      <c r="AX826" t="s">
        <v>965</v>
      </c>
      <c r="AY826" t="s">
        <v>965</v>
      </c>
      <c r="AZ826" t="s">
        <v>965</v>
      </c>
      <c r="BA826" t="s">
        <v>965</v>
      </c>
      <c r="BB826" t="s">
        <v>965</v>
      </c>
      <c r="BC826" t="s">
        <v>965</v>
      </c>
      <c r="BD826" t="s">
        <v>833</v>
      </c>
      <c r="BE826" t="s">
        <v>835</v>
      </c>
      <c r="BF826">
        <v>19</v>
      </c>
      <c r="BG826">
        <v>4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19</v>
      </c>
      <c r="BR826">
        <v>0</v>
      </c>
      <c r="BS826">
        <v>0</v>
      </c>
      <c r="BT826">
        <v>19</v>
      </c>
      <c r="BU826">
        <v>16</v>
      </c>
      <c r="BV826" s="36">
        <f>BU826/BT826</f>
        <v>0.84210526315789469</v>
      </c>
    </row>
    <row r="827" spans="1:74" x14ac:dyDescent="0.2">
      <c r="A827">
        <v>2025</v>
      </c>
      <c r="B827" t="s">
        <v>1399</v>
      </c>
      <c r="C827" t="s">
        <v>1023</v>
      </c>
      <c r="D827" t="s">
        <v>1409</v>
      </c>
      <c r="E827" s="5" t="s">
        <v>882</v>
      </c>
      <c r="F827" s="5" t="s">
        <v>30</v>
      </c>
      <c r="H827" s="5"/>
      <c r="I827" s="5"/>
      <c r="J827" s="5"/>
      <c r="K827" t="s">
        <v>962</v>
      </c>
      <c r="L827" t="s">
        <v>1039</v>
      </c>
      <c r="N827" t="s">
        <v>964</v>
      </c>
      <c r="O827" t="s">
        <v>965</v>
      </c>
      <c r="P827" t="s">
        <v>965</v>
      </c>
      <c r="Q827" t="s">
        <v>965</v>
      </c>
      <c r="R827" t="s">
        <v>965</v>
      </c>
      <c r="S827" t="s">
        <v>965</v>
      </c>
      <c r="T827" t="s">
        <v>965</v>
      </c>
      <c r="U827" t="s">
        <v>965</v>
      </c>
      <c r="V827" t="s">
        <v>965</v>
      </c>
      <c r="W827" t="s">
        <v>965</v>
      </c>
      <c r="X827" t="s">
        <v>965</v>
      </c>
      <c r="Y827" t="s">
        <v>965</v>
      </c>
      <c r="Z827" t="s">
        <v>965</v>
      </c>
      <c r="AA827" t="s">
        <v>965</v>
      </c>
      <c r="AB827" t="s">
        <v>965</v>
      </c>
      <c r="AC827" t="s">
        <v>965</v>
      </c>
      <c r="AD827" t="s">
        <v>965</v>
      </c>
      <c r="AE827" t="s">
        <v>965</v>
      </c>
      <c r="AF827" t="s">
        <v>965</v>
      </c>
      <c r="AG827" t="s">
        <v>965</v>
      </c>
      <c r="AH827" t="s">
        <v>965</v>
      </c>
      <c r="AI827" t="s">
        <v>965</v>
      </c>
      <c r="AJ827" t="s">
        <v>965</v>
      </c>
      <c r="AK827" t="s">
        <v>965</v>
      </c>
      <c r="AL827" t="s">
        <v>965</v>
      </c>
      <c r="AM827" t="s">
        <v>965</v>
      </c>
      <c r="AN827" t="s">
        <v>965</v>
      </c>
      <c r="AO827" t="s">
        <v>965</v>
      </c>
      <c r="AP827" t="s">
        <v>965</v>
      </c>
      <c r="AQ827" t="s">
        <v>965</v>
      </c>
      <c r="AR827" t="s">
        <v>965</v>
      </c>
      <c r="AS827" t="s">
        <v>965</v>
      </c>
      <c r="AT827" t="s">
        <v>965</v>
      </c>
      <c r="AU827" t="s">
        <v>965</v>
      </c>
      <c r="AV827" t="s">
        <v>965</v>
      </c>
      <c r="AW827" t="s">
        <v>965</v>
      </c>
      <c r="AX827" t="s">
        <v>965</v>
      </c>
      <c r="AY827" t="s">
        <v>965</v>
      </c>
      <c r="AZ827" t="s">
        <v>965</v>
      </c>
      <c r="BA827" t="s">
        <v>965</v>
      </c>
      <c r="BB827" t="s">
        <v>965</v>
      </c>
      <c r="BC827" t="s">
        <v>965</v>
      </c>
      <c r="BD827" t="s">
        <v>833</v>
      </c>
      <c r="BE827" t="s">
        <v>835</v>
      </c>
      <c r="BF827">
        <v>25</v>
      </c>
      <c r="BG827">
        <v>6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25</v>
      </c>
      <c r="BR827">
        <v>0</v>
      </c>
      <c r="BS827">
        <v>0</v>
      </c>
      <c r="BT827">
        <v>25</v>
      </c>
      <c r="BU827">
        <v>0</v>
      </c>
      <c r="BV827" s="36"/>
    </row>
    <row r="828" spans="1:74" x14ac:dyDescent="0.2">
      <c r="A828">
        <v>2025</v>
      </c>
      <c r="B828" t="s">
        <v>1399</v>
      </c>
      <c r="C828" t="s">
        <v>1026</v>
      </c>
      <c r="D828" t="s">
        <v>1410</v>
      </c>
      <c r="E828" s="5" t="s">
        <v>1028</v>
      </c>
      <c r="F828" s="5" t="s">
        <v>1029</v>
      </c>
      <c r="H828" s="5"/>
      <c r="I828" s="5"/>
      <c r="J828" s="5"/>
      <c r="K828" t="s">
        <v>833</v>
      </c>
      <c r="L828" t="s">
        <v>963</v>
      </c>
      <c r="N828" t="s">
        <v>964</v>
      </c>
      <c r="O828" t="s">
        <v>965</v>
      </c>
      <c r="P828" t="s">
        <v>965</v>
      </c>
      <c r="Q828" t="s">
        <v>965</v>
      </c>
      <c r="R828" t="s">
        <v>965</v>
      </c>
      <c r="S828" t="s">
        <v>965</v>
      </c>
      <c r="T828" t="s">
        <v>965</v>
      </c>
      <c r="U828" t="s">
        <v>965</v>
      </c>
      <c r="V828" t="s">
        <v>965</v>
      </c>
      <c r="W828" t="s">
        <v>965</v>
      </c>
      <c r="X828" t="s">
        <v>965</v>
      </c>
      <c r="Y828" t="s">
        <v>965</v>
      </c>
      <c r="Z828" t="s">
        <v>965</v>
      </c>
      <c r="AA828" t="s">
        <v>965</v>
      </c>
      <c r="AB828" t="s">
        <v>965</v>
      </c>
      <c r="AC828" t="s">
        <v>965</v>
      </c>
      <c r="AD828" t="s">
        <v>965</v>
      </c>
      <c r="AE828" t="s">
        <v>965</v>
      </c>
      <c r="AF828" t="s">
        <v>965</v>
      </c>
      <c r="AG828" t="s">
        <v>965</v>
      </c>
      <c r="AH828" t="s">
        <v>965</v>
      </c>
      <c r="AI828" t="s">
        <v>965</v>
      </c>
      <c r="AJ828" t="s">
        <v>965</v>
      </c>
      <c r="AK828" t="s">
        <v>965</v>
      </c>
      <c r="AL828" t="s">
        <v>965</v>
      </c>
      <c r="AM828" t="s">
        <v>965</v>
      </c>
      <c r="AN828" t="s">
        <v>965</v>
      </c>
      <c r="AO828" t="s">
        <v>965</v>
      </c>
      <c r="AP828" t="s">
        <v>965</v>
      </c>
      <c r="AQ828" t="s">
        <v>965</v>
      </c>
      <c r="AR828" t="s">
        <v>965</v>
      </c>
      <c r="AS828" t="s">
        <v>965</v>
      </c>
      <c r="AT828" t="s">
        <v>965</v>
      </c>
      <c r="AU828" t="s">
        <v>965</v>
      </c>
      <c r="AV828" t="s">
        <v>965</v>
      </c>
      <c r="AW828" t="s">
        <v>965</v>
      </c>
      <c r="AX828" t="s">
        <v>965</v>
      </c>
      <c r="AY828" t="s">
        <v>965</v>
      </c>
      <c r="AZ828" t="s">
        <v>965</v>
      </c>
      <c r="BA828" t="s">
        <v>965</v>
      </c>
      <c r="BB828" t="s">
        <v>965</v>
      </c>
      <c r="BC828" t="s">
        <v>965</v>
      </c>
      <c r="BD828" t="s">
        <v>965</v>
      </c>
      <c r="BE828" t="s">
        <v>835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1</v>
      </c>
      <c r="BR828">
        <v>0</v>
      </c>
      <c r="BS828">
        <v>0</v>
      </c>
      <c r="BT828">
        <v>1</v>
      </c>
      <c r="BU828">
        <v>0</v>
      </c>
      <c r="BV828" s="36">
        <f t="shared" ref="BV828:BV851" si="11">BU828/BT828</f>
        <v>0</v>
      </c>
    </row>
    <row r="829" spans="1:74" x14ac:dyDescent="0.2">
      <c r="A829">
        <v>2025</v>
      </c>
      <c r="B829" t="s">
        <v>1399</v>
      </c>
      <c r="C829" t="s">
        <v>1031</v>
      </c>
      <c r="D829" t="s">
        <v>1411</v>
      </c>
      <c r="E829" s="5" t="s">
        <v>893</v>
      </c>
      <c r="F829" s="5" t="s">
        <v>95</v>
      </c>
      <c r="H829" s="5"/>
      <c r="I829" s="5"/>
      <c r="J829" s="5"/>
      <c r="K829" t="s">
        <v>833</v>
      </c>
      <c r="L829" t="s">
        <v>963</v>
      </c>
      <c r="N829" t="s">
        <v>834</v>
      </c>
      <c r="O829" t="s">
        <v>965</v>
      </c>
      <c r="P829" t="s">
        <v>965</v>
      </c>
      <c r="Q829" t="s">
        <v>965</v>
      </c>
      <c r="R829" t="s">
        <v>965</v>
      </c>
      <c r="S829" t="s">
        <v>965</v>
      </c>
      <c r="T829" t="s">
        <v>965</v>
      </c>
      <c r="U829" t="s">
        <v>965</v>
      </c>
      <c r="V829" t="s">
        <v>965</v>
      </c>
      <c r="W829" t="s">
        <v>965</v>
      </c>
      <c r="X829" t="s">
        <v>965</v>
      </c>
      <c r="Y829" t="s">
        <v>965</v>
      </c>
      <c r="Z829" t="s">
        <v>965</v>
      </c>
      <c r="AA829" t="s">
        <v>965</v>
      </c>
      <c r="AB829" t="s">
        <v>965</v>
      </c>
      <c r="AC829" t="s">
        <v>965</v>
      </c>
      <c r="AD829" t="s">
        <v>965</v>
      </c>
      <c r="AE829" t="s">
        <v>965</v>
      </c>
      <c r="AF829" t="s">
        <v>965</v>
      </c>
      <c r="AG829" t="s">
        <v>965</v>
      </c>
      <c r="AH829" t="s">
        <v>965</v>
      </c>
      <c r="AI829" t="s">
        <v>965</v>
      </c>
      <c r="AJ829" t="s">
        <v>965</v>
      </c>
      <c r="AK829" t="s">
        <v>965</v>
      </c>
      <c r="AL829" t="s">
        <v>965</v>
      </c>
      <c r="AM829" t="s">
        <v>965</v>
      </c>
      <c r="AN829" t="s">
        <v>965</v>
      </c>
      <c r="AO829" t="s">
        <v>965</v>
      </c>
      <c r="AP829" t="s">
        <v>965</v>
      </c>
      <c r="AQ829" t="s">
        <v>965</v>
      </c>
      <c r="AR829" t="s">
        <v>965</v>
      </c>
      <c r="AS829" t="s">
        <v>965</v>
      </c>
      <c r="AT829" t="s">
        <v>965</v>
      </c>
      <c r="AU829" t="s">
        <v>965</v>
      </c>
      <c r="AV829" t="s">
        <v>965</v>
      </c>
      <c r="AW829" t="s">
        <v>965</v>
      </c>
      <c r="AX829" t="s">
        <v>965</v>
      </c>
      <c r="AY829" t="s">
        <v>965</v>
      </c>
      <c r="AZ829" t="s">
        <v>965</v>
      </c>
      <c r="BA829" t="s">
        <v>965</v>
      </c>
      <c r="BB829" t="s">
        <v>965</v>
      </c>
      <c r="BC829" t="s">
        <v>965</v>
      </c>
      <c r="BD829" t="s">
        <v>965</v>
      </c>
      <c r="BE829" t="s">
        <v>835</v>
      </c>
      <c r="BF829">
        <v>4</v>
      </c>
      <c r="BG829">
        <v>4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4</v>
      </c>
      <c r="BR829">
        <v>0</v>
      </c>
      <c r="BS829">
        <v>0</v>
      </c>
      <c r="BT829">
        <v>4</v>
      </c>
      <c r="BU829">
        <v>6</v>
      </c>
      <c r="BV829" s="36">
        <f t="shared" si="11"/>
        <v>1.5</v>
      </c>
    </row>
    <row r="830" spans="1:74" x14ac:dyDescent="0.2">
      <c r="A830">
        <v>2025</v>
      </c>
      <c r="B830" t="s">
        <v>1399</v>
      </c>
      <c r="C830" t="s">
        <v>1031</v>
      </c>
      <c r="D830" t="s">
        <v>1412</v>
      </c>
      <c r="E830" s="5" t="s">
        <v>893</v>
      </c>
      <c r="F830" s="5" t="s">
        <v>95</v>
      </c>
      <c r="H830" s="5"/>
      <c r="I830" s="5"/>
      <c r="J830" s="5"/>
      <c r="K830" t="s">
        <v>833</v>
      </c>
      <c r="L830" t="s">
        <v>963</v>
      </c>
      <c r="N830" t="s">
        <v>834</v>
      </c>
      <c r="O830" t="s">
        <v>965</v>
      </c>
      <c r="P830" t="s">
        <v>965</v>
      </c>
      <c r="Q830" t="s">
        <v>965</v>
      </c>
      <c r="R830" t="s">
        <v>965</v>
      </c>
      <c r="S830" t="s">
        <v>965</v>
      </c>
      <c r="T830" t="s">
        <v>965</v>
      </c>
      <c r="U830" t="s">
        <v>965</v>
      </c>
      <c r="V830" t="s">
        <v>965</v>
      </c>
      <c r="W830" t="s">
        <v>965</v>
      </c>
      <c r="X830" t="s">
        <v>965</v>
      </c>
      <c r="Y830" t="s">
        <v>965</v>
      </c>
      <c r="Z830" t="s">
        <v>965</v>
      </c>
      <c r="AA830" t="s">
        <v>965</v>
      </c>
      <c r="AB830" t="s">
        <v>965</v>
      </c>
      <c r="AC830" t="s">
        <v>965</v>
      </c>
      <c r="AD830" t="s">
        <v>965</v>
      </c>
      <c r="AE830" t="s">
        <v>965</v>
      </c>
      <c r="AF830" t="s">
        <v>965</v>
      </c>
      <c r="AG830" t="s">
        <v>965</v>
      </c>
      <c r="AH830" t="s">
        <v>965</v>
      </c>
      <c r="AI830" t="s">
        <v>965</v>
      </c>
      <c r="AJ830" t="s">
        <v>965</v>
      </c>
      <c r="AK830" t="s">
        <v>965</v>
      </c>
      <c r="AL830" t="s">
        <v>965</v>
      </c>
      <c r="AM830" t="s">
        <v>965</v>
      </c>
      <c r="AN830" t="s">
        <v>965</v>
      </c>
      <c r="AO830" t="s">
        <v>965</v>
      </c>
      <c r="AP830" t="s">
        <v>965</v>
      </c>
      <c r="AQ830" t="s">
        <v>965</v>
      </c>
      <c r="AR830" t="s">
        <v>965</v>
      </c>
      <c r="AS830" t="s">
        <v>965</v>
      </c>
      <c r="AT830" t="s">
        <v>965</v>
      </c>
      <c r="AU830" t="s">
        <v>965</v>
      </c>
      <c r="AV830" t="s">
        <v>965</v>
      </c>
      <c r="AW830" t="s">
        <v>965</v>
      </c>
      <c r="AX830" t="s">
        <v>965</v>
      </c>
      <c r="AY830" t="s">
        <v>965</v>
      </c>
      <c r="AZ830" t="s">
        <v>965</v>
      </c>
      <c r="BA830" t="s">
        <v>965</v>
      </c>
      <c r="BB830" t="s">
        <v>965</v>
      </c>
      <c r="BC830" t="s">
        <v>965</v>
      </c>
      <c r="BD830" t="s">
        <v>965</v>
      </c>
      <c r="BE830" t="s">
        <v>835</v>
      </c>
      <c r="BF830">
        <v>5</v>
      </c>
      <c r="BG830">
        <v>4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5</v>
      </c>
      <c r="BR830">
        <v>0</v>
      </c>
      <c r="BS830">
        <v>0</v>
      </c>
      <c r="BT830">
        <v>5</v>
      </c>
      <c r="BU830">
        <v>9</v>
      </c>
      <c r="BV830" s="36">
        <f t="shared" si="11"/>
        <v>1.8</v>
      </c>
    </row>
    <row r="831" spans="1:74" x14ac:dyDescent="0.2">
      <c r="A831">
        <v>2025</v>
      </c>
      <c r="B831" t="s">
        <v>1399</v>
      </c>
      <c r="C831" t="s">
        <v>1058</v>
      </c>
      <c r="D831" t="s">
        <v>1413</v>
      </c>
      <c r="E831" s="5" t="s">
        <v>893</v>
      </c>
      <c r="F831" s="5" t="s">
        <v>95</v>
      </c>
      <c r="H831" s="5"/>
      <c r="I831" s="5"/>
      <c r="J831" s="5"/>
      <c r="K831" t="s">
        <v>965</v>
      </c>
      <c r="L831" t="s">
        <v>963</v>
      </c>
      <c r="N831" t="s">
        <v>834</v>
      </c>
      <c r="O831" t="s">
        <v>965</v>
      </c>
      <c r="P831" t="s">
        <v>965</v>
      </c>
      <c r="Q831" t="s">
        <v>965</v>
      </c>
      <c r="R831" t="s">
        <v>965</v>
      </c>
      <c r="S831" t="s">
        <v>965</v>
      </c>
      <c r="T831" t="s">
        <v>965</v>
      </c>
      <c r="U831" t="s">
        <v>965</v>
      </c>
      <c r="V831" t="s">
        <v>965</v>
      </c>
      <c r="W831" t="s">
        <v>965</v>
      </c>
      <c r="X831" t="s">
        <v>965</v>
      </c>
      <c r="Y831" t="s">
        <v>965</v>
      </c>
      <c r="Z831" t="s">
        <v>965</v>
      </c>
      <c r="AA831" t="s">
        <v>965</v>
      </c>
      <c r="AB831" t="s">
        <v>965</v>
      </c>
      <c r="AC831" t="s">
        <v>965</v>
      </c>
      <c r="AD831" t="s">
        <v>965</v>
      </c>
      <c r="AE831" t="s">
        <v>965</v>
      </c>
      <c r="AF831" t="s">
        <v>965</v>
      </c>
      <c r="AG831" t="s">
        <v>965</v>
      </c>
      <c r="AH831" t="s">
        <v>965</v>
      </c>
      <c r="AI831" t="s">
        <v>965</v>
      </c>
      <c r="AJ831" t="s">
        <v>965</v>
      </c>
      <c r="AK831" t="s">
        <v>965</v>
      </c>
      <c r="AL831" t="s">
        <v>965</v>
      </c>
      <c r="AM831" t="s">
        <v>965</v>
      </c>
      <c r="AN831" t="s">
        <v>965</v>
      </c>
      <c r="AO831" t="s">
        <v>965</v>
      </c>
      <c r="AP831" t="s">
        <v>965</v>
      </c>
      <c r="AQ831" t="s">
        <v>965</v>
      </c>
      <c r="AR831" t="s">
        <v>965</v>
      </c>
      <c r="AS831" t="s">
        <v>965</v>
      </c>
      <c r="AT831" t="s">
        <v>965</v>
      </c>
      <c r="AU831" t="s">
        <v>965</v>
      </c>
      <c r="AV831" t="s">
        <v>965</v>
      </c>
      <c r="AW831" t="s">
        <v>965</v>
      </c>
      <c r="AX831" t="s">
        <v>965</v>
      </c>
      <c r="AY831" t="s">
        <v>965</v>
      </c>
      <c r="AZ831" t="s">
        <v>965</v>
      </c>
      <c r="BA831" t="s">
        <v>965</v>
      </c>
      <c r="BB831" t="s">
        <v>965</v>
      </c>
      <c r="BC831" t="s">
        <v>965</v>
      </c>
      <c r="BD831" t="s">
        <v>965</v>
      </c>
      <c r="BE831" t="s">
        <v>835</v>
      </c>
      <c r="BF831">
        <v>39</v>
      </c>
      <c r="BG831">
        <v>16</v>
      </c>
      <c r="BH831">
        <v>0</v>
      </c>
      <c r="BI831">
        <v>0</v>
      </c>
      <c r="BJ831">
        <v>0</v>
      </c>
      <c r="BK831">
        <v>6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45</v>
      </c>
      <c r="BR831">
        <v>0</v>
      </c>
      <c r="BS831">
        <v>0</v>
      </c>
      <c r="BT831">
        <v>45</v>
      </c>
      <c r="BU831">
        <v>36</v>
      </c>
      <c r="BV831" s="36">
        <f t="shared" si="11"/>
        <v>0.8</v>
      </c>
    </row>
    <row r="832" spans="1:74" x14ac:dyDescent="0.2">
      <c r="A832">
        <v>2025</v>
      </c>
      <c r="B832" t="s">
        <v>1399</v>
      </c>
      <c r="C832" t="s">
        <v>1058</v>
      </c>
      <c r="D832" t="s">
        <v>1414</v>
      </c>
      <c r="E832" s="5" t="s">
        <v>893</v>
      </c>
      <c r="F832" s="5" t="s">
        <v>95</v>
      </c>
      <c r="H832" s="5"/>
      <c r="I832" s="5"/>
      <c r="J832" s="5"/>
      <c r="K832" t="s">
        <v>965</v>
      </c>
      <c r="L832" t="s">
        <v>963</v>
      </c>
      <c r="N832" t="s">
        <v>834</v>
      </c>
      <c r="O832" t="s">
        <v>965</v>
      </c>
      <c r="P832" t="s">
        <v>965</v>
      </c>
      <c r="Q832" t="s">
        <v>965</v>
      </c>
      <c r="R832" t="s">
        <v>965</v>
      </c>
      <c r="S832" t="s">
        <v>965</v>
      </c>
      <c r="T832" t="s">
        <v>965</v>
      </c>
      <c r="U832" t="s">
        <v>965</v>
      </c>
      <c r="V832" t="s">
        <v>965</v>
      </c>
      <c r="W832" t="s">
        <v>965</v>
      </c>
      <c r="X832" t="s">
        <v>965</v>
      </c>
      <c r="Y832" t="s">
        <v>965</v>
      </c>
      <c r="Z832" t="s">
        <v>965</v>
      </c>
      <c r="AA832" t="s">
        <v>965</v>
      </c>
      <c r="AB832" t="s">
        <v>965</v>
      </c>
      <c r="AC832" t="s">
        <v>965</v>
      </c>
      <c r="AD832" t="s">
        <v>965</v>
      </c>
      <c r="AE832" t="s">
        <v>965</v>
      </c>
      <c r="AF832" t="s">
        <v>965</v>
      </c>
      <c r="AG832" t="s">
        <v>965</v>
      </c>
      <c r="AH832" t="s">
        <v>965</v>
      </c>
      <c r="AI832" t="s">
        <v>965</v>
      </c>
      <c r="AJ832" t="s">
        <v>965</v>
      </c>
      <c r="AK832" t="s">
        <v>965</v>
      </c>
      <c r="AL832" t="s">
        <v>965</v>
      </c>
      <c r="AM832" t="s">
        <v>965</v>
      </c>
      <c r="AN832" t="s">
        <v>965</v>
      </c>
      <c r="AO832" t="s">
        <v>965</v>
      </c>
      <c r="AP832" t="s">
        <v>965</v>
      </c>
      <c r="AQ832" t="s">
        <v>965</v>
      </c>
      <c r="AR832" t="s">
        <v>965</v>
      </c>
      <c r="AS832" t="s">
        <v>965</v>
      </c>
      <c r="AT832" t="s">
        <v>965</v>
      </c>
      <c r="AU832" t="s">
        <v>965</v>
      </c>
      <c r="AV832" t="s">
        <v>965</v>
      </c>
      <c r="AW832" t="s">
        <v>965</v>
      </c>
      <c r="AX832" t="s">
        <v>965</v>
      </c>
      <c r="AY832" t="s">
        <v>965</v>
      </c>
      <c r="AZ832" t="s">
        <v>965</v>
      </c>
      <c r="BA832" t="s">
        <v>965</v>
      </c>
      <c r="BB832" t="s">
        <v>965</v>
      </c>
      <c r="BC832" t="s">
        <v>965</v>
      </c>
      <c r="BD832" t="s">
        <v>965</v>
      </c>
      <c r="BE832" t="s">
        <v>835</v>
      </c>
      <c r="BF832">
        <v>22</v>
      </c>
      <c r="BG832">
        <v>5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22</v>
      </c>
      <c r="BR832">
        <v>0</v>
      </c>
      <c r="BS832">
        <v>0</v>
      </c>
      <c r="BT832">
        <v>22</v>
      </c>
      <c r="BU832">
        <v>22</v>
      </c>
      <c r="BV832" s="36">
        <f t="shared" si="11"/>
        <v>1</v>
      </c>
    </row>
    <row r="833" spans="1:74" x14ac:dyDescent="0.2">
      <c r="A833">
        <v>2025</v>
      </c>
      <c r="B833" t="s">
        <v>1399</v>
      </c>
      <c r="C833" t="s">
        <v>1036</v>
      </c>
      <c r="D833" t="s">
        <v>1415</v>
      </c>
      <c r="E833" s="5" t="s">
        <v>860</v>
      </c>
      <c r="F833" s="5" t="s">
        <v>90</v>
      </c>
      <c r="H833" s="5"/>
      <c r="I833" s="5"/>
      <c r="J833" s="5"/>
      <c r="K833" t="s">
        <v>833</v>
      </c>
      <c r="L833" t="s">
        <v>963</v>
      </c>
      <c r="N833" t="s">
        <v>834</v>
      </c>
      <c r="O833" t="s">
        <v>965</v>
      </c>
      <c r="P833" t="s">
        <v>965</v>
      </c>
      <c r="Q833" t="s">
        <v>965</v>
      </c>
      <c r="R833" t="s">
        <v>965</v>
      </c>
      <c r="S833" t="s">
        <v>965</v>
      </c>
      <c r="T833" t="s">
        <v>965</v>
      </c>
      <c r="U833" t="s">
        <v>965</v>
      </c>
      <c r="V833" t="s">
        <v>965</v>
      </c>
      <c r="W833" t="s">
        <v>965</v>
      </c>
      <c r="X833" t="s">
        <v>965</v>
      </c>
      <c r="Y833" t="s">
        <v>965</v>
      </c>
      <c r="Z833" t="s">
        <v>965</v>
      </c>
      <c r="AA833" t="s">
        <v>965</v>
      </c>
      <c r="AB833" t="s">
        <v>965</v>
      </c>
      <c r="AC833" t="s">
        <v>965</v>
      </c>
      <c r="AD833" t="s">
        <v>965</v>
      </c>
      <c r="AE833" t="s">
        <v>965</v>
      </c>
      <c r="AF833" t="s">
        <v>965</v>
      </c>
      <c r="AG833" t="s">
        <v>965</v>
      </c>
      <c r="AH833" t="s">
        <v>965</v>
      </c>
      <c r="AI833" t="s">
        <v>965</v>
      </c>
      <c r="AJ833" t="s">
        <v>965</v>
      </c>
      <c r="AK833" t="s">
        <v>965</v>
      </c>
      <c r="AL833" t="s">
        <v>965</v>
      </c>
      <c r="AM833" t="s">
        <v>965</v>
      </c>
      <c r="AN833" t="s">
        <v>965</v>
      </c>
      <c r="AO833" t="s">
        <v>965</v>
      </c>
      <c r="AP833" t="s">
        <v>965</v>
      </c>
      <c r="AQ833" t="s">
        <v>965</v>
      </c>
      <c r="AR833" t="s">
        <v>965</v>
      </c>
      <c r="AS833" t="s">
        <v>965</v>
      </c>
      <c r="AT833" t="s">
        <v>965</v>
      </c>
      <c r="AU833" t="s">
        <v>965</v>
      </c>
      <c r="AV833" t="s">
        <v>965</v>
      </c>
      <c r="AW833" t="s">
        <v>965</v>
      </c>
      <c r="AX833" t="s">
        <v>965</v>
      </c>
      <c r="AY833" t="s">
        <v>965</v>
      </c>
      <c r="AZ833" t="s">
        <v>965</v>
      </c>
      <c r="BA833" t="s">
        <v>965</v>
      </c>
      <c r="BB833" t="s">
        <v>965</v>
      </c>
      <c r="BC833" t="s">
        <v>965</v>
      </c>
      <c r="BD833" t="s">
        <v>965</v>
      </c>
      <c r="BE833" t="s">
        <v>835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6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6</v>
      </c>
      <c r="BR833">
        <v>0</v>
      </c>
      <c r="BS833">
        <v>0</v>
      </c>
      <c r="BT833">
        <v>6</v>
      </c>
      <c r="BU833">
        <v>3</v>
      </c>
      <c r="BV833" s="36">
        <f t="shared" si="11"/>
        <v>0.5</v>
      </c>
    </row>
    <row r="834" spans="1:74" x14ac:dyDescent="0.2">
      <c r="A834">
        <v>2025</v>
      </c>
      <c r="B834" t="s">
        <v>1399</v>
      </c>
      <c r="C834" t="s">
        <v>1416</v>
      </c>
      <c r="D834" t="s">
        <v>1417</v>
      </c>
      <c r="E834" s="5" t="s">
        <v>838</v>
      </c>
      <c r="F834" s="5" t="s">
        <v>42</v>
      </c>
      <c r="K834" t="s">
        <v>965</v>
      </c>
      <c r="L834" t="s">
        <v>963</v>
      </c>
      <c r="N834" t="s">
        <v>834</v>
      </c>
      <c r="O834" t="s">
        <v>965</v>
      </c>
      <c r="P834" t="s">
        <v>965</v>
      </c>
      <c r="Q834" t="s">
        <v>965</v>
      </c>
      <c r="R834" t="s">
        <v>965</v>
      </c>
      <c r="S834" t="s">
        <v>965</v>
      </c>
      <c r="T834" t="s">
        <v>965</v>
      </c>
      <c r="U834" t="s">
        <v>965</v>
      </c>
      <c r="V834" t="s">
        <v>965</v>
      </c>
      <c r="W834" t="s">
        <v>965</v>
      </c>
      <c r="X834" t="s">
        <v>965</v>
      </c>
      <c r="Y834" t="s">
        <v>965</v>
      </c>
      <c r="Z834" t="s">
        <v>965</v>
      </c>
      <c r="AA834" t="s">
        <v>965</v>
      </c>
      <c r="AB834" t="s">
        <v>965</v>
      </c>
      <c r="AC834" t="s">
        <v>965</v>
      </c>
      <c r="AD834" t="s">
        <v>965</v>
      </c>
      <c r="AE834" t="s">
        <v>965</v>
      </c>
      <c r="AF834" t="s">
        <v>965</v>
      </c>
      <c r="AG834" t="s">
        <v>965</v>
      </c>
      <c r="AH834" t="s">
        <v>965</v>
      </c>
      <c r="AI834" t="s">
        <v>965</v>
      </c>
      <c r="AJ834" t="s">
        <v>965</v>
      </c>
      <c r="AK834" t="s">
        <v>965</v>
      </c>
      <c r="AL834" t="s">
        <v>965</v>
      </c>
      <c r="AM834" t="s">
        <v>965</v>
      </c>
      <c r="AN834" t="s">
        <v>965</v>
      </c>
      <c r="AO834" t="s">
        <v>965</v>
      </c>
      <c r="AP834" t="s">
        <v>965</v>
      </c>
      <c r="AQ834" t="s">
        <v>965</v>
      </c>
      <c r="AR834" t="s">
        <v>965</v>
      </c>
      <c r="AS834" t="s">
        <v>965</v>
      </c>
      <c r="AT834" t="s">
        <v>965</v>
      </c>
      <c r="AU834" t="s">
        <v>965</v>
      </c>
      <c r="AV834" t="s">
        <v>965</v>
      </c>
      <c r="AW834" t="s">
        <v>965</v>
      </c>
      <c r="AX834" t="s">
        <v>965</v>
      </c>
      <c r="AY834" t="s">
        <v>965</v>
      </c>
      <c r="AZ834" t="s">
        <v>965</v>
      </c>
      <c r="BA834" t="s">
        <v>965</v>
      </c>
      <c r="BB834" t="s">
        <v>965</v>
      </c>
      <c r="BC834" t="s">
        <v>965</v>
      </c>
      <c r="BD834" t="s">
        <v>965</v>
      </c>
      <c r="BE834" t="s">
        <v>835</v>
      </c>
      <c r="BF834">
        <v>10</v>
      </c>
      <c r="BG834">
        <v>5</v>
      </c>
      <c r="BH834">
        <v>0</v>
      </c>
      <c r="BI834">
        <v>10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10</v>
      </c>
      <c r="BR834">
        <v>0</v>
      </c>
      <c r="BS834">
        <v>0</v>
      </c>
      <c r="BT834">
        <v>10</v>
      </c>
      <c r="BU834">
        <v>8</v>
      </c>
      <c r="BV834" s="36">
        <f t="shared" si="11"/>
        <v>0.8</v>
      </c>
    </row>
    <row r="835" spans="1:74" x14ac:dyDescent="0.2">
      <c r="A835">
        <v>2025</v>
      </c>
      <c r="B835" t="s">
        <v>1399</v>
      </c>
      <c r="C835" t="s">
        <v>1416</v>
      </c>
      <c r="D835" t="s">
        <v>1418</v>
      </c>
      <c r="E835" s="5" t="s">
        <v>838</v>
      </c>
      <c r="F835" s="5" t="s">
        <v>42</v>
      </c>
      <c r="K835" t="s">
        <v>965</v>
      </c>
      <c r="L835" t="s">
        <v>963</v>
      </c>
      <c r="N835" t="s">
        <v>834</v>
      </c>
      <c r="O835" t="s">
        <v>965</v>
      </c>
      <c r="P835" t="s">
        <v>965</v>
      </c>
      <c r="Q835" t="s">
        <v>965</v>
      </c>
      <c r="R835" t="s">
        <v>965</v>
      </c>
      <c r="S835" t="s">
        <v>965</v>
      </c>
      <c r="T835" t="s">
        <v>965</v>
      </c>
      <c r="U835" t="s">
        <v>965</v>
      </c>
      <c r="V835" t="s">
        <v>965</v>
      </c>
      <c r="W835" t="s">
        <v>965</v>
      </c>
      <c r="X835" t="s">
        <v>965</v>
      </c>
      <c r="Y835" t="s">
        <v>965</v>
      </c>
      <c r="Z835" t="s">
        <v>965</v>
      </c>
      <c r="AA835" t="s">
        <v>965</v>
      </c>
      <c r="AB835" t="s">
        <v>965</v>
      </c>
      <c r="AC835" t="s">
        <v>965</v>
      </c>
      <c r="AD835" t="s">
        <v>965</v>
      </c>
      <c r="AE835" t="s">
        <v>965</v>
      </c>
      <c r="AF835" t="s">
        <v>965</v>
      </c>
      <c r="AG835" t="s">
        <v>965</v>
      </c>
      <c r="AH835" t="s">
        <v>965</v>
      </c>
      <c r="AI835" t="s">
        <v>965</v>
      </c>
      <c r="AJ835" t="s">
        <v>965</v>
      </c>
      <c r="AK835" t="s">
        <v>965</v>
      </c>
      <c r="AL835" t="s">
        <v>965</v>
      </c>
      <c r="AM835" t="s">
        <v>965</v>
      </c>
      <c r="AN835" t="s">
        <v>965</v>
      </c>
      <c r="AO835" t="s">
        <v>965</v>
      </c>
      <c r="AP835" t="s">
        <v>965</v>
      </c>
      <c r="AQ835" t="s">
        <v>965</v>
      </c>
      <c r="AR835" t="s">
        <v>965</v>
      </c>
      <c r="AS835" t="s">
        <v>965</v>
      </c>
      <c r="AT835" t="s">
        <v>965</v>
      </c>
      <c r="AU835" t="s">
        <v>965</v>
      </c>
      <c r="AV835" t="s">
        <v>965</v>
      </c>
      <c r="AW835" t="s">
        <v>965</v>
      </c>
      <c r="AX835" t="s">
        <v>965</v>
      </c>
      <c r="AY835" t="s">
        <v>965</v>
      </c>
      <c r="AZ835" t="s">
        <v>965</v>
      </c>
      <c r="BA835" t="s">
        <v>965</v>
      </c>
      <c r="BB835" t="s">
        <v>965</v>
      </c>
      <c r="BC835" t="s">
        <v>965</v>
      </c>
      <c r="BD835" t="s">
        <v>965</v>
      </c>
      <c r="BE835" t="s">
        <v>835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12</v>
      </c>
      <c r="BL835">
        <v>0</v>
      </c>
      <c r="BM835">
        <v>12</v>
      </c>
      <c r="BN835">
        <v>0</v>
      </c>
      <c r="BO835">
        <v>0</v>
      </c>
      <c r="BP835">
        <v>0</v>
      </c>
      <c r="BQ835">
        <v>12</v>
      </c>
      <c r="BR835">
        <v>0</v>
      </c>
      <c r="BS835">
        <v>0</v>
      </c>
      <c r="BT835">
        <v>12</v>
      </c>
      <c r="BU835">
        <v>5</v>
      </c>
      <c r="BV835" s="36">
        <f t="shared" si="11"/>
        <v>0.41666666666666669</v>
      </c>
    </row>
    <row r="836" spans="1:74" x14ac:dyDescent="0.2">
      <c r="A836">
        <v>2025</v>
      </c>
      <c r="B836" t="s">
        <v>1399</v>
      </c>
      <c r="C836" t="s">
        <v>1416</v>
      </c>
      <c r="D836" t="s">
        <v>1419</v>
      </c>
      <c r="E836" s="5" t="s">
        <v>838</v>
      </c>
      <c r="F836" s="5" t="s">
        <v>42</v>
      </c>
      <c r="K836" t="s">
        <v>965</v>
      </c>
      <c r="L836" t="s">
        <v>963</v>
      </c>
      <c r="N836" t="s">
        <v>834</v>
      </c>
      <c r="O836" t="s">
        <v>965</v>
      </c>
      <c r="P836" t="s">
        <v>965</v>
      </c>
      <c r="Q836" t="s">
        <v>965</v>
      </c>
      <c r="R836" t="s">
        <v>965</v>
      </c>
      <c r="S836" t="s">
        <v>965</v>
      </c>
      <c r="T836" t="s">
        <v>965</v>
      </c>
      <c r="U836" t="s">
        <v>965</v>
      </c>
      <c r="V836" t="s">
        <v>965</v>
      </c>
      <c r="W836" t="s">
        <v>965</v>
      </c>
      <c r="X836" t="s">
        <v>965</v>
      </c>
      <c r="Y836" t="s">
        <v>965</v>
      </c>
      <c r="Z836" t="s">
        <v>965</v>
      </c>
      <c r="AA836" t="s">
        <v>965</v>
      </c>
      <c r="AB836" t="s">
        <v>965</v>
      </c>
      <c r="AC836" t="s">
        <v>965</v>
      </c>
      <c r="AD836" t="s">
        <v>965</v>
      </c>
      <c r="AE836" t="s">
        <v>965</v>
      </c>
      <c r="AF836" t="s">
        <v>965</v>
      </c>
      <c r="AG836" t="s">
        <v>965</v>
      </c>
      <c r="AH836" t="s">
        <v>965</v>
      </c>
      <c r="AI836" t="s">
        <v>965</v>
      </c>
      <c r="AJ836" t="s">
        <v>965</v>
      </c>
      <c r="AK836" t="s">
        <v>965</v>
      </c>
      <c r="AL836" t="s">
        <v>965</v>
      </c>
      <c r="AM836" t="s">
        <v>965</v>
      </c>
      <c r="AN836" t="s">
        <v>965</v>
      </c>
      <c r="AO836" t="s">
        <v>965</v>
      </c>
      <c r="AP836" t="s">
        <v>965</v>
      </c>
      <c r="AQ836" t="s">
        <v>965</v>
      </c>
      <c r="AR836" t="s">
        <v>965</v>
      </c>
      <c r="AS836" t="s">
        <v>965</v>
      </c>
      <c r="AT836" t="s">
        <v>965</v>
      </c>
      <c r="AU836" t="s">
        <v>965</v>
      </c>
      <c r="AV836" t="s">
        <v>965</v>
      </c>
      <c r="AW836" t="s">
        <v>965</v>
      </c>
      <c r="AX836" t="s">
        <v>965</v>
      </c>
      <c r="AY836" t="s">
        <v>965</v>
      </c>
      <c r="AZ836" t="s">
        <v>965</v>
      </c>
      <c r="BA836" t="s">
        <v>965</v>
      </c>
      <c r="BB836" t="s">
        <v>965</v>
      </c>
      <c r="BC836" t="s">
        <v>965</v>
      </c>
      <c r="BD836" t="s">
        <v>965</v>
      </c>
      <c r="BE836" t="s">
        <v>835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10</v>
      </c>
      <c r="BL836">
        <v>0</v>
      </c>
      <c r="BM836">
        <v>10</v>
      </c>
      <c r="BN836">
        <v>0</v>
      </c>
      <c r="BO836">
        <v>0</v>
      </c>
      <c r="BP836">
        <v>0</v>
      </c>
      <c r="BQ836">
        <v>10</v>
      </c>
      <c r="BR836">
        <v>0</v>
      </c>
      <c r="BS836">
        <v>0</v>
      </c>
      <c r="BT836">
        <v>10</v>
      </c>
      <c r="BU836">
        <v>4</v>
      </c>
      <c r="BV836" s="36">
        <f t="shared" si="11"/>
        <v>0.4</v>
      </c>
    </row>
    <row r="837" spans="1:74" x14ac:dyDescent="0.2">
      <c r="A837">
        <v>2025</v>
      </c>
      <c r="B837" t="s">
        <v>1399</v>
      </c>
      <c r="C837" t="s">
        <v>1416</v>
      </c>
      <c r="D837" t="s">
        <v>1420</v>
      </c>
      <c r="E837" s="5" t="s">
        <v>838</v>
      </c>
      <c r="F837" s="5" t="s">
        <v>42</v>
      </c>
      <c r="K837" t="s">
        <v>965</v>
      </c>
      <c r="L837" t="s">
        <v>963</v>
      </c>
      <c r="N837" t="s">
        <v>834</v>
      </c>
      <c r="O837" t="s">
        <v>965</v>
      </c>
      <c r="P837" t="s">
        <v>965</v>
      </c>
      <c r="Q837" t="s">
        <v>965</v>
      </c>
      <c r="R837" t="s">
        <v>965</v>
      </c>
      <c r="S837" t="s">
        <v>965</v>
      </c>
      <c r="T837" t="s">
        <v>965</v>
      </c>
      <c r="U837" t="s">
        <v>965</v>
      </c>
      <c r="V837" t="s">
        <v>965</v>
      </c>
      <c r="W837" t="s">
        <v>965</v>
      </c>
      <c r="X837" t="s">
        <v>965</v>
      </c>
      <c r="Y837" t="s">
        <v>965</v>
      </c>
      <c r="Z837" t="s">
        <v>965</v>
      </c>
      <c r="AA837" t="s">
        <v>965</v>
      </c>
      <c r="AB837" t="s">
        <v>965</v>
      </c>
      <c r="AC837" t="s">
        <v>965</v>
      </c>
      <c r="AD837" t="s">
        <v>965</v>
      </c>
      <c r="AE837" t="s">
        <v>965</v>
      </c>
      <c r="AF837" t="s">
        <v>965</v>
      </c>
      <c r="AG837" t="s">
        <v>965</v>
      </c>
      <c r="AH837" t="s">
        <v>965</v>
      </c>
      <c r="AI837" t="s">
        <v>965</v>
      </c>
      <c r="AJ837" t="s">
        <v>965</v>
      </c>
      <c r="AK837" t="s">
        <v>965</v>
      </c>
      <c r="AL837" t="s">
        <v>965</v>
      </c>
      <c r="AM837" t="s">
        <v>965</v>
      </c>
      <c r="AN837" t="s">
        <v>965</v>
      </c>
      <c r="AO837" t="s">
        <v>965</v>
      </c>
      <c r="AP837" t="s">
        <v>965</v>
      </c>
      <c r="AQ837" t="s">
        <v>965</v>
      </c>
      <c r="AR837" t="s">
        <v>965</v>
      </c>
      <c r="AS837" t="s">
        <v>965</v>
      </c>
      <c r="AT837" t="s">
        <v>965</v>
      </c>
      <c r="AU837" t="s">
        <v>965</v>
      </c>
      <c r="AV837" t="s">
        <v>965</v>
      </c>
      <c r="AW837" t="s">
        <v>965</v>
      </c>
      <c r="AX837" t="s">
        <v>965</v>
      </c>
      <c r="AY837" t="s">
        <v>965</v>
      </c>
      <c r="AZ837" t="s">
        <v>965</v>
      </c>
      <c r="BA837" t="s">
        <v>965</v>
      </c>
      <c r="BB837" t="s">
        <v>965</v>
      </c>
      <c r="BC837" t="s">
        <v>965</v>
      </c>
      <c r="BD837" t="s">
        <v>965</v>
      </c>
      <c r="BE837" t="s">
        <v>835</v>
      </c>
      <c r="BF837">
        <v>14</v>
      </c>
      <c r="BG837">
        <v>7</v>
      </c>
      <c r="BH837">
        <v>0</v>
      </c>
      <c r="BI837">
        <v>14</v>
      </c>
      <c r="BJ837">
        <v>0</v>
      </c>
      <c r="BK837">
        <v>20</v>
      </c>
      <c r="BL837">
        <v>0</v>
      </c>
      <c r="BM837">
        <v>20</v>
      </c>
      <c r="BN837">
        <v>0</v>
      </c>
      <c r="BO837">
        <v>0</v>
      </c>
      <c r="BP837">
        <v>0</v>
      </c>
      <c r="BQ837">
        <v>34</v>
      </c>
      <c r="BR837">
        <v>0</v>
      </c>
      <c r="BS837">
        <v>0</v>
      </c>
      <c r="BT837">
        <v>34</v>
      </c>
      <c r="BU837">
        <v>25</v>
      </c>
      <c r="BV837" s="36">
        <f t="shared" si="11"/>
        <v>0.73529411764705888</v>
      </c>
    </row>
    <row r="838" spans="1:74" x14ac:dyDescent="0.2">
      <c r="A838">
        <v>2025</v>
      </c>
      <c r="B838" t="s">
        <v>1399</v>
      </c>
      <c r="C838" t="s">
        <v>1054</v>
      </c>
      <c r="D838" t="s">
        <v>1421</v>
      </c>
      <c r="E838" s="5" t="s">
        <v>838</v>
      </c>
      <c r="F838" s="5" t="s">
        <v>42</v>
      </c>
      <c r="K838" t="s">
        <v>833</v>
      </c>
      <c r="L838" t="s">
        <v>963</v>
      </c>
      <c r="N838" t="s">
        <v>964</v>
      </c>
      <c r="O838" t="s">
        <v>965</v>
      </c>
      <c r="P838" t="s">
        <v>965</v>
      </c>
      <c r="Q838" t="s">
        <v>965</v>
      </c>
      <c r="R838" t="s">
        <v>965</v>
      </c>
      <c r="S838" t="s">
        <v>965</v>
      </c>
      <c r="T838" t="s">
        <v>965</v>
      </c>
      <c r="U838" t="s">
        <v>965</v>
      </c>
      <c r="V838" t="s">
        <v>965</v>
      </c>
      <c r="W838" t="s">
        <v>965</v>
      </c>
      <c r="X838" t="s">
        <v>833</v>
      </c>
      <c r="Y838" t="s">
        <v>965</v>
      </c>
      <c r="Z838" t="s">
        <v>965</v>
      </c>
      <c r="AA838" t="s">
        <v>965</v>
      </c>
      <c r="AB838" t="s">
        <v>965</v>
      </c>
      <c r="AC838" t="s">
        <v>965</v>
      </c>
      <c r="AD838" t="s">
        <v>965</v>
      </c>
      <c r="AE838" t="s">
        <v>965</v>
      </c>
      <c r="AF838" t="s">
        <v>965</v>
      </c>
      <c r="AG838" t="s">
        <v>965</v>
      </c>
      <c r="AH838" t="s">
        <v>965</v>
      </c>
      <c r="AI838" t="s">
        <v>965</v>
      </c>
      <c r="AJ838" t="s">
        <v>965</v>
      </c>
      <c r="AK838" t="s">
        <v>965</v>
      </c>
      <c r="AL838" t="s">
        <v>965</v>
      </c>
      <c r="AM838" t="s">
        <v>965</v>
      </c>
      <c r="AN838" t="s">
        <v>965</v>
      </c>
      <c r="AO838" t="s">
        <v>965</v>
      </c>
      <c r="AP838" t="s">
        <v>965</v>
      </c>
      <c r="AQ838" t="s">
        <v>965</v>
      </c>
      <c r="AR838" t="s">
        <v>965</v>
      </c>
      <c r="AS838" t="s">
        <v>965</v>
      </c>
      <c r="AT838" t="s">
        <v>965</v>
      </c>
      <c r="AU838" t="s">
        <v>965</v>
      </c>
      <c r="AV838" t="s">
        <v>965</v>
      </c>
      <c r="AW838" t="s">
        <v>965</v>
      </c>
      <c r="AX838" t="s">
        <v>965</v>
      </c>
      <c r="AY838" t="s">
        <v>965</v>
      </c>
      <c r="AZ838" t="s">
        <v>965</v>
      </c>
      <c r="BA838" t="s">
        <v>965</v>
      </c>
      <c r="BB838" t="s">
        <v>965</v>
      </c>
      <c r="BC838" t="s">
        <v>965</v>
      </c>
      <c r="BD838" t="s">
        <v>965</v>
      </c>
      <c r="BE838" t="s">
        <v>887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12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12</v>
      </c>
      <c r="BR838">
        <v>0</v>
      </c>
      <c r="BS838">
        <v>0</v>
      </c>
      <c r="BT838">
        <v>12</v>
      </c>
      <c r="BU838">
        <v>12</v>
      </c>
      <c r="BV838" s="36">
        <f t="shared" si="11"/>
        <v>1</v>
      </c>
    </row>
    <row r="839" spans="1:74" x14ac:dyDescent="0.2">
      <c r="A839">
        <v>2025</v>
      </c>
      <c r="B839" t="s">
        <v>1399</v>
      </c>
      <c r="C839" t="s">
        <v>1058</v>
      </c>
      <c r="D839" t="s">
        <v>1422</v>
      </c>
      <c r="E839" s="5" t="s">
        <v>1057</v>
      </c>
      <c r="F839" s="5" t="s">
        <v>136</v>
      </c>
      <c r="K839" t="s">
        <v>965</v>
      </c>
      <c r="L839" t="s">
        <v>963</v>
      </c>
      <c r="N839" t="s">
        <v>834</v>
      </c>
      <c r="O839" t="s">
        <v>965</v>
      </c>
      <c r="P839" t="s">
        <v>965</v>
      </c>
      <c r="Q839" t="s">
        <v>965</v>
      </c>
      <c r="R839" t="s">
        <v>965</v>
      </c>
      <c r="S839" t="s">
        <v>965</v>
      </c>
      <c r="T839" t="s">
        <v>965</v>
      </c>
      <c r="U839" t="s">
        <v>965</v>
      </c>
      <c r="V839" t="s">
        <v>965</v>
      </c>
      <c r="W839" t="s">
        <v>965</v>
      </c>
      <c r="X839" t="s">
        <v>965</v>
      </c>
      <c r="Y839" t="s">
        <v>965</v>
      </c>
      <c r="Z839" t="s">
        <v>965</v>
      </c>
      <c r="AA839" t="s">
        <v>965</v>
      </c>
      <c r="AB839" t="s">
        <v>965</v>
      </c>
      <c r="AC839" t="s">
        <v>965</v>
      </c>
      <c r="AD839" t="s">
        <v>965</v>
      </c>
      <c r="AE839" t="s">
        <v>965</v>
      </c>
      <c r="AF839" t="s">
        <v>965</v>
      </c>
      <c r="AG839" t="s">
        <v>965</v>
      </c>
      <c r="AH839" t="s">
        <v>965</v>
      </c>
      <c r="AI839" t="s">
        <v>965</v>
      </c>
      <c r="AJ839" t="s">
        <v>965</v>
      </c>
      <c r="AK839" t="s">
        <v>965</v>
      </c>
      <c r="AL839" t="s">
        <v>965</v>
      </c>
      <c r="AM839" t="s">
        <v>965</v>
      </c>
      <c r="AN839" t="s">
        <v>965</v>
      </c>
      <c r="AO839" t="s">
        <v>965</v>
      </c>
      <c r="AP839" t="s">
        <v>965</v>
      </c>
      <c r="AQ839" t="s">
        <v>965</v>
      </c>
      <c r="AR839" t="s">
        <v>965</v>
      </c>
      <c r="AS839" t="s">
        <v>965</v>
      </c>
      <c r="AT839" t="s">
        <v>965</v>
      </c>
      <c r="AU839" t="s">
        <v>965</v>
      </c>
      <c r="AV839" t="s">
        <v>965</v>
      </c>
      <c r="AW839" t="s">
        <v>965</v>
      </c>
      <c r="AX839" t="s">
        <v>965</v>
      </c>
      <c r="AY839" t="s">
        <v>965</v>
      </c>
      <c r="AZ839" t="s">
        <v>965</v>
      </c>
      <c r="BA839" t="s">
        <v>965</v>
      </c>
      <c r="BB839" t="s">
        <v>965</v>
      </c>
      <c r="BC839" t="s">
        <v>965</v>
      </c>
      <c r="BD839" t="s">
        <v>965</v>
      </c>
      <c r="BE839" t="s">
        <v>835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10</v>
      </c>
      <c r="BR839">
        <v>0</v>
      </c>
      <c r="BS839">
        <v>0</v>
      </c>
      <c r="BT839">
        <v>10</v>
      </c>
      <c r="BU839">
        <v>10</v>
      </c>
      <c r="BV839" s="36">
        <f t="shared" si="11"/>
        <v>1</v>
      </c>
    </row>
    <row r="840" spans="1:74" x14ac:dyDescent="0.2">
      <c r="A840">
        <v>2025</v>
      </c>
      <c r="B840" t="s">
        <v>1399</v>
      </c>
      <c r="C840" t="s">
        <v>1058</v>
      </c>
      <c r="D840" t="s">
        <v>1423</v>
      </c>
      <c r="E840" s="5" t="s">
        <v>1057</v>
      </c>
      <c r="F840" s="5" t="s">
        <v>136</v>
      </c>
      <c r="K840" t="s">
        <v>965</v>
      </c>
      <c r="L840" t="s">
        <v>963</v>
      </c>
      <c r="N840" t="s">
        <v>834</v>
      </c>
      <c r="O840" t="s">
        <v>965</v>
      </c>
      <c r="P840" t="s">
        <v>965</v>
      </c>
      <c r="Q840" t="s">
        <v>965</v>
      </c>
      <c r="R840" t="s">
        <v>965</v>
      </c>
      <c r="S840" t="s">
        <v>965</v>
      </c>
      <c r="T840" t="s">
        <v>965</v>
      </c>
      <c r="U840" t="s">
        <v>965</v>
      </c>
      <c r="V840" t="s">
        <v>965</v>
      </c>
      <c r="W840" t="s">
        <v>965</v>
      </c>
      <c r="X840" t="s">
        <v>965</v>
      </c>
      <c r="Y840" t="s">
        <v>965</v>
      </c>
      <c r="Z840" t="s">
        <v>965</v>
      </c>
      <c r="AA840" t="s">
        <v>965</v>
      </c>
      <c r="AB840" t="s">
        <v>965</v>
      </c>
      <c r="AC840" t="s">
        <v>965</v>
      </c>
      <c r="AD840" t="s">
        <v>965</v>
      </c>
      <c r="AE840" t="s">
        <v>965</v>
      </c>
      <c r="AF840" t="s">
        <v>965</v>
      </c>
      <c r="AG840" t="s">
        <v>965</v>
      </c>
      <c r="AH840" t="s">
        <v>965</v>
      </c>
      <c r="AI840" t="s">
        <v>965</v>
      </c>
      <c r="AJ840" t="s">
        <v>965</v>
      </c>
      <c r="AK840" t="s">
        <v>965</v>
      </c>
      <c r="AL840" t="s">
        <v>965</v>
      </c>
      <c r="AM840" t="s">
        <v>965</v>
      </c>
      <c r="AN840" t="s">
        <v>965</v>
      </c>
      <c r="AO840" t="s">
        <v>965</v>
      </c>
      <c r="AP840" t="s">
        <v>965</v>
      </c>
      <c r="AQ840" t="s">
        <v>965</v>
      </c>
      <c r="AR840" t="s">
        <v>965</v>
      </c>
      <c r="AS840" t="s">
        <v>965</v>
      </c>
      <c r="AT840" t="s">
        <v>965</v>
      </c>
      <c r="AU840" t="s">
        <v>965</v>
      </c>
      <c r="AV840" t="s">
        <v>965</v>
      </c>
      <c r="AW840" t="s">
        <v>965</v>
      </c>
      <c r="AX840" t="s">
        <v>965</v>
      </c>
      <c r="AY840" t="s">
        <v>965</v>
      </c>
      <c r="AZ840" t="s">
        <v>965</v>
      </c>
      <c r="BA840" t="s">
        <v>965</v>
      </c>
      <c r="BB840" t="s">
        <v>965</v>
      </c>
      <c r="BC840" t="s">
        <v>965</v>
      </c>
      <c r="BD840" t="s">
        <v>965</v>
      </c>
      <c r="BE840" t="s">
        <v>835</v>
      </c>
      <c r="BF840">
        <v>41</v>
      </c>
      <c r="BG840">
        <v>16</v>
      </c>
      <c r="BH840">
        <v>41</v>
      </c>
      <c r="BI840">
        <v>0</v>
      </c>
      <c r="BJ840">
        <v>0</v>
      </c>
      <c r="BK840">
        <v>11</v>
      </c>
      <c r="BL840">
        <v>11</v>
      </c>
      <c r="BM840">
        <v>0</v>
      </c>
      <c r="BN840">
        <v>0</v>
      </c>
      <c r="BO840">
        <v>0</v>
      </c>
      <c r="BP840">
        <v>0</v>
      </c>
      <c r="BQ840">
        <v>52</v>
      </c>
      <c r="BR840">
        <v>0</v>
      </c>
      <c r="BS840">
        <v>0</v>
      </c>
      <c r="BT840">
        <v>52</v>
      </c>
      <c r="BU840">
        <v>35</v>
      </c>
      <c r="BV840" s="36">
        <f t="shared" si="11"/>
        <v>0.67307692307692313</v>
      </c>
    </row>
    <row r="841" spans="1:74" x14ac:dyDescent="0.2">
      <c r="A841">
        <v>2025</v>
      </c>
      <c r="B841" t="s">
        <v>1399</v>
      </c>
      <c r="C841" t="s">
        <v>1058</v>
      </c>
      <c r="D841" t="s">
        <v>1424</v>
      </c>
      <c r="E841" s="5" t="s">
        <v>1057</v>
      </c>
      <c r="F841" s="5" t="s">
        <v>136</v>
      </c>
      <c r="K841" t="s">
        <v>965</v>
      </c>
      <c r="L841" t="s">
        <v>963</v>
      </c>
      <c r="N841" t="s">
        <v>834</v>
      </c>
      <c r="O841" t="s">
        <v>965</v>
      </c>
      <c r="P841" t="s">
        <v>965</v>
      </c>
      <c r="Q841" t="s">
        <v>965</v>
      </c>
      <c r="R841" t="s">
        <v>965</v>
      </c>
      <c r="S841" t="s">
        <v>965</v>
      </c>
      <c r="T841" t="s">
        <v>965</v>
      </c>
      <c r="U841" t="s">
        <v>965</v>
      </c>
      <c r="V841" t="s">
        <v>965</v>
      </c>
      <c r="W841" t="s">
        <v>965</v>
      </c>
      <c r="X841" t="s">
        <v>965</v>
      </c>
      <c r="Y841" t="s">
        <v>965</v>
      </c>
      <c r="Z841" t="s">
        <v>965</v>
      </c>
      <c r="AA841" t="s">
        <v>965</v>
      </c>
      <c r="AB841" t="s">
        <v>965</v>
      </c>
      <c r="AC841" t="s">
        <v>965</v>
      </c>
      <c r="AD841" t="s">
        <v>965</v>
      </c>
      <c r="AE841" t="s">
        <v>965</v>
      </c>
      <c r="AF841" t="s">
        <v>965</v>
      </c>
      <c r="AG841" t="s">
        <v>965</v>
      </c>
      <c r="AH841" t="s">
        <v>965</v>
      </c>
      <c r="AI841" t="s">
        <v>965</v>
      </c>
      <c r="AJ841" t="s">
        <v>965</v>
      </c>
      <c r="AK841" t="s">
        <v>965</v>
      </c>
      <c r="AL841" t="s">
        <v>965</v>
      </c>
      <c r="AM841" t="s">
        <v>965</v>
      </c>
      <c r="AN841" t="s">
        <v>965</v>
      </c>
      <c r="AO841" t="s">
        <v>965</v>
      </c>
      <c r="AP841" t="s">
        <v>965</v>
      </c>
      <c r="AQ841" t="s">
        <v>965</v>
      </c>
      <c r="AR841" t="s">
        <v>965</v>
      </c>
      <c r="AS841" t="s">
        <v>965</v>
      </c>
      <c r="AT841" t="s">
        <v>965</v>
      </c>
      <c r="AU841" t="s">
        <v>965</v>
      </c>
      <c r="AV841" t="s">
        <v>965</v>
      </c>
      <c r="AW841" t="s">
        <v>965</v>
      </c>
      <c r="AX841" t="s">
        <v>965</v>
      </c>
      <c r="AY841" t="s">
        <v>965</v>
      </c>
      <c r="AZ841" t="s">
        <v>965</v>
      </c>
      <c r="BA841" t="s">
        <v>965</v>
      </c>
      <c r="BB841" t="s">
        <v>965</v>
      </c>
      <c r="BC841" t="s">
        <v>965</v>
      </c>
      <c r="BD841" t="s">
        <v>965</v>
      </c>
      <c r="BE841" t="s">
        <v>835</v>
      </c>
      <c r="BF841">
        <v>128</v>
      </c>
      <c r="BG841">
        <v>64</v>
      </c>
      <c r="BH841">
        <v>0</v>
      </c>
      <c r="BI841">
        <v>0</v>
      </c>
      <c r="BJ841">
        <v>0</v>
      </c>
      <c r="BK841">
        <v>150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278</v>
      </c>
      <c r="BR841">
        <v>0</v>
      </c>
      <c r="BS841">
        <v>0</v>
      </c>
      <c r="BT841">
        <v>278</v>
      </c>
      <c r="BU841">
        <v>224</v>
      </c>
      <c r="BV841" s="36">
        <f t="shared" si="11"/>
        <v>0.80575539568345322</v>
      </c>
    </row>
    <row r="842" spans="1:74" x14ac:dyDescent="0.2">
      <c r="A842">
        <v>2025</v>
      </c>
      <c r="B842" t="s">
        <v>1399</v>
      </c>
      <c r="C842" t="s">
        <v>1404</v>
      </c>
      <c r="D842" t="s">
        <v>1425</v>
      </c>
      <c r="E842" s="5" t="s">
        <v>843</v>
      </c>
      <c r="F842" s="5" t="s">
        <v>628</v>
      </c>
      <c r="K842" t="s">
        <v>833</v>
      </c>
      <c r="L842" t="s">
        <v>963</v>
      </c>
      <c r="N842" t="s">
        <v>834</v>
      </c>
      <c r="O842" t="s">
        <v>965</v>
      </c>
      <c r="P842" t="s">
        <v>965</v>
      </c>
      <c r="Q842" t="s">
        <v>965</v>
      </c>
      <c r="R842" t="s">
        <v>965</v>
      </c>
      <c r="S842" t="s">
        <v>965</v>
      </c>
      <c r="T842" t="s">
        <v>965</v>
      </c>
      <c r="U842" t="s">
        <v>965</v>
      </c>
      <c r="V842" t="s">
        <v>965</v>
      </c>
      <c r="W842" t="s">
        <v>965</v>
      </c>
      <c r="X842" t="s">
        <v>965</v>
      </c>
      <c r="Y842" t="s">
        <v>965</v>
      </c>
      <c r="Z842" t="s">
        <v>965</v>
      </c>
      <c r="AA842" t="s">
        <v>965</v>
      </c>
      <c r="AB842" t="s">
        <v>965</v>
      </c>
      <c r="AC842" t="s">
        <v>965</v>
      </c>
      <c r="AD842" t="s">
        <v>965</v>
      </c>
      <c r="AE842" t="s">
        <v>965</v>
      </c>
      <c r="AF842" t="s">
        <v>965</v>
      </c>
      <c r="AG842" t="s">
        <v>965</v>
      </c>
      <c r="AH842" t="s">
        <v>965</v>
      </c>
      <c r="AI842" t="s">
        <v>965</v>
      </c>
      <c r="AJ842" t="s">
        <v>965</v>
      </c>
      <c r="AK842" t="s">
        <v>965</v>
      </c>
      <c r="AL842" t="s">
        <v>965</v>
      </c>
      <c r="AM842" t="s">
        <v>965</v>
      </c>
      <c r="AN842" t="s">
        <v>965</v>
      </c>
      <c r="AO842" t="s">
        <v>965</v>
      </c>
      <c r="AP842" t="s">
        <v>965</v>
      </c>
      <c r="AQ842" t="s">
        <v>965</v>
      </c>
      <c r="AR842" t="s">
        <v>965</v>
      </c>
      <c r="AS842" t="s">
        <v>965</v>
      </c>
      <c r="AT842" t="s">
        <v>965</v>
      </c>
      <c r="AU842" t="s">
        <v>965</v>
      </c>
      <c r="AV842" t="s">
        <v>965</v>
      </c>
      <c r="AW842" t="s">
        <v>965</v>
      </c>
      <c r="AX842" t="s">
        <v>965</v>
      </c>
      <c r="AY842" t="s">
        <v>965</v>
      </c>
      <c r="AZ842" t="s">
        <v>965</v>
      </c>
      <c r="BA842" t="s">
        <v>965</v>
      </c>
      <c r="BB842" t="s">
        <v>965</v>
      </c>
      <c r="BC842" t="s">
        <v>965</v>
      </c>
      <c r="BD842" t="s">
        <v>965</v>
      </c>
      <c r="BE842" t="s">
        <v>835</v>
      </c>
      <c r="BF842">
        <v>12</v>
      </c>
      <c r="BG842">
        <v>4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12</v>
      </c>
      <c r="BR842">
        <v>0</v>
      </c>
      <c r="BS842">
        <v>0</v>
      </c>
      <c r="BT842">
        <v>12</v>
      </c>
      <c r="BU842">
        <v>12</v>
      </c>
      <c r="BV842" s="36">
        <f t="shared" si="11"/>
        <v>1</v>
      </c>
    </row>
    <row r="843" spans="1:74" x14ac:dyDescent="0.2">
      <c r="A843">
        <v>2025</v>
      </c>
      <c r="B843" t="s">
        <v>1399</v>
      </c>
      <c r="C843" t="s">
        <v>1404</v>
      </c>
      <c r="D843" t="s">
        <v>1426</v>
      </c>
      <c r="E843" s="5" t="s">
        <v>843</v>
      </c>
      <c r="F843" s="5" t="s">
        <v>628</v>
      </c>
      <c r="K843" t="s">
        <v>833</v>
      </c>
      <c r="L843" t="s">
        <v>963</v>
      </c>
      <c r="N843" t="s">
        <v>834</v>
      </c>
      <c r="O843" t="s">
        <v>965</v>
      </c>
      <c r="P843" t="s">
        <v>965</v>
      </c>
      <c r="Q843" t="s">
        <v>965</v>
      </c>
      <c r="R843" t="s">
        <v>965</v>
      </c>
      <c r="S843" t="s">
        <v>965</v>
      </c>
      <c r="T843" t="s">
        <v>965</v>
      </c>
      <c r="U843" t="s">
        <v>965</v>
      </c>
      <c r="V843" t="s">
        <v>965</v>
      </c>
      <c r="W843" t="s">
        <v>965</v>
      </c>
      <c r="X843" t="s">
        <v>965</v>
      </c>
      <c r="Y843" t="s">
        <v>965</v>
      </c>
      <c r="Z843" t="s">
        <v>965</v>
      </c>
      <c r="AA843" t="s">
        <v>965</v>
      </c>
      <c r="AB843" t="s">
        <v>965</v>
      </c>
      <c r="AC843" t="s">
        <v>965</v>
      </c>
      <c r="AD843" t="s">
        <v>965</v>
      </c>
      <c r="AE843" t="s">
        <v>965</v>
      </c>
      <c r="AF843" t="s">
        <v>965</v>
      </c>
      <c r="AG843" t="s">
        <v>965</v>
      </c>
      <c r="AH843" t="s">
        <v>965</v>
      </c>
      <c r="AI843" t="s">
        <v>965</v>
      </c>
      <c r="AJ843" t="s">
        <v>965</v>
      </c>
      <c r="AK843" t="s">
        <v>965</v>
      </c>
      <c r="AL843" t="s">
        <v>965</v>
      </c>
      <c r="AM843" t="s">
        <v>965</v>
      </c>
      <c r="AN843" t="s">
        <v>965</v>
      </c>
      <c r="AO843" t="s">
        <v>965</v>
      </c>
      <c r="AP843" t="s">
        <v>965</v>
      </c>
      <c r="AQ843" t="s">
        <v>965</v>
      </c>
      <c r="AR843" t="s">
        <v>965</v>
      </c>
      <c r="AS843" t="s">
        <v>965</v>
      </c>
      <c r="AT843" t="s">
        <v>965</v>
      </c>
      <c r="AU843" t="s">
        <v>965</v>
      </c>
      <c r="AV843" t="s">
        <v>965</v>
      </c>
      <c r="AW843" t="s">
        <v>965</v>
      </c>
      <c r="AX843" t="s">
        <v>965</v>
      </c>
      <c r="AY843" t="s">
        <v>965</v>
      </c>
      <c r="AZ843" t="s">
        <v>965</v>
      </c>
      <c r="BA843" t="s">
        <v>965</v>
      </c>
      <c r="BB843" t="s">
        <v>965</v>
      </c>
      <c r="BC843" t="s">
        <v>965</v>
      </c>
      <c r="BD843" t="s">
        <v>965</v>
      </c>
      <c r="BE843" t="s">
        <v>835</v>
      </c>
      <c r="BF843">
        <v>2</v>
      </c>
      <c r="BG843">
        <v>1</v>
      </c>
      <c r="BH843">
        <v>0</v>
      </c>
      <c r="BI843">
        <v>0</v>
      </c>
      <c r="BJ843">
        <v>0</v>
      </c>
      <c r="BK843">
        <v>6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8</v>
      </c>
      <c r="BR843">
        <v>0</v>
      </c>
      <c r="BS843">
        <v>0</v>
      </c>
      <c r="BT843">
        <v>8</v>
      </c>
      <c r="BU843">
        <v>8</v>
      </c>
      <c r="BV843" s="36">
        <f t="shared" si="11"/>
        <v>1</v>
      </c>
    </row>
    <row r="844" spans="1:74" x14ac:dyDescent="0.2">
      <c r="A844">
        <v>2025</v>
      </c>
      <c r="B844" t="s">
        <v>1399</v>
      </c>
      <c r="C844" t="s">
        <v>1036</v>
      </c>
      <c r="D844" t="s">
        <v>1427</v>
      </c>
      <c r="E844" s="5" t="s">
        <v>843</v>
      </c>
      <c r="F844" s="5" t="s">
        <v>628</v>
      </c>
      <c r="K844" t="s">
        <v>833</v>
      </c>
      <c r="L844" t="s">
        <v>963</v>
      </c>
      <c r="N844" t="s">
        <v>834</v>
      </c>
      <c r="O844" t="s">
        <v>965</v>
      </c>
      <c r="P844" t="s">
        <v>965</v>
      </c>
      <c r="Q844" t="s">
        <v>965</v>
      </c>
      <c r="R844" t="s">
        <v>965</v>
      </c>
      <c r="S844" t="s">
        <v>965</v>
      </c>
      <c r="T844" t="s">
        <v>965</v>
      </c>
      <c r="U844" t="s">
        <v>965</v>
      </c>
      <c r="V844" t="s">
        <v>965</v>
      </c>
      <c r="W844" t="s">
        <v>965</v>
      </c>
      <c r="X844" t="s">
        <v>965</v>
      </c>
      <c r="Y844" t="s">
        <v>965</v>
      </c>
      <c r="Z844" t="s">
        <v>965</v>
      </c>
      <c r="AA844" t="s">
        <v>965</v>
      </c>
      <c r="AB844" t="s">
        <v>965</v>
      </c>
      <c r="AC844" t="s">
        <v>965</v>
      </c>
      <c r="AD844" t="s">
        <v>965</v>
      </c>
      <c r="AE844" t="s">
        <v>965</v>
      </c>
      <c r="AF844" t="s">
        <v>965</v>
      </c>
      <c r="AG844" t="s">
        <v>965</v>
      </c>
      <c r="AH844" t="s">
        <v>965</v>
      </c>
      <c r="AI844" t="s">
        <v>965</v>
      </c>
      <c r="AJ844" t="s">
        <v>965</v>
      </c>
      <c r="AK844" t="s">
        <v>965</v>
      </c>
      <c r="AL844" t="s">
        <v>965</v>
      </c>
      <c r="AM844" t="s">
        <v>965</v>
      </c>
      <c r="AN844" t="s">
        <v>965</v>
      </c>
      <c r="AO844" t="s">
        <v>965</v>
      </c>
      <c r="AP844" t="s">
        <v>965</v>
      </c>
      <c r="AQ844" t="s">
        <v>965</v>
      </c>
      <c r="AR844" t="s">
        <v>965</v>
      </c>
      <c r="AS844" t="s">
        <v>965</v>
      </c>
      <c r="AT844" t="s">
        <v>965</v>
      </c>
      <c r="AU844" t="s">
        <v>965</v>
      </c>
      <c r="AV844" t="s">
        <v>965</v>
      </c>
      <c r="AW844" t="s">
        <v>965</v>
      </c>
      <c r="AX844" t="s">
        <v>965</v>
      </c>
      <c r="AY844" t="s">
        <v>965</v>
      </c>
      <c r="AZ844" t="s">
        <v>965</v>
      </c>
      <c r="BA844" t="s">
        <v>965</v>
      </c>
      <c r="BB844" t="s">
        <v>965</v>
      </c>
      <c r="BC844" t="s">
        <v>833</v>
      </c>
      <c r="BD844" t="s">
        <v>965</v>
      </c>
      <c r="BE844" t="s">
        <v>835</v>
      </c>
      <c r="BF844">
        <v>8</v>
      </c>
      <c r="BG844">
        <v>2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8</v>
      </c>
      <c r="BR844">
        <v>0</v>
      </c>
      <c r="BS844">
        <v>0</v>
      </c>
      <c r="BT844">
        <v>8</v>
      </c>
      <c r="BU844">
        <v>8</v>
      </c>
      <c r="BV844" s="36">
        <f t="shared" si="11"/>
        <v>1</v>
      </c>
    </row>
    <row r="845" spans="1:74" x14ac:dyDescent="0.2">
      <c r="A845">
        <v>2025</v>
      </c>
      <c r="B845" t="s">
        <v>1399</v>
      </c>
      <c r="C845" t="s">
        <v>1034</v>
      </c>
      <c r="D845" t="s">
        <v>1428</v>
      </c>
      <c r="E845" s="5" t="s">
        <v>843</v>
      </c>
      <c r="F845" s="5" t="s">
        <v>628</v>
      </c>
      <c r="K845" t="s">
        <v>833</v>
      </c>
      <c r="L845" t="s">
        <v>963</v>
      </c>
      <c r="N845" t="s">
        <v>834</v>
      </c>
      <c r="O845" t="s">
        <v>965</v>
      </c>
      <c r="P845" t="s">
        <v>965</v>
      </c>
      <c r="Q845" t="s">
        <v>965</v>
      </c>
      <c r="R845" t="s">
        <v>965</v>
      </c>
      <c r="S845" t="s">
        <v>965</v>
      </c>
      <c r="T845" t="s">
        <v>965</v>
      </c>
      <c r="U845" t="s">
        <v>965</v>
      </c>
      <c r="V845" t="s">
        <v>965</v>
      </c>
      <c r="W845" t="s">
        <v>965</v>
      </c>
      <c r="X845" t="s">
        <v>965</v>
      </c>
      <c r="Y845" t="s">
        <v>965</v>
      </c>
      <c r="Z845" t="s">
        <v>965</v>
      </c>
      <c r="AA845" t="s">
        <v>965</v>
      </c>
      <c r="AB845" t="s">
        <v>965</v>
      </c>
      <c r="AC845" t="s">
        <v>965</v>
      </c>
      <c r="AD845" t="s">
        <v>965</v>
      </c>
      <c r="AE845" t="s">
        <v>965</v>
      </c>
      <c r="AF845" t="s">
        <v>965</v>
      </c>
      <c r="AG845" t="s">
        <v>965</v>
      </c>
      <c r="AH845" t="s">
        <v>965</v>
      </c>
      <c r="AI845" t="s">
        <v>965</v>
      </c>
      <c r="AJ845" t="s">
        <v>965</v>
      </c>
      <c r="AK845" t="s">
        <v>965</v>
      </c>
      <c r="AL845" t="s">
        <v>965</v>
      </c>
      <c r="AM845" t="s">
        <v>965</v>
      </c>
      <c r="AN845" t="s">
        <v>965</v>
      </c>
      <c r="AO845" t="s">
        <v>965</v>
      </c>
      <c r="AP845" t="s">
        <v>965</v>
      </c>
      <c r="AQ845" t="s">
        <v>965</v>
      </c>
      <c r="AR845" t="s">
        <v>965</v>
      </c>
      <c r="AS845" t="s">
        <v>965</v>
      </c>
      <c r="AT845" t="s">
        <v>965</v>
      </c>
      <c r="AU845" t="s">
        <v>965</v>
      </c>
      <c r="AV845" t="s">
        <v>965</v>
      </c>
      <c r="AW845" t="s">
        <v>965</v>
      </c>
      <c r="AX845" t="s">
        <v>965</v>
      </c>
      <c r="AY845" t="s">
        <v>965</v>
      </c>
      <c r="AZ845" t="s">
        <v>965</v>
      </c>
      <c r="BA845" t="s">
        <v>965</v>
      </c>
      <c r="BB845" t="s">
        <v>965</v>
      </c>
      <c r="BC845" t="s">
        <v>965</v>
      </c>
      <c r="BD845" t="s">
        <v>965</v>
      </c>
      <c r="BE845" t="s">
        <v>887</v>
      </c>
      <c r="BF845">
        <v>40</v>
      </c>
      <c r="BG845">
        <v>12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40</v>
      </c>
      <c r="BR845">
        <v>0</v>
      </c>
      <c r="BS845">
        <v>0</v>
      </c>
      <c r="BT845">
        <v>40</v>
      </c>
      <c r="BU845">
        <v>25</v>
      </c>
      <c r="BV845" s="36">
        <f t="shared" si="11"/>
        <v>0.625</v>
      </c>
    </row>
    <row r="846" spans="1:74" x14ac:dyDescent="0.2">
      <c r="A846">
        <v>2025</v>
      </c>
      <c r="B846" t="s">
        <v>1399</v>
      </c>
      <c r="C846" t="s">
        <v>1034</v>
      </c>
      <c r="D846" t="s">
        <v>1429</v>
      </c>
      <c r="E846" s="5" t="s">
        <v>843</v>
      </c>
      <c r="F846" s="5" t="s">
        <v>628</v>
      </c>
      <c r="K846" t="s">
        <v>833</v>
      </c>
      <c r="L846" t="s">
        <v>963</v>
      </c>
      <c r="N846" t="s">
        <v>834</v>
      </c>
      <c r="O846" t="s">
        <v>965</v>
      </c>
      <c r="P846" t="s">
        <v>965</v>
      </c>
      <c r="Q846" t="s">
        <v>965</v>
      </c>
      <c r="R846" t="s">
        <v>965</v>
      </c>
      <c r="S846" t="s">
        <v>965</v>
      </c>
      <c r="T846" t="s">
        <v>965</v>
      </c>
      <c r="U846" t="s">
        <v>965</v>
      </c>
      <c r="V846" t="s">
        <v>965</v>
      </c>
      <c r="W846" t="s">
        <v>965</v>
      </c>
      <c r="X846" t="s">
        <v>965</v>
      </c>
      <c r="Y846" t="s">
        <v>965</v>
      </c>
      <c r="Z846" t="s">
        <v>965</v>
      </c>
      <c r="AA846" t="s">
        <v>965</v>
      </c>
      <c r="AB846" t="s">
        <v>965</v>
      </c>
      <c r="AC846" t="s">
        <v>965</v>
      </c>
      <c r="AD846" t="s">
        <v>965</v>
      </c>
      <c r="AE846" t="s">
        <v>965</v>
      </c>
      <c r="AF846" t="s">
        <v>965</v>
      </c>
      <c r="AG846" t="s">
        <v>965</v>
      </c>
      <c r="AH846" t="s">
        <v>965</v>
      </c>
      <c r="AI846" t="s">
        <v>965</v>
      </c>
      <c r="AJ846" t="s">
        <v>965</v>
      </c>
      <c r="AK846" t="s">
        <v>965</v>
      </c>
      <c r="AL846" t="s">
        <v>965</v>
      </c>
      <c r="AM846" t="s">
        <v>965</v>
      </c>
      <c r="AN846" t="s">
        <v>965</v>
      </c>
      <c r="AO846" t="s">
        <v>965</v>
      </c>
      <c r="AP846" t="s">
        <v>965</v>
      </c>
      <c r="AQ846" t="s">
        <v>965</v>
      </c>
      <c r="AR846" t="s">
        <v>965</v>
      </c>
      <c r="AS846" t="s">
        <v>965</v>
      </c>
      <c r="AT846" t="s">
        <v>965</v>
      </c>
      <c r="AU846" t="s">
        <v>965</v>
      </c>
      <c r="AV846" t="s">
        <v>965</v>
      </c>
      <c r="AW846" t="s">
        <v>965</v>
      </c>
      <c r="AX846" t="s">
        <v>965</v>
      </c>
      <c r="AY846" t="s">
        <v>965</v>
      </c>
      <c r="AZ846" t="s">
        <v>965</v>
      </c>
      <c r="BA846" t="s">
        <v>965</v>
      </c>
      <c r="BB846" t="s">
        <v>965</v>
      </c>
      <c r="BC846" t="s">
        <v>965</v>
      </c>
      <c r="BD846" t="s">
        <v>965</v>
      </c>
      <c r="BE846" t="s">
        <v>835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8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8</v>
      </c>
      <c r="BR846">
        <v>0</v>
      </c>
      <c r="BS846">
        <v>0</v>
      </c>
      <c r="BT846">
        <v>8</v>
      </c>
      <c r="BU846">
        <v>5</v>
      </c>
      <c r="BV846" s="36">
        <f t="shared" si="11"/>
        <v>0.625</v>
      </c>
    </row>
    <row r="847" spans="1:74" x14ac:dyDescent="0.2">
      <c r="A847">
        <v>2025</v>
      </c>
      <c r="B847" t="s">
        <v>1399</v>
      </c>
      <c r="C847" t="s">
        <v>1034</v>
      </c>
      <c r="D847" t="s">
        <v>1430</v>
      </c>
      <c r="E847" s="5" t="s">
        <v>843</v>
      </c>
      <c r="F847" s="5" t="s">
        <v>628</v>
      </c>
      <c r="K847" t="s">
        <v>833</v>
      </c>
      <c r="L847" t="s">
        <v>963</v>
      </c>
      <c r="N847" t="s">
        <v>834</v>
      </c>
      <c r="O847" t="s">
        <v>965</v>
      </c>
      <c r="P847" t="s">
        <v>965</v>
      </c>
      <c r="Q847" t="s">
        <v>965</v>
      </c>
      <c r="R847" t="s">
        <v>965</v>
      </c>
      <c r="S847" t="s">
        <v>965</v>
      </c>
      <c r="T847" t="s">
        <v>965</v>
      </c>
      <c r="U847" t="s">
        <v>965</v>
      </c>
      <c r="V847" t="s">
        <v>965</v>
      </c>
      <c r="W847" t="s">
        <v>965</v>
      </c>
      <c r="X847" t="s">
        <v>965</v>
      </c>
      <c r="Y847" t="s">
        <v>965</v>
      </c>
      <c r="Z847" t="s">
        <v>965</v>
      </c>
      <c r="AA847" t="s">
        <v>965</v>
      </c>
      <c r="AB847" t="s">
        <v>965</v>
      </c>
      <c r="AC847" t="s">
        <v>965</v>
      </c>
      <c r="AD847" t="s">
        <v>965</v>
      </c>
      <c r="AE847" t="s">
        <v>965</v>
      </c>
      <c r="AF847" t="s">
        <v>965</v>
      </c>
      <c r="AG847" t="s">
        <v>965</v>
      </c>
      <c r="AH847" t="s">
        <v>965</v>
      </c>
      <c r="AI847" t="s">
        <v>965</v>
      </c>
      <c r="AJ847" t="s">
        <v>965</v>
      </c>
      <c r="AK847" t="s">
        <v>965</v>
      </c>
      <c r="AL847" t="s">
        <v>965</v>
      </c>
      <c r="AM847" t="s">
        <v>965</v>
      </c>
      <c r="AN847" t="s">
        <v>965</v>
      </c>
      <c r="AO847" t="s">
        <v>965</v>
      </c>
      <c r="AP847" t="s">
        <v>965</v>
      </c>
      <c r="AQ847" t="s">
        <v>965</v>
      </c>
      <c r="AR847" t="s">
        <v>965</v>
      </c>
      <c r="AS847" t="s">
        <v>965</v>
      </c>
      <c r="AT847" t="s">
        <v>965</v>
      </c>
      <c r="AU847" t="s">
        <v>965</v>
      </c>
      <c r="AV847" t="s">
        <v>965</v>
      </c>
      <c r="AW847" t="s">
        <v>965</v>
      </c>
      <c r="AX847" t="s">
        <v>965</v>
      </c>
      <c r="AY847" t="s">
        <v>965</v>
      </c>
      <c r="AZ847" t="s">
        <v>965</v>
      </c>
      <c r="BA847" t="s">
        <v>965</v>
      </c>
      <c r="BB847" t="s">
        <v>965</v>
      </c>
      <c r="BC847" t="s">
        <v>965</v>
      </c>
      <c r="BD847" t="s">
        <v>965</v>
      </c>
      <c r="BE847" t="s">
        <v>835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9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9</v>
      </c>
      <c r="BR847">
        <v>0</v>
      </c>
      <c r="BS847">
        <v>0</v>
      </c>
      <c r="BT847">
        <v>9</v>
      </c>
      <c r="BU847">
        <v>4</v>
      </c>
      <c r="BV847" s="36">
        <f t="shared" si="11"/>
        <v>0.44444444444444442</v>
      </c>
    </row>
    <row r="848" spans="1:74" x14ac:dyDescent="0.2">
      <c r="A848">
        <v>2025</v>
      </c>
      <c r="B848" t="s">
        <v>1399</v>
      </c>
      <c r="C848" t="s">
        <v>1068</v>
      </c>
      <c r="D848" t="s">
        <v>1431</v>
      </c>
      <c r="E848" s="5" t="s">
        <v>843</v>
      </c>
      <c r="F848" s="5" t="s">
        <v>628</v>
      </c>
      <c r="K848" t="s">
        <v>962</v>
      </c>
      <c r="L848" t="s">
        <v>963</v>
      </c>
      <c r="N848" t="s">
        <v>964</v>
      </c>
      <c r="O848" t="s">
        <v>965</v>
      </c>
      <c r="P848" t="s">
        <v>965</v>
      </c>
      <c r="Q848" t="s">
        <v>965</v>
      </c>
      <c r="R848" t="s">
        <v>965</v>
      </c>
      <c r="S848" t="s">
        <v>965</v>
      </c>
      <c r="T848" t="s">
        <v>965</v>
      </c>
      <c r="U848" t="s">
        <v>965</v>
      </c>
      <c r="V848" t="s">
        <v>965</v>
      </c>
      <c r="W848" t="s">
        <v>965</v>
      </c>
      <c r="X848" t="s">
        <v>833</v>
      </c>
      <c r="Y848" t="s">
        <v>965</v>
      </c>
      <c r="Z848" t="s">
        <v>965</v>
      </c>
      <c r="AA848" t="s">
        <v>965</v>
      </c>
      <c r="AB848" t="s">
        <v>965</v>
      </c>
      <c r="AC848" t="s">
        <v>965</v>
      </c>
      <c r="AD848" t="s">
        <v>965</v>
      </c>
      <c r="AE848" t="s">
        <v>965</v>
      </c>
      <c r="AF848" t="s">
        <v>965</v>
      </c>
      <c r="AG848" t="s">
        <v>965</v>
      </c>
      <c r="AH848" t="s">
        <v>965</v>
      </c>
      <c r="AI848" t="s">
        <v>965</v>
      </c>
      <c r="AJ848" t="s">
        <v>965</v>
      </c>
      <c r="AK848" t="s">
        <v>965</v>
      </c>
      <c r="AL848" t="s">
        <v>965</v>
      </c>
      <c r="AM848" t="s">
        <v>965</v>
      </c>
      <c r="AN848" t="s">
        <v>965</v>
      </c>
      <c r="AO848" t="s">
        <v>965</v>
      </c>
      <c r="AP848" t="s">
        <v>965</v>
      </c>
      <c r="AQ848" t="s">
        <v>965</v>
      </c>
      <c r="AR848" t="s">
        <v>965</v>
      </c>
      <c r="AS848" t="s">
        <v>965</v>
      </c>
      <c r="AT848" t="s">
        <v>965</v>
      </c>
      <c r="AU848" t="s">
        <v>965</v>
      </c>
      <c r="AV848" t="s">
        <v>965</v>
      </c>
      <c r="AW848" t="s">
        <v>965</v>
      </c>
      <c r="AX848" t="s">
        <v>965</v>
      </c>
      <c r="AY848" t="s">
        <v>965</v>
      </c>
      <c r="AZ848" t="s">
        <v>965</v>
      </c>
      <c r="BA848" t="s">
        <v>965</v>
      </c>
      <c r="BB848" t="s">
        <v>965</v>
      </c>
      <c r="BC848" t="s">
        <v>965</v>
      </c>
      <c r="BD848" t="s">
        <v>833</v>
      </c>
      <c r="BE848" t="s">
        <v>835</v>
      </c>
      <c r="BF848">
        <v>12</v>
      </c>
      <c r="BG848">
        <v>4</v>
      </c>
      <c r="BH848">
        <v>0</v>
      </c>
      <c r="BI848">
        <v>0</v>
      </c>
      <c r="BJ848">
        <v>0</v>
      </c>
      <c r="BK848">
        <v>2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14</v>
      </c>
      <c r="BR848">
        <v>0</v>
      </c>
      <c r="BS848">
        <v>0</v>
      </c>
      <c r="BT848">
        <v>14</v>
      </c>
      <c r="BU848">
        <v>14</v>
      </c>
      <c r="BV848" s="36">
        <f t="shared" si="11"/>
        <v>1</v>
      </c>
    </row>
    <row r="849" spans="1:74" x14ac:dyDescent="0.2">
      <c r="A849">
        <v>2025</v>
      </c>
      <c r="B849" t="s">
        <v>1399</v>
      </c>
      <c r="C849" t="s">
        <v>1026</v>
      </c>
      <c r="D849" t="s">
        <v>1432</v>
      </c>
      <c r="E849" s="5" t="s">
        <v>843</v>
      </c>
      <c r="F849" s="5" t="s">
        <v>628</v>
      </c>
      <c r="K849" t="s">
        <v>833</v>
      </c>
      <c r="L849" t="s">
        <v>963</v>
      </c>
      <c r="N849" t="s">
        <v>834</v>
      </c>
      <c r="O849" t="s">
        <v>965</v>
      </c>
      <c r="P849" t="s">
        <v>965</v>
      </c>
      <c r="Q849" t="s">
        <v>965</v>
      </c>
      <c r="R849" t="s">
        <v>965</v>
      </c>
      <c r="S849" t="s">
        <v>965</v>
      </c>
      <c r="T849" t="s">
        <v>965</v>
      </c>
      <c r="U849" t="s">
        <v>965</v>
      </c>
      <c r="V849" t="s">
        <v>965</v>
      </c>
      <c r="W849" t="s">
        <v>965</v>
      </c>
      <c r="X849" t="s">
        <v>965</v>
      </c>
      <c r="Y849" t="s">
        <v>965</v>
      </c>
      <c r="Z849" t="s">
        <v>965</v>
      </c>
      <c r="AA849" t="s">
        <v>965</v>
      </c>
      <c r="AB849" t="s">
        <v>965</v>
      </c>
      <c r="AC849" t="s">
        <v>965</v>
      </c>
      <c r="AD849" t="s">
        <v>965</v>
      </c>
      <c r="AE849" t="s">
        <v>965</v>
      </c>
      <c r="AF849" t="s">
        <v>965</v>
      </c>
      <c r="AG849" t="s">
        <v>965</v>
      </c>
      <c r="AH849" t="s">
        <v>965</v>
      </c>
      <c r="AI849" t="s">
        <v>965</v>
      </c>
      <c r="AJ849" t="s">
        <v>965</v>
      </c>
      <c r="AK849" t="s">
        <v>965</v>
      </c>
      <c r="AL849" t="s">
        <v>965</v>
      </c>
      <c r="AM849" t="s">
        <v>965</v>
      </c>
      <c r="AN849" t="s">
        <v>965</v>
      </c>
      <c r="AO849" t="s">
        <v>965</v>
      </c>
      <c r="AP849" t="s">
        <v>965</v>
      </c>
      <c r="AQ849" t="s">
        <v>965</v>
      </c>
      <c r="AR849" t="s">
        <v>965</v>
      </c>
      <c r="AS849" t="s">
        <v>965</v>
      </c>
      <c r="AT849" t="s">
        <v>965</v>
      </c>
      <c r="AU849" t="s">
        <v>965</v>
      </c>
      <c r="AV849" t="s">
        <v>965</v>
      </c>
      <c r="AW849" t="s">
        <v>965</v>
      </c>
      <c r="AX849" t="s">
        <v>965</v>
      </c>
      <c r="AY849" t="s">
        <v>965</v>
      </c>
      <c r="AZ849" t="s">
        <v>965</v>
      </c>
      <c r="BA849" t="s">
        <v>965</v>
      </c>
      <c r="BB849" t="s">
        <v>965</v>
      </c>
      <c r="BC849" t="s">
        <v>965</v>
      </c>
      <c r="BD849" t="s">
        <v>965</v>
      </c>
      <c r="BE849" t="s">
        <v>835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1</v>
      </c>
      <c r="BR849">
        <v>0</v>
      </c>
      <c r="BS849">
        <v>0</v>
      </c>
      <c r="BT849">
        <v>1</v>
      </c>
      <c r="BU849">
        <v>1</v>
      </c>
      <c r="BV849" s="36">
        <f t="shared" si="11"/>
        <v>1</v>
      </c>
    </row>
    <row r="850" spans="1:74" x14ac:dyDescent="0.2">
      <c r="A850">
        <v>2025</v>
      </c>
      <c r="B850" t="s">
        <v>1399</v>
      </c>
      <c r="C850" t="s">
        <v>1058</v>
      </c>
      <c r="D850" t="s">
        <v>1433</v>
      </c>
      <c r="E850" s="5" t="s">
        <v>843</v>
      </c>
      <c r="F850" s="5" t="s">
        <v>628</v>
      </c>
      <c r="K850" t="s">
        <v>965</v>
      </c>
      <c r="L850" t="s">
        <v>963</v>
      </c>
      <c r="N850" t="s">
        <v>834</v>
      </c>
      <c r="O850" t="s">
        <v>965</v>
      </c>
      <c r="P850" t="s">
        <v>965</v>
      </c>
      <c r="Q850" t="s">
        <v>965</v>
      </c>
      <c r="R850" t="s">
        <v>965</v>
      </c>
      <c r="S850" t="s">
        <v>965</v>
      </c>
      <c r="T850" t="s">
        <v>965</v>
      </c>
      <c r="U850" t="s">
        <v>965</v>
      </c>
      <c r="V850" t="s">
        <v>965</v>
      </c>
      <c r="W850" t="s">
        <v>965</v>
      </c>
      <c r="X850" t="s">
        <v>965</v>
      </c>
      <c r="Y850" t="s">
        <v>965</v>
      </c>
      <c r="Z850" t="s">
        <v>965</v>
      </c>
      <c r="AA850" t="s">
        <v>965</v>
      </c>
      <c r="AB850" t="s">
        <v>965</v>
      </c>
      <c r="AC850" t="s">
        <v>965</v>
      </c>
      <c r="AD850" t="s">
        <v>965</v>
      </c>
      <c r="AE850" t="s">
        <v>965</v>
      </c>
      <c r="AF850" t="s">
        <v>965</v>
      </c>
      <c r="AG850" t="s">
        <v>965</v>
      </c>
      <c r="AH850" t="s">
        <v>965</v>
      </c>
      <c r="AI850" t="s">
        <v>965</v>
      </c>
      <c r="AJ850" t="s">
        <v>965</v>
      </c>
      <c r="AK850" t="s">
        <v>965</v>
      </c>
      <c r="AL850" t="s">
        <v>965</v>
      </c>
      <c r="AM850" t="s">
        <v>965</v>
      </c>
      <c r="AN850" t="s">
        <v>965</v>
      </c>
      <c r="AO850" t="s">
        <v>965</v>
      </c>
      <c r="AP850" t="s">
        <v>965</v>
      </c>
      <c r="AQ850" t="s">
        <v>965</v>
      </c>
      <c r="AR850" t="s">
        <v>965</v>
      </c>
      <c r="AS850" t="s">
        <v>965</v>
      </c>
      <c r="AT850" t="s">
        <v>965</v>
      </c>
      <c r="AU850" t="s">
        <v>965</v>
      </c>
      <c r="AV850" t="s">
        <v>965</v>
      </c>
      <c r="AW850" t="s">
        <v>965</v>
      </c>
      <c r="AX850" t="s">
        <v>965</v>
      </c>
      <c r="AY850" t="s">
        <v>965</v>
      </c>
      <c r="AZ850" t="s">
        <v>965</v>
      </c>
      <c r="BA850" t="s">
        <v>965</v>
      </c>
      <c r="BB850" t="s">
        <v>965</v>
      </c>
      <c r="BC850" t="s">
        <v>965</v>
      </c>
      <c r="BD850" t="s">
        <v>965</v>
      </c>
      <c r="BE850" t="s">
        <v>835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30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30</v>
      </c>
      <c r="BR850">
        <v>0</v>
      </c>
      <c r="BS850">
        <v>0</v>
      </c>
      <c r="BT850">
        <v>30</v>
      </c>
      <c r="BU850">
        <v>21</v>
      </c>
      <c r="BV850" s="36">
        <f t="shared" si="11"/>
        <v>0.7</v>
      </c>
    </row>
    <row r="851" spans="1:74" x14ac:dyDescent="0.2">
      <c r="A851">
        <v>2025</v>
      </c>
      <c r="B851" t="s">
        <v>1399</v>
      </c>
      <c r="C851" t="s">
        <v>1069</v>
      </c>
      <c r="D851" t="s">
        <v>1399</v>
      </c>
      <c r="E851" s="5" t="s">
        <v>843</v>
      </c>
      <c r="F851" s="5" t="s">
        <v>628</v>
      </c>
      <c r="K851" t="s">
        <v>965</v>
      </c>
      <c r="L851" t="s">
        <v>963</v>
      </c>
      <c r="N851" t="s">
        <v>834</v>
      </c>
      <c r="O851" t="s">
        <v>965</v>
      </c>
      <c r="P851" t="s">
        <v>965</v>
      </c>
      <c r="Q851" t="s">
        <v>965</v>
      </c>
      <c r="R851" t="s">
        <v>965</v>
      </c>
      <c r="S851" t="s">
        <v>965</v>
      </c>
      <c r="T851" t="s">
        <v>965</v>
      </c>
      <c r="U851" t="s">
        <v>965</v>
      </c>
      <c r="V851" t="s">
        <v>965</v>
      </c>
      <c r="W851" t="s">
        <v>965</v>
      </c>
      <c r="X851" t="s">
        <v>965</v>
      </c>
      <c r="Y851" t="s">
        <v>965</v>
      </c>
      <c r="Z851" t="s">
        <v>965</v>
      </c>
      <c r="AA851" t="s">
        <v>965</v>
      </c>
      <c r="AB851" t="s">
        <v>965</v>
      </c>
      <c r="AC851" t="s">
        <v>965</v>
      </c>
      <c r="AD851" t="s">
        <v>965</v>
      </c>
      <c r="AE851" t="s">
        <v>965</v>
      </c>
      <c r="AF851" t="s">
        <v>965</v>
      </c>
      <c r="AG851" t="s">
        <v>965</v>
      </c>
      <c r="AH851" t="s">
        <v>965</v>
      </c>
      <c r="AI851" t="s">
        <v>965</v>
      </c>
      <c r="AJ851" t="s">
        <v>965</v>
      </c>
      <c r="AK851" t="s">
        <v>965</v>
      </c>
      <c r="AL851" t="s">
        <v>965</v>
      </c>
      <c r="AM851" t="s">
        <v>965</v>
      </c>
      <c r="AN851" t="s">
        <v>965</v>
      </c>
      <c r="AO851" t="s">
        <v>965</v>
      </c>
      <c r="AP851" t="s">
        <v>965</v>
      </c>
      <c r="AQ851" t="s">
        <v>965</v>
      </c>
      <c r="AR851" t="s">
        <v>965</v>
      </c>
      <c r="AS851" t="s">
        <v>965</v>
      </c>
      <c r="AT851" t="s">
        <v>965</v>
      </c>
      <c r="AU851" t="s">
        <v>965</v>
      </c>
      <c r="AV851" t="s">
        <v>965</v>
      </c>
      <c r="AW851" t="s">
        <v>965</v>
      </c>
      <c r="AX851" t="s">
        <v>965</v>
      </c>
      <c r="AY851" t="s">
        <v>965</v>
      </c>
      <c r="AZ851" t="s">
        <v>965</v>
      </c>
      <c r="BA851" t="s">
        <v>965</v>
      </c>
      <c r="BB851" t="s">
        <v>965</v>
      </c>
      <c r="BC851" t="s">
        <v>965</v>
      </c>
      <c r="BD851" t="s">
        <v>965</v>
      </c>
      <c r="BE851" t="s">
        <v>835</v>
      </c>
      <c r="BF851">
        <v>25</v>
      </c>
      <c r="BG851">
        <v>21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25</v>
      </c>
      <c r="BR851">
        <v>0</v>
      </c>
      <c r="BS851">
        <v>0</v>
      </c>
      <c r="BT851">
        <v>25</v>
      </c>
      <c r="BU851">
        <v>6</v>
      </c>
      <c r="BV851" s="36">
        <f t="shared" si="11"/>
        <v>0.24</v>
      </c>
    </row>
    <row r="852" spans="1:74" x14ac:dyDescent="0.2">
      <c r="B852" t="s">
        <v>236</v>
      </c>
      <c r="D852" t="s">
        <v>455</v>
      </c>
      <c r="F852" t="s">
        <v>15</v>
      </c>
      <c r="G852" s="6" t="s">
        <v>264</v>
      </c>
      <c r="H852" s="32">
        <v>0.16300000000000001</v>
      </c>
      <c r="I852" s="32">
        <v>0.68</v>
      </c>
      <c r="J852" s="32">
        <v>0.76300000000000001</v>
      </c>
      <c r="BT852" t="s">
        <v>1076</v>
      </c>
    </row>
    <row r="853" spans="1:74" x14ac:dyDescent="0.2">
      <c r="B853" t="s">
        <v>236</v>
      </c>
      <c r="D853" t="s">
        <v>550</v>
      </c>
      <c r="F853" t="s">
        <v>68</v>
      </c>
      <c r="G853" s="6" t="s">
        <v>804</v>
      </c>
      <c r="H853" s="32"/>
      <c r="I853" s="32"/>
      <c r="J853" s="32"/>
      <c r="BT853" t="s">
        <v>1076</v>
      </c>
    </row>
    <row r="854" spans="1:74" x14ac:dyDescent="0.2">
      <c r="B854" t="s">
        <v>236</v>
      </c>
      <c r="D854" t="s">
        <v>234</v>
      </c>
      <c r="F854" t="s">
        <v>42</v>
      </c>
      <c r="G854" s="6" t="s">
        <v>235</v>
      </c>
      <c r="H854" s="32">
        <v>0.14299999999999999</v>
      </c>
      <c r="I854" s="32">
        <v>0.14599999999999999</v>
      </c>
      <c r="J854" s="32">
        <v>0.77500000000000002</v>
      </c>
      <c r="BT854" t="s">
        <v>1076</v>
      </c>
    </row>
  </sheetData>
  <autoFilter ref="A2:BV855" xr:uid="{00000000-0009-0000-0000-000003000000}">
    <sortState xmlns:xlrd2="http://schemas.microsoft.com/office/spreadsheetml/2017/richdata2" ref="A3:BV855">
      <sortCondition ref="A3:A855"/>
    </sortState>
  </autoFilter>
  <mergeCells count="5">
    <mergeCell ref="O1:BC1"/>
    <mergeCell ref="BD1:BE1"/>
    <mergeCell ref="BF1:BT1"/>
    <mergeCell ref="BU1:BV1"/>
    <mergeCell ref="A1:N1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"/>
  <sheetViews>
    <sheetView zoomScaleNormal="100" workbookViewId="0">
      <selection activeCell="E23" sqref="E23"/>
    </sheetView>
  </sheetViews>
  <sheetFormatPr baseColWidth="10" defaultColWidth="8.83203125" defaultRowHeight="15" x14ac:dyDescent="0.2"/>
  <cols>
    <col min="1" max="1" width="37.5" customWidth="1"/>
    <col min="2" max="2" width="8" customWidth="1"/>
    <col min="3" max="3" width="16.83203125" customWidth="1"/>
    <col min="4" max="4" width="7" customWidth="1"/>
    <col min="5" max="5" width="18.83203125" customWidth="1"/>
  </cols>
  <sheetData>
    <row r="1" spans="1:38" x14ac:dyDescent="0.2">
      <c r="A1" s="60" t="s">
        <v>255</v>
      </c>
      <c r="B1" s="61"/>
      <c r="C1" s="61" t="s">
        <v>136</v>
      </c>
      <c r="D1" s="61" t="s">
        <v>804</v>
      </c>
      <c r="E1" s="29" t="s">
        <v>17</v>
      </c>
      <c r="F1" s="62" t="s">
        <v>406</v>
      </c>
      <c r="G1" s="63" t="s">
        <v>406</v>
      </c>
      <c r="H1" s="60" t="s">
        <v>406</v>
      </c>
      <c r="I1" s="64" t="s">
        <v>406</v>
      </c>
      <c r="J1" s="60"/>
      <c r="K1" s="60" t="s">
        <v>255</v>
      </c>
      <c r="L1" s="65"/>
      <c r="M1" s="65"/>
      <c r="N1" s="65"/>
      <c r="AG1" s="5">
        <v>37</v>
      </c>
      <c r="AH1" s="5"/>
      <c r="AI1" s="5"/>
      <c r="AL1" s="13">
        <v>0.76</v>
      </c>
    </row>
    <row r="2" spans="1:38" x14ac:dyDescent="0.2">
      <c r="A2" s="60" t="s">
        <v>404</v>
      </c>
      <c r="B2" s="61"/>
      <c r="C2" s="61" t="s">
        <v>183</v>
      </c>
      <c r="D2" s="61" t="s">
        <v>804</v>
      </c>
      <c r="E2" s="29" t="s">
        <v>17</v>
      </c>
      <c r="F2" s="62" t="s">
        <v>406</v>
      </c>
      <c r="G2" s="63" t="s">
        <v>406</v>
      </c>
      <c r="H2" s="60" t="s">
        <v>406</v>
      </c>
      <c r="I2" s="64" t="s">
        <v>406</v>
      </c>
      <c r="J2" s="60"/>
      <c r="K2" s="60" t="s">
        <v>404</v>
      </c>
      <c r="L2" s="65"/>
      <c r="M2" s="65"/>
      <c r="N2" s="65"/>
      <c r="AG2" s="5">
        <v>35</v>
      </c>
      <c r="AH2" s="5"/>
      <c r="AI2" s="5"/>
      <c r="AL2" s="13">
        <v>0.7</v>
      </c>
    </row>
    <row r="3" spans="1:38" x14ac:dyDescent="0.2">
      <c r="A3" s="60" t="s">
        <v>966</v>
      </c>
      <c r="B3" s="61"/>
      <c r="C3" s="61" t="s">
        <v>45</v>
      </c>
      <c r="D3" s="61" t="s">
        <v>505</v>
      </c>
      <c r="E3" s="29" t="s">
        <v>17</v>
      </c>
      <c r="F3" s="62" t="s">
        <v>406</v>
      </c>
      <c r="G3" s="63" t="s">
        <v>406</v>
      </c>
      <c r="H3" s="60" t="s">
        <v>406</v>
      </c>
      <c r="I3" s="64" t="s">
        <v>406</v>
      </c>
      <c r="J3" s="60"/>
      <c r="K3" s="60" t="s">
        <v>966</v>
      </c>
      <c r="L3" s="65">
        <v>0.35799999999999998</v>
      </c>
      <c r="M3" s="65">
        <v>0.114</v>
      </c>
      <c r="N3" s="65">
        <v>0.873</v>
      </c>
      <c r="AG3" s="5">
        <v>4</v>
      </c>
      <c r="AH3" s="5"/>
      <c r="AI3" s="5"/>
      <c r="AL3" s="5"/>
    </row>
    <row r="4" spans="1:38" x14ac:dyDescent="0.2">
      <c r="A4" s="60" t="s">
        <v>966</v>
      </c>
      <c r="B4" s="61"/>
      <c r="C4" s="61" t="s">
        <v>42</v>
      </c>
      <c r="D4" s="61" t="s">
        <v>804</v>
      </c>
      <c r="E4" s="29" t="s">
        <v>17</v>
      </c>
      <c r="F4" s="62" t="s">
        <v>406</v>
      </c>
      <c r="G4" s="63" t="s">
        <v>406</v>
      </c>
      <c r="H4" s="60" t="s">
        <v>406</v>
      </c>
      <c r="I4" s="64" t="s">
        <v>406</v>
      </c>
      <c r="J4" s="60"/>
      <c r="K4" s="60" t="s">
        <v>966</v>
      </c>
      <c r="L4" s="65"/>
      <c r="M4" s="65"/>
      <c r="N4" s="65"/>
      <c r="AG4" s="5">
        <v>13</v>
      </c>
      <c r="AH4" s="5"/>
      <c r="AI4" s="5"/>
      <c r="AL4" s="5"/>
    </row>
    <row r="5" spans="1:38" x14ac:dyDescent="0.2">
      <c r="A5" s="60" t="s">
        <v>1211</v>
      </c>
      <c r="B5" s="61"/>
      <c r="C5" s="61" t="s">
        <v>183</v>
      </c>
      <c r="D5" s="61" t="s">
        <v>1212</v>
      </c>
      <c r="E5" s="29" t="s">
        <v>17</v>
      </c>
      <c r="F5" s="62" t="s">
        <v>406</v>
      </c>
      <c r="G5" s="63" t="s">
        <v>406</v>
      </c>
      <c r="H5" s="60" t="s">
        <v>406</v>
      </c>
      <c r="I5" s="64" t="s">
        <v>406</v>
      </c>
      <c r="J5" s="60"/>
      <c r="K5" s="60" t="s">
        <v>1211</v>
      </c>
      <c r="L5" s="65">
        <v>0.68</v>
      </c>
      <c r="M5" s="65">
        <v>0.188</v>
      </c>
      <c r="N5" s="65">
        <v>0.91700000000000004</v>
      </c>
      <c r="AG5" s="5">
        <v>1</v>
      </c>
      <c r="AH5" s="5"/>
      <c r="AI5" s="5"/>
      <c r="AL5" s="5"/>
    </row>
    <row r="6" spans="1:38" x14ac:dyDescent="0.2">
      <c r="A6" s="60" t="s">
        <v>1213</v>
      </c>
      <c r="B6" s="61"/>
      <c r="C6" s="61" t="s">
        <v>183</v>
      </c>
      <c r="D6" s="61" t="s">
        <v>1214</v>
      </c>
      <c r="E6" s="29" t="s">
        <v>17</v>
      </c>
      <c r="F6" s="62" t="s">
        <v>406</v>
      </c>
      <c r="G6" s="63" t="s">
        <v>406</v>
      </c>
      <c r="H6" s="60" t="s">
        <v>406</v>
      </c>
      <c r="I6" s="64" t="s">
        <v>406</v>
      </c>
      <c r="J6" s="60"/>
      <c r="K6" s="60" t="s">
        <v>1213</v>
      </c>
      <c r="L6" s="65">
        <v>0.95499999999999996</v>
      </c>
      <c r="M6" s="65">
        <v>0</v>
      </c>
      <c r="N6" s="65">
        <v>0.83299999999999996</v>
      </c>
      <c r="AG6" s="5">
        <v>3</v>
      </c>
      <c r="AH6" s="5"/>
      <c r="AI6" s="5"/>
      <c r="AL6" s="13">
        <v>0.08</v>
      </c>
    </row>
    <row r="7" spans="1:38" x14ac:dyDescent="0.2">
      <c r="A7" s="60" t="s">
        <v>1148</v>
      </c>
      <c r="B7" s="61"/>
      <c r="C7" s="61" t="s">
        <v>45</v>
      </c>
      <c r="D7" s="61" t="s">
        <v>505</v>
      </c>
      <c r="E7" s="29" t="s">
        <v>17</v>
      </c>
      <c r="F7" s="62" t="s">
        <v>406</v>
      </c>
      <c r="G7" s="63" t="s">
        <v>406</v>
      </c>
      <c r="H7" s="60" t="s">
        <v>406</v>
      </c>
      <c r="I7" s="64" t="s">
        <v>406</v>
      </c>
      <c r="J7" s="60"/>
      <c r="K7" s="60" t="s">
        <v>1148</v>
      </c>
      <c r="L7" s="65">
        <v>0.35799999999999998</v>
      </c>
      <c r="M7" s="65">
        <v>0.114</v>
      </c>
      <c r="N7" s="65">
        <v>0.873</v>
      </c>
      <c r="AG7" s="5">
        <v>4</v>
      </c>
      <c r="AH7" s="5"/>
      <c r="AI7" s="5"/>
      <c r="AL7" s="5"/>
    </row>
    <row r="8" spans="1:38" x14ac:dyDescent="0.2">
      <c r="A8" s="60" t="s">
        <v>1149</v>
      </c>
      <c r="B8" s="61"/>
      <c r="C8" s="61" t="s">
        <v>45</v>
      </c>
      <c r="D8" s="61" t="s">
        <v>505</v>
      </c>
      <c r="E8" s="29" t="s">
        <v>17</v>
      </c>
      <c r="F8" s="62" t="s">
        <v>406</v>
      </c>
      <c r="G8" s="63" t="s">
        <v>406</v>
      </c>
      <c r="H8" s="60" t="s">
        <v>406</v>
      </c>
      <c r="I8" s="64" t="s">
        <v>406</v>
      </c>
      <c r="J8" s="60"/>
      <c r="K8" s="60" t="s">
        <v>1149</v>
      </c>
      <c r="L8" s="65">
        <v>0.35799999999999998</v>
      </c>
      <c r="M8" s="65">
        <v>0.114</v>
      </c>
      <c r="N8" s="65">
        <v>0.873</v>
      </c>
      <c r="AG8" s="5">
        <v>4</v>
      </c>
      <c r="AH8" s="5"/>
      <c r="AI8" s="5"/>
      <c r="AL8" s="5"/>
    </row>
    <row r="9" spans="1:38" x14ac:dyDescent="0.2">
      <c r="A9" s="60" t="s">
        <v>1281</v>
      </c>
      <c r="B9" s="5" t="s">
        <v>1249</v>
      </c>
      <c r="C9" s="5" t="s">
        <v>183</v>
      </c>
      <c r="D9" s="6"/>
      <c r="E9" s="29" t="s">
        <v>17</v>
      </c>
      <c r="F9" s="30" t="s">
        <v>25</v>
      </c>
      <c r="G9" s="34" t="s">
        <v>25</v>
      </c>
      <c r="H9" t="s">
        <v>25</v>
      </c>
      <c r="I9" s="33" t="s">
        <v>25</v>
      </c>
      <c r="J9" t="s">
        <v>966</v>
      </c>
      <c r="K9" t="s">
        <v>1281</v>
      </c>
      <c r="O9" t="s">
        <v>833</v>
      </c>
      <c r="Q9" t="s">
        <v>834</v>
      </c>
      <c r="R9" t="s">
        <v>887</v>
      </c>
      <c r="S9">
        <v>23</v>
      </c>
      <c r="T9">
        <v>6</v>
      </c>
      <c r="U9">
        <v>0</v>
      </c>
      <c r="V9">
        <v>0</v>
      </c>
      <c r="W9">
        <v>0</v>
      </c>
      <c r="X9">
        <v>14</v>
      </c>
      <c r="Y9">
        <v>0</v>
      </c>
      <c r="Z9">
        <v>0</v>
      </c>
      <c r="AA9">
        <v>0</v>
      </c>
      <c r="AB9">
        <v>0</v>
      </c>
      <c r="AC9">
        <v>0</v>
      </c>
      <c r="AD9">
        <v>37</v>
      </c>
      <c r="AE9">
        <v>0</v>
      </c>
      <c r="AF9">
        <v>0</v>
      </c>
      <c r="AG9" s="5">
        <v>37</v>
      </c>
      <c r="AH9" s="5"/>
      <c r="AI9" s="5"/>
      <c r="AJ9">
        <v>37</v>
      </c>
      <c r="AK9" s="36">
        <f>AJ9/AG9</f>
        <v>1</v>
      </c>
    </row>
    <row r="10" spans="1:38" x14ac:dyDescent="0.2">
      <c r="A10" s="60" t="s">
        <v>1266</v>
      </c>
      <c r="B10" s="5" t="s">
        <v>1018</v>
      </c>
      <c r="C10" s="5" t="s">
        <v>45</v>
      </c>
      <c r="D10" s="6"/>
      <c r="E10" s="29" t="s">
        <v>17</v>
      </c>
      <c r="F10" s="30" t="s">
        <v>25</v>
      </c>
      <c r="G10" s="34" t="s">
        <v>25</v>
      </c>
      <c r="H10" t="s">
        <v>25</v>
      </c>
      <c r="I10" s="33" t="s">
        <v>25</v>
      </c>
      <c r="J10" t="s">
        <v>966</v>
      </c>
      <c r="K10" t="s">
        <v>1266</v>
      </c>
      <c r="M10" s="5"/>
      <c r="N10" s="5"/>
      <c r="O10" t="s">
        <v>833</v>
      </c>
      <c r="Q10" t="s">
        <v>834</v>
      </c>
      <c r="R10" t="s">
        <v>887</v>
      </c>
      <c r="S10">
        <v>33</v>
      </c>
      <c r="T10">
        <v>8</v>
      </c>
      <c r="U10">
        <v>0</v>
      </c>
      <c r="V10">
        <v>0</v>
      </c>
      <c r="W10">
        <v>0</v>
      </c>
      <c r="X10">
        <v>10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43</v>
      </c>
      <c r="AE10">
        <v>0</v>
      </c>
      <c r="AF10">
        <v>0</v>
      </c>
      <c r="AG10" s="5">
        <v>43</v>
      </c>
      <c r="AH10" s="5"/>
      <c r="AI10" s="5"/>
      <c r="AJ10">
        <v>43</v>
      </c>
      <c r="AK10" s="36">
        <f>AJ10/AG10</f>
        <v>1</v>
      </c>
    </row>
  </sheetData>
  <conditionalFormatting sqref="A1:A1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</vt:lpstr>
      <vt:lpstr>Current</vt:lpstr>
      <vt:lpstr>Archieve 2</vt:lpstr>
      <vt:lpstr>Updated</vt:lpstr>
      <vt:lpstr>Original</vt:lpstr>
      <vt:lpstr>Archieve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Duong</dc:creator>
  <cp:lastModifiedBy>Paxton Wang</cp:lastModifiedBy>
  <cp:revision>0</cp:revision>
  <dcterms:created xsi:type="dcterms:W3CDTF">2024-06-21T17:48:55Z</dcterms:created>
  <dcterms:modified xsi:type="dcterms:W3CDTF">2026-08-18T05:31:50Z</dcterms:modified>
  <dc:language>en-US</dc:language>
</cp:coreProperties>
</file>